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abuga\Desktop\"/>
    </mc:Choice>
  </mc:AlternateContent>
  <xr:revisionPtr revIDLastSave="0" documentId="13_ncr:1_{08C77164-7FC4-4FCD-A8D5-B84668C7F872}" xr6:coauthVersionLast="47" xr6:coauthVersionMax="47" xr10:uidLastSave="{00000000-0000-0000-0000-000000000000}"/>
  <bookViews>
    <workbookView xWindow="-110" yWindow="-110" windowWidth="19420" windowHeight="10300" tabRatio="872" firstSheet="14" activeTab="14" xr2:uid="{00000000-000D-0000-FFFF-FFFF00000000}"/>
  </bookViews>
  <sheets>
    <sheet name="تكاليف المنتجات" sheetId="1" state="hidden" r:id="rId1"/>
    <sheet name="قوائم المشاوي وخياراتها" sheetId="3" state="hidden" r:id="rId2"/>
    <sheet name="تكلفةالمشاوي واحتماليات الاطباق" sheetId="2" state="hidden" r:id="rId3"/>
    <sheet name="ملخص التكلفة (بدون المشاوي)" sheetId="6" state="hidden" r:id="rId4"/>
    <sheet name="قائمة التقارير" sheetId="8" state="hidden" r:id="rId5"/>
    <sheet name="الاصول الثابتة" sheetId="25" state="hidden" r:id="rId6"/>
    <sheet name="الميزانية الشهرية المتوقعة" sheetId="22" state="hidden" r:id="rId7"/>
    <sheet name="المخزون" sheetId="26" state="hidden" r:id="rId8"/>
    <sheet name="الايراد اليومي" sheetId="23" state="hidden" r:id="rId9"/>
    <sheet name="تطبيقات التوصيل" sheetId="27" state="hidden" r:id="rId10"/>
    <sheet name="الايراد الشهري" sheetId="24" state="hidden" r:id="rId11"/>
    <sheet name="قائمة الدخل" sheetId="9" state="hidden" r:id="rId12"/>
    <sheet name="التدفقات النقدية" sheetId="10" state="hidden" r:id="rId13"/>
    <sheet name="المركز المالي" sheetId="12" state="hidden" r:id="rId14"/>
    <sheet name="المصروفات التشغيلية" sheetId="11" r:id="rId15"/>
    <sheet name="ورقة1" sheetId="29" r:id="rId16"/>
    <sheet name="عهدة المصروفات" sheetId="17" r:id="rId17"/>
    <sheet name="مشتريات الموردين" sheetId="13" r:id="rId18"/>
    <sheet name="حسابات الموردين" sheetId="14" r:id="rId19"/>
    <sheet name="ملخص مشتريات" sheetId="19" r:id="rId20"/>
    <sheet name="نموذج تفاصيل العهدة" sheetId="28" r:id="rId21"/>
    <sheet name="المصروفات الثابتة" sheetId="21" state="hidden" r:id="rId22"/>
    <sheet name="حساب الاطباق الجانبية" sheetId="4" state="hidden" r:id="rId23"/>
    <sheet name="أهداف المنتجات" sheetId="7" state="hidden" r:id="rId24"/>
  </sheets>
  <definedNames>
    <definedName name="_xlnm._FilterDatabase" localSheetId="14" hidden="1">'المصروفات التشغيلية'!$A$2:$L$1043</definedName>
    <definedName name="_xlnm._FilterDatabase" localSheetId="21" hidden="1">'المصروفات الثابتة'!$A$2:$F$2</definedName>
    <definedName name="_xlnm._FilterDatabase" localSheetId="9" hidden="1">'تطبيقات التوصيل'!$A$3:$AR$3</definedName>
    <definedName name="_xlnm._FilterDatabase" localSheetId="0" hidden="1">'تكاليف المنتجات'!$A$9:$DM$143</definedName>
    <definedName name="_xlnm._FilterDatabase" localSheetId="2" hidden="1">'تكلفةالمشاوي واحتماليات الاطباق'!$A$2:$L$18</definedName>
    <definedName name="_xlnm._FilterDatabase" localSheetId="4" hidden="1">'قائمة التقارير'!$A$1:$E$1</definedName>
    <definedName name="_xlnm._FilterDatabase" localSheetId="3" hidden="1">'ملخص التكلفة (بدون المشاوي)'!$A$2:$S$31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35" i="11" l="1"/>
  <c r="L935" i="11"/>
  <c r="L934" i="11"/>
  <c r="L868" i="11"/>
  <c r="L866" i="11"/>
  <c r="N864" i="11"/>
  <c r="O864" i="11" s="1"/>
  <c r="N975" i="11"/>
  <c r="O975" i="11" s="1"/>
  <c r="N999" i="11"/>
  <c r="O999" i="11" s="1"/>
  <c r="M864" i="11"/>
  <c r="M865" i="11"/>
  <c r="M866" i="11"/>
  <c r="M867" i="11"/>
  <c r="M868" i="11"/>
  <c r="M869" i="11"/>
  <c r="M870" i="11"/>
  <c r="M871" i="11"/>
  <c r="M872" i="11"/>
  <c r="M873" i="11"/>
  <c r="M874" i="11"/>
  <c r="M875" i="11"/>
  <c r="M876" i="11"/>
  <c r="M877" i="11"/>
  <c r="M878" i="11"/>
  <c r="M879" i="11"/>
  <c r="M880" i="11"/>
  <c r="M881" i="11"/>
  <c r="N881" i="11" s="1"/>
  <c r="O881" i="11" s="1"/>
  <c r="M882" i="11"/>
  <c r="M883" i="11"/>
  <c r="M884" i="11"/>
  <c r="M885" i="11"/>
  <c r="N885" i="11" s="1"/>
  <c r="O885" i="11" s="1"/>
  <c r="M886" i="11"/>
  <c r="N886" i="11" s="1"/>
  <c r="O886" i="11" s="1"/>
  <c r="M887" i="11"/>
  <c r="M888" i="11"/>
  <c r="M889" i="11"/>
  <c r="M890" i="11"/>
  <c r="M891" i="11"/>
  <c r="M892" i="11"/>
  <c r="M893" i="11"/>
  <c r="N893" i="11" s="1"/>
  <c r="O893" i="11" s="1"/>
  <c r="M894" i="11"/>
  <c r="M895" i="11"/>
  <c r="M896" i="11"/>
  <c r="M897" i="11"/>
  <c r="M898" i="11"/>
  <c r="M899" i="11"/>
  <c r="M900" i="11"/>
  <c r="M901" i="11"/>
  <c r="M902" i="11"/>
  <c r="M903" i="11"/>
  <c r="M904" i="11"/>
  <c r="M905" i="11"/>
  <c r="N905" i="11" s="1"/>
  <c r="O905" i="11" s="1"/>
  <c r="M906" i="11"/>
  <c r="M907" i="11"/>
  <c r="M908" i="11"/>
  <c r="M909" i="11"/>
  <c r="N909" i="11" s="1"/>
  <c r="O909" i="11" s="1"/>
  <c r="M910" i="11"/>
  <c r="M911" i="11"/>
  <c r="M912" i="11"/>
  <c r="M913" i="11"/>
  <c r="M914" i="11"/>
  <c r="M915" i="11"/>
  <c r="M916" i="11"/>
  <c r="M917" i="11"/>
  <c r="N917" i="11" s="1"/>
  <c r="O917" i="11" s="1"/>
  <c r="M918" i="11"/>
  <c r="M919" i="11"/>
  <c r="M920" i="11"/>
  <c r="M921" i="11"/>
  <c r="M922" i="11"/>
  <c r="M923" i="11"/>
  <c r="M924" i="11"/>
  <c r="M925" i="11"/>
  <c r="M926" i="11"/>
  <c r="M927" i="11"/>
  <c r="N927" i="11" s="1"/>
  <c r="O927" i="11" s="1"/>
  <c r="M928" i="11"/>
  <c r="N928" i="11" s="1"/>
  <c r="O928" i="11" s="1"/>
  <c r="M929" i="11"/>
  <c r="M930" i="11"/>
  <c r="M931" i="11"/>
  <c r="M932" i="11"/>
  <c r="M933" i="11"/>
  <c r="M934" i="11"/>
  <c r="M935" i="11"/>
  <c r="M936" i="11"/>
  <c r="M937" i="11"/>
  <c r="M938" i="11"/>
  <c r="M939" i="11"/>
  <c r="M940" i="11"/>
  <c r="M941" i="11"/>
  <c r="M942" i="11"/>
  <c r="M943" i="11"/>
  <c r="M944" i="11"/>
  <c r="M945" i="11"/>
  <c r="M946" i="11"/>
  <c r="M947" i="11"/>
  <c r="M948" i="11"/>
  <c r="M949" i="11"/>
  <c r="M950" i="11"/>
  <c r="M951" i="11"/>
  <c r="M952" i="11"/>
  <c r="M953" i="11"/>
  <c r="M954" i="11"/>
  <c r="M955" i="11"/>
  <c r="M956" i="11"/>
  <c r="M957" i="11"/>
  <c r="M958" i="11"/>
  <c r="M959" i="11"/>
  <c r="M960" i="11"/>
  <c r="M961" i="11"/>
  <c r="M962" i="11"/>
  <c r="M963" i="11"/>
  <c r="M964" i="11"/>
  <c r="M965" i="11"/>
  <c r="M966" i="11"/>
  <c r="M967" i="11"/>
  <c r="M968" i="11"/>
  <c r="M969" i="11"/>
  <c r="M970" i="11"/>
  <c r="M971" i="11"/>
  <c r="M972" i="11"/>
  <c r="M973" i="11"/>
  <c r="M974" i="11"/>
  <c r="M975" i="11"/>
  <c r="M976" i="11"/>
  <c r="N976" i="11" s="1"/>
  <c r="O976" i="11" s="1"/>
  <c r="M977" i="11"/>
  <c r="N977" i="11" s="1"/>
  <c r="O977" i="11" s="1"/>
  <c r="M978" i="11"/>
  <c r="M979" i="11"/>
  <c r="M980" i="11"/>
  <c r="M981" i="11"/>
  <c r="M982" i="11"/>
  <c r="M983" i="11"/>
  <c r="M984" i="11"/>
  <c r="M985" i="11"/>
  <c r="M986" i="11"/>
  <c r="M987" i="11"/>
  <c r="M988" i="11"/>
  <c r="M989" i="11"/>
  <c r="N989" i="11" s="1"/>
  <c r="O989" i="11" s="1"/>
  <c r="M990" i="11"/>
  <c r="M991" i="11"/>
  <c r="M992" i="11"/>
  <c r="M993" i="11"/>
  <c r="M994" i="11"/>
  <c r="M995" i="11"/>
  <c r="M996" i="11"/>
  <c r="M997" i="11"/>
  <c r="M998" i="11"/>
  <c r="M999" i="11"/>
  <c r="M1000" i="11"/>
  <c r="N1000" i="11" s="1"/>
  <c r="O1000" i="11" s="1"/>
  <c r="M1001" i="11"/>
  <c r="N1001" i="11" s="1"/>
  <c r="O1001" i="11" s="1"/>
  <c r="M1002" i="11"/>
  <c r="M1003" i="11"/>
  <c r="M1004" i="11"/>
  <c r="M1005" i="11"/>
  <c r="M1006" i="11"/>
  <c r="M1007" i="11"/>
  <c r="M1008" i="11"/>
  <c r="M1009" i="11"/>
  <c r="M1010" i="11"/>
  <c r="M1011" i="11"/>
  <c r="N1011" i="11" s="1"/>
  <c r="O1011" i="11" s="1"/>
  <c r="M1012" i="11"/>
  <c r="M1013" i="11"/>
  <c r="N1013" i="11" s="1"/>
  <c r="O1013" i="11" s="1"/>
  <c r="M1014" i="11"/>
  <c r="M1015" i="11"/>
  <c r="M1016" i="11"/>
  <c r="M1017" i="11"/>
  <c r="M1018" i="11"/>
  <c r="M1019" i="11"/>
  <c r="M1020" i="11"/>
  <c r="M1021" i="11"/>
  <c r="M1022" i="11"/>
  <c r="M1023" i="11"/>
  <c r="M1024" i="11"/>
  <c r="N1024" i="11" s="1"/>
  <c r="O1024" i="11" s="1"/>
  <c r="M1025" i="11"/>
  <c r="N1025" i="11" s="1"/>
  <c r="O1025" i="11" s="1"/>
  <c r="M1026" i="11"/>
  <c r="M1027" i="11"/>
  <c r="M1028" i="11"/>
  <c r="M1029" i="11"/>
  <c r="M1030" i="11"/>
  <c r="L864" i="11"/>
  <c r="L865" i="11"/>
  <c r="L867" i="11"/>
  <c r="N867" i="11" s="1"/>
  <c r="O867" i="11" s="1"/>
  <c r="L869" i="11"/>
  <c r="L870" i="11"/>
  <c r="L871" i="11"/>
  <c r="L872" i="11"/>
  <c r="L873" i="11"/>
  <c r="L874" i="11"/>
  <c r="L875" i="11"/>
  <c r="L876" i="11"/>
  <c r="L877" i="11"/>
  <c r="L878" i="11"/>
  <c r="L879" i="11"/>
  <c r="L880" i="11"/>
  <c r="L881" i="11"/>
  <c r="L882" i="11"/>
  <c r="L883" i="11"/>
  <c r="L884" i="11"/>
  <c r="L885" i="11"/>
  <c r="L886" i="11"/>
  <c r="L887" i="11"/>
  <c r="L888" i="11"/>
  <c r="L889" i="11"/>
  <c r="L890" i="11"/>
  <c r="L891" i="11"/>
  <c r="L892" i="11"/>
  <c r="L893" i="11"/>
  <c r="L894" i="11"/>
  <c r="L895" i="11"/>
  <c r="L896" i="11"/>
  <c r="L897" i="11"/>
  <c r="L898" i="11"/>
  <c r="L899" i="11"/>
  <c r="L900" i="11"/>
  <c r="L901" i="11"/>
  <c r="L902" i="11"/>
  <c r="L903" i="11"/>
  <c r="L904" i="11"/>
  <c r="L905" i="11"/>
  <c r="L906" i="11"/>
  <c r="L907" i="11"/>
  <c r="L908" i="11"/>
  <c r="L909" i="11"/>
  <c r="L910" i="11"/>
  <c r="L911" i="11"/>
  <c r="L912" i="11"/>
  <c r="L913" i="11"/>
  <c r="L914" i="11"/>
  <c r="L915" i="11"/>
  <c r="L916" i="11"/>
  <c r="L917" i="11"/>
  <c r="L918" i="11"/>
  <c r="L919" i="11"/>
  <c r="L920" i="11"/>
  <c r="L921" i="11"/>
  <c r="L922" i="11"/>
  <c r="L924" i="11"/>
  <c r="L925" i="11"/>
  <c r="L926" i="11"/>
  <c r="N926" i="11" s="1"/>
  <c r="O926" i="11" s="1"/>
  <c r="L927" i="11"/>
  <c r="L928" i="11"/>
  <c r="L929" i="11"/>
  <c r="L930" i="11"/>
  <c r="L931" i="11"/>
  <c r="L932" i="11"/>
  <c r="L933" i="11"/>
  <c r="L936" i="11"/>
  <c r="L937" i="11"/>
  <c r="L938" i="11"/>
  <c r="L939" i="11"/>
  <c r="L940" i="11"/>
  <c r="L941" i="11"/>
  <c r="L942" i="11"/>
  <c r="L943" i="11"/>
  <c r="L944" i="11"/>
  <c r="L945" i="11"/>
  <c r="L946" i="11"/>
  <c r="L947" i="11"/>
  <c r="L948" i="11"/>
  <c r="L949" i="11"/>
  <c r="L950" i="11"/>
  <c r="N950" i="11" s="1"/>
  <c r="O950" i="11" s="1"/>
  <c r="L951" i="11"/>
  <c r="N951" i="11" s="1"/>
  <c r="O951" i="11" s="1"/>
  <c r="L952" i="11"/>
  <c r="L953" i="11"/>
  <c r="L954" i="11"/>
  <c r="L955" i="11"/>
  <c r="L956" i="11"/>
  <c r="N956" i="11" s="1"/>
  <c r="O956" i="11" s="1"/>
  <c r="L957" i="11"/>
  <c r="L958" i="11"/>
  <c r="L959" i="11"/>
  <c r="L960" i="11"/>
  <c r="L961" i="11"/>
  <c r="L962" i="11"/>
  <c r="L963" i="11"/>
  <c r="N963" i="11" s="1"/>
  <c r="O963" i="11" s="1"/>
  <c r="L964" i="11"/>
  <c r="L965" i="11"/>
  <c r="L966" i="11"/>
  <c r="L967" i="11"/>
  <c r="L968" i="11"/>
  <c r="L969" i="11"/>
  <c r="L970" i="11"/>
  <c r="L971" i="11"/>
  <c r="L972" i="11"/>
  <c r="L973" i="11"/>
  <c r="L974" i="11"/>
  <c r="N974" i="11" s="1"/>
  <c r="O974" i="11" s="1"/>
  <c r="L975" i="11"/>
  <c r="L976" i="11"/>
  <c r="L977" i="11"/>
  <c r="L978" i="11"/>
  <c r="L979" i="11"/>
  <c r="L980" i="11"/>
  <c r="L981" i="11"/>
  <c r="L982" i="11"/>
  <c r="L983" i="11"/>
  <c r="L984" i="11"/>
  <c r="L985" i="11"/>
  <c r="L986" i="11"/>
  <c r="L987" i="11"/>
  <c r="N987" i="11" s="1"/>
  <c r="O987" i="11" s="1"/>
  <c r="L988" i="11"/>
  <c r="L989" i="11"/>
  <c r="L990" i="11"/>
  <c r="L991" i="11"/>
  <c r="L992" i="11"/>
  <c r="L993" i="11"/>
  <c r="L994" i="11"/>
  <c r="L995" i="11"/>
  <c r="L996" i="11"/>
  <c r="L997" i="11"/>
  <c r="L998" i="11"/>
  <c r="N998" i="11" s="1"/>
  <c r="O998" i="11" s="1"/>
  <c r="L999" i="11"/>
  <c r="L1000" i="11"/>
  <c r="L1001" i="11"/>
  <c r="L1002" i="11"/>
  <c r="L1003" i="11"/>
  <c r="L1004" i="11"/>
  <c r="L1005" i="11"/>
  <c r="L1006" i="11"/>
  <c r="L1007" i="11"/>
  <c r="L1008" i="11"/>
  <c r="L1009" i="11"/>
  <c r="L1010" i="11"/>
  <c r="L1011" i="11"/>
  <c r="L1012" i="11"/>
  <c r="L1013" i="11"/>
  <c r="L1014" i="11"/>
  <c r="L1015" i="11"/>
  <c r="L1016" i="11"/>
  <c r="L1017" i="11"/>
  <c r="L1018" i="11"/>
  <c r="L1019" i="11"/>
  <c r="L1020" i="11"/>
  <c r="L1021" i="11"/>
  <c r="L1022" i="11"/>
  <c r="N1022" i="11" s="1"/>
  <c r="O1022" i="11" s="1"/>
  <c r="L1023" i="11"/>
  <c r="N1023" i="11" s="1"/>
  <c r="O1023" i="11" s="1"/>
  <c r="L1024" i="11"/>
  <c r="L1025" i="11"/>
  <c r="L1026" i="11"/>
  <c r="L1027" i="11"/>
  <c r="L1028" i="11"/>
  <c r="L1029" i="11"/>
  <c r="L1030" i="11"/>
  <c r="L863" i="11"/>
  <c r="M863" i="11"/>
  <c r="N863" i="11" s="1"/>
  <c r="O863" i="11" s="1"/>
  <c r="L862" i="11"/>
  <c r="M862" i="11"/>
  <c r="L855" i="11"/>
  <c r="M843" i="11"/>
  <c r="L791" i="11"/>
  <c r="L792" i="11"/>
  <c r="L793" i="11"/>
  <c r="L794" i="11"/>
  <c r="L795" i="11"/>
  <c r="L796" i="11"/>
  <c r="L797" i="11"/>
  <c r="L798" i="11"/>
  <c r="L799" i="11"/>
  <c r="L800" i="11"/>
  <c r="L801" i="11"/>
  <c r="L802" i="11"/>
  <c r="L803" i="11"/>
  <c r="L804" i="11"/>
  <c r="L805" i="11"/>
  <c r="L806" i="11"/>
  <c r="L807" i="11"/>
  <c r="L808" i="11"/>
  <c r="L809" i="11"/>
  <c r="L810" i="11"/>
  <c r="L811" i="11"/>
  <c r="L812" i="11"/>
  <c r="L813" i="11"/>
  <c r="L814" i="11"/>
  <c r="L815" i="11"/>
  <c r="L816" i="11"/>
  <c r="L817" i="11"/>
  <c r="L818" i="11"/>
  <c r="L819" i="11"/>
  <c r="L820" i="11"/>
  <c r="L821" i="11"/>
  <c r="L822" i="11"/>
  <c r="L823" i="11"/>
  <c r="L824" i="11"/>
  <c r="L825" i="11"/>
  <c r="L826" i="11"/>
  <c r="L827" i="11"/>
  <c r="L828" i="11"/>
  <c r="L829" i="11"/>
  <c r="L830" i="11"/>
  <c r="L831" i="11"/>
  <c r="L832" i="11"/>
  <c r="L833" i="11"/>
  <c r="L834" i="11"/>
  <c r="L835" i="11"/>
  <c r="L836" i="11"/>
  <c r="L837" i="11"/>
  <c r="L838" i="11"/>
  <c r="L839" i="11"/>
  <c r="L840" i="11"/>
  <c r="L841" i="11"/>
  <c r="L842" i="11"/>
  <c r="L843" i="11"/>
  <c r="L844" i="11"/>
  <c r="L845" i="11"/>
  <c r="L846" i="11"/>
  <c r="L847" i="11"/>
  <c r="L848" i="11"/>
  <c r="L849" i="11"/>
  <c r="L850" i="11"/>
  <c r="L851" i="11"/>
  <c r="L852" i="11"/>
  <c r="L853" i="11"/>
  <c r="L854" i="11"/>
  <c r="L856" i="11"/>
  <c r="L857" i="11"/>
  <c r="L858" i="11"/>
  <c r="L859" i="11"/>
  <c r="L860" i="11"/>
  <c r="L861" i="11"/>
  <c r="L1031" i="11"/>
  <c r="L1032" i="11"/>
  <c r="L1033" i="11"/>
  <c r="L1034" i="11"/>
  <c r="L1035" i="11"/>
  <c r="L790" i="11"/>
  <c r="L786" i="11"/>
  <c r="L785" i="11"/>
  <c r="L787" i="11"/>
  <c r="L788" i="11"/>
  <c r="L789" i="11"/>
  <c r="L784" i="11"/>
  <c r="L779" i="11"/>
  <c r="L780" i="11"/>
  <c r="L781" i="11"/>
  <c r="L782" i="11"/>
  <c r="L783" i="11"/>
  <c r="L778" i="11"/>
  <c r="L761" i="11"/>
  <c r="L762" i="11"/>
  <c r="L763" i="11"/>
  <c r="L764" i="11"/>
  <c r="L765" i="11"/>
  <c r="L766" i="11"/>
  <c r="L767" i="11"/>
  <c r="L768" i="11"/>
  <c r="L769" i="11"/>
  <c r="L770" i="11"/>
  <c r="L771" i="11"/>
  <c r="L772" i="11"/>
  <c r="L773" i="11"/>
  <c r="L774" i="11"/>
  <c r="L775" i="11"/>
  <c r="L776" i="11"/>
  <c r="L777" i="11"/>
  <c r="M767" i="11"/>
  <c r="M768" i="11"/>
  <c r="M769" i="11"/>
  <c r="M770" i="11"/>
  <c r="M771" i="11"/>
  <c r="M772" i="11"/>
  <c r="M773" i="11"/>
  <c r="M774" i="11"/>
  <c r="M775" i="11"/>
  <c r="M776" i="11"/>
  <c r="M777" i="11"/>
  <c r="M778" i="11"/>
  <c r="M779" i="11"/>
  <c r="M780" i="11"/>
  <c r="M781" i="11"/>
  <c r="M782" i="11"/>
  <c r="M783" i="11"/>
  <c r="M784" i="11"/>
  <c r="M785" i="11"/>
  <c r="M786" i="11"/>
  <c r="M787" i="11"/>
  <c r="M788" i="11"/>
  <c r="M789" i="11"/>
  <c r="M790" i="11"/>
  <c r="M791" i="11"/>
  <c r="M792" i="11"/>
  <c r="M793" i="11"/>
  <c r="M794" i="11"/>
  <c r="M795" i="11"/>
  <c r="M796" i="11"/>
  <c r="M797" i="11"/>
  <c r="M798" i="11"/>
  <c r="M799" i="11"/>
  <c r="M800" i="11"/>
  <c r="M801" i="11"/>
  <c r="M802" i="11"/>
  <c r="M803" i="11"/>
  <c r="M804" i="11"/>
  <c r="M805" i="11"/>
  <c r="M806" i="11"/>
  <c r="M807" i="11"/>
  <c r="M808" i="11"/>
  <c r="M809" i="11"/>
  <c r="M810" i="11"/>
  <c r="M811" i="11"/>
  <c r="M812" i="11"/>
  <c r="M813" i="11"/>
  <c r="M814" i="11"/>
  <c r="M815" i="11"/>
  <c r="M816" i="11"/>
  <c r="M817" i="11"/>
  <c r="M818" i="11"/>
  <c r="M819" i="11"/>
  <c r="M820" i="11"/>
  <c r="M821" i="11"/>
  <c r="M822" i="11"/>
  <c r="M823" i="11"/>
  <c r="M824" i="11"/>
  <c r="M825" i="11"/>
  <c r="M826" i="11"/>
  <c r="M827" i="11"/>
  <c r="M828" i="11"/>
  <c r="M829" i="11"/>
  <c r="M830" i="11"/>
  <c r="M831" i="11"/>
  <c r="M832" i="11"/>
  <c r="M833" i="11"/>
  <c r="M834" i="11"/>
  <c r="M835" i="11"/>
  <c r="M836" i="11"/>
  <c r="M837" i="11"/>
  <c r="M838" i="11"/>
  <c r="M839" i="11"/>
  <c r="M840" i="11"/>
  <c r="M841" i="11"/>
  <c r="M842" i="11"/>
  <c r="M844" i="11"/>
  <c r="M845" i="11"/>
  <c r="M846" i="11"/>
  <c r="M847" i="11"/>
  <c r="M848" i="11"/>
  <c r="M849" i="11"/>
  <c r="M850" i="11"/>
  <c r="M851" i="11"/>
  <c r="M852" i="11"/>
  <c r="M853" i="11"/>
  <c r="M854" i="11"/>
  <c r="M855" i="11"/>
  <c r="M856" i="11"/>
  <c r="L758" i="11"/>
  <c r="L756" i="11"/>
  <c r="L757" i="11"/>
  <c r="L759" i="11"/>
  <c r="L760" i="11"/>
  <c r="L755" i="11"/>
  <c r="M756" i="11"/>
  <c r="M757" i="11"/>
  <c r="M758" i="11"/>
  <c r="M759" i="11"/>
  <c r="M760" i="11"/>
  <c r="M761" i="11"/>
  <c r="M762" i="11"/>
  <c r="M763" i="11"/>
  <c r="M764" i="11"/>
  <c r="M765" i="11"/>
  <c r="M766" i="11"/>
  <c r="N965" i="11" l="1"/>
  <c r="O965" i="11" s="1"/>
  <c r="N953" i="11"/>
  <c r="O953" i="11" s="1"/>
  <c r="N952" i="11"/>
  <c r="O952" i="11" s="1"/>
  <c r="N941" i="11"/>
  <c r="O941" i="11" s="1"/>
  <c r="N939" i="11"/>
  <c r="O939" i="11" s="1"/>
  <c r="N877" i="11"/>
  <c r="O877" i="11" s="1"/>
  <c r="N1021" i="11"/>
  <c r="O1021" i="11" s="1"/>
  <c r="N985" i="11"/>
  <c r="O985" i="11" s="1"/>
  <c r="N961" i="11"/>
  <c r="O961" i="11" s="1"/>
  <c r="N937" i="11"/>
  <c r="O937" i="11" s="1"/>
  <c r="N876" i="11"/>
  <c r="O876" i="11" s="1"/>
  <c r="N1020" i="11"/>
  <c r="O1020" i="11" s="1"/>
  <c r="N996" i="11"/>
  <c r="O996" i="11" s="1"/>
  <c r="N960" i="11"/>
  <c r="O960" i="11" s="1"/>
  <c r="N924" i="11"/>
  <c r="O924" i="11" s="1"/>
  <c r="N908" i="11"/>
  <c r="O908" i="11" s="1"/>
  <c r="N884" i="11"/>
  <c r="O884" i="11" s="1"/>
  <c r="N1019" i="11"/>
  <c r="O1019" i="11" s="1"/>
  <c r="N1007" i="11"/>
  <c r="O1007" i="11" s="1"/>
  <c r="N995" i="11"/>
  <c r="O995" i="11" s="1"/>
  <c r="N983" i="11"/>
  <c r="O983" i="11" s="1"/>
  <c r="N971" i="11"/>
  <c r="O971" i="11" s="1"/>
  <c r="N959" i="11"/>
  <c r="O959" i="11" s="1"/>
  <c r="N947" i="11"/>
  <c r="O947" i="11" s="1"/>
  <c r="N935" i="11"/>
  <c r="N871" i="11"/>
  <c r="O871" i="11" s="1"/>
  <c r="N1009" i="11"/>
  <c r="O1009" i="11" s="1"/>
  <c r="N997" i="11"/>
  <c r="O997" i="11" s="1"/>
  <c r="N973" i="11"/>
  <c r="O973" i="11" s="1"/>
  <c r="N949" i="11"/>
  <c r="O949" i="11" s="1"/>
  <c r="N925" i="11"/>
  <c r="O925" i="11" s="1"/>
  <c r="N1008" i="11"/>
  <c r="O1008" i="11" s="1"/>
  <c r="N984" i="11"/>
  <c r="O984" i="11" s="1"/>
  <c r="N972" i="11"/>
  <c r="O972" i="11" s="1"/>
  <c r="N948" i="11"/>
  <c r="O948" i="11" s="1"/>
  <c r="N936" i="11"/>
  <c r="O936" i="11" s="1"/>
  <c r="N875" i="11"/>
  <c r="O875" i="11" s="1"/>
  <c r="N1026" i="11"/>
  <c r="O1026" i="11" s="1"/>
  <c r="N1014" i="11"/>
  <c r="O1014" i="11" s="1"/>
  <c r="N1002" i="11"/>
  <c r="O1002" i="11" s="1"/>
  <c r="N990" i="11"/>
  <c r="O990" i="11" s="1"/>
  <c r="N978" i="11"/>
  <c r="O978" i="11" s="1"/>
  <c r="N966" i="11"/>
  <c r="O966" i="11" s="1"/>
  <c r="N954" i="11"/>
  <c r="O954" i="11" s="1"/>
  <c r="N942" i="11"/>
  <c r="O942" i="11" s="1"/>
  <c r="N930" i="11"/>
  <c r="O930" i="11" s="1"/>
  <c r="N918" i="11"/>
  <c r="O918" i="11" s="1"/>
  <c r="N906" i="11"/>
  <c r="O906" i="11" s="1"/>
  <c r="N894" i="11"/>
  <c r="O894" i="11" s="1"/>
  <c r="N882" i="11"/>
  <c r="O882" i="11" s="1"/>
  <c r="N870" i="11"/>
  <c r="O870" i="11" s="1"/>
  <c r="N1012" i="11"/>
  <c r="O1012" i="11" s="1"/>
  <c r="N988" i="11"/>
  <c r="O988" i="11" s="1"/>
  <c r="N964" i="11"/>
  <c r="O964" i="11" s="1"/>
  <c r="N940" i="11"/>
  <c r="O940" i="11" s="1"/>
  <c r="N916" i="11"/>
  <c r="O916" i="11" s="1"/>
  <c r="N904" i="11"/>
  <c r="O904" i="11" s="1"/>
  <c r="N892" i="11"/>
  <c r="O892" i="11" s="1"/>
  <c r="N880" i="11"/>
  <c r="O880" i="11" s="1"/>
  <c r="N868" i="11"/>
  <c r="O868" i="11" s="1"/>
  <c r="N1010" i="11"/>
  <c r="O1010" i="11" s="1"/>
  <c r="N986" i="11"/>
  <c r="O986" i="11" s="1"/>
  <c r="N962" i="11"/>
  <c r="O962" i="11" s="1"/>
  <c r="N938" i="11"/>
  <c r="O938" i="11" s="1"/>
  <c r="N914" i="11"/>
  <c r="O914" i="11" s="1"/>
  <c r="N902" i="11"/>
  <c r="O902" i="11" s="1"/>
  <c r="N890" i="11"/>
  <c r="O890" i="11" s="1"/>
  <c r="N878" i="11"/>
  <c r="O878" i="11" s="1"/>
  <c r="N873" i="11"/>
  <c r="O873" i="11" s="1"/>
  <c r="N1029" i="11"/>
  <c r="O1029" i="11" s="1"/>
  <c r="N1017" i="11"/>
  <c r="O1017" i="11" s="1"/>
  <c r="N1005" i="11"/>
  <c r="O1005" i="11" s="1"/>
  <c r="N993" i="11"/>
  <c r="O993" i="11" s="1"/>
  <c r="N981" i="11"/>
  <c r="O981" i="11" s="1"/>
  <c r="N969" i="11"/>
  <c r="O969" i="11" s="1"/>
  <c r="N957" i="11"/>
  <c r="O957" i="11" s="1"/>
  <c r="N945" i="11"/>
  <c r="O945" i="11" s="1"/>
  <c r="N933" i="11"/>
  <c r="O933" i="11" s="1"/>
  <c r="N872" i="11"/>
  <c r="O872" i="11" s="1"/>
  <c r="N874" i="11"/>
  <c r="O874" i="11" s="1"/>
  <c r="N1030" i="11"/>
  <c r="O1030" i="11" s="1"/>
  <c r="N1018" i="11"/>
  <c r="O1018" i="11" s="1"/>
  <c r="N1006" i="11"/>
  <c r="O1006" i="11" s="1"/>
  <c r="N994" i="11"/>
  <c r="O994" i="11" s="1"/>
  <c r="N982" i="11"/>
  <c r="O982" i="11" s="1"/>
  <c r="N970" i="11"/>
  <c r="O970" i="11" s="1"/>
  <c r="N958" i="11"/>
  <c r="O958" i="11" s="1"/>
  <c r="N946" i="11"/>
  <c r="O946" i="11" s="1"/>
  <c r="N934" i="11"/>
  <c r="O934" i="11" s="1"/>
  <c r="N992" i="11"/>
  <c r="O992" i="11" s="1"/>
  <c r="N944" i="11"/>
  <c r="O944" i="11" s="1"/>
  <c r="N932" i="11"/>
  <c r="O932" i="11" s="1"/>
  <c r="N1027" i="11"/>
  <c r="O1027" i="11" s="1"/>
  <c r="N1015" i="11"/>
  <c r="O1015" i="11" s="1"/>
  <c r="N1003" i="11"/>
  <c r="O1003" i="11" s="1"/>
  <c r="N991" i="11"/>
  <c r="O991" i="11" s="1"/>
  <c r="N979" i="11"/>
  <c r="O979" i="11" s="1"/>
  <c r="N967" i="11"/>
  <c r="O967" i="11" s="1"/>
  <c r="N955" i="11"/>
  <c r="O955" i="11" s="1"/>
  <c r="N943" i="11"/>
  <c r="O943" i="11" s="1"/>
  <c r="N931" i="11"/>
  <c r="O931" i="11" s="1"/>
  <c r="N915" i="11"/>
  <c r="O915" i="11" s="1"/>
  <c r="N903" i="11"/>
  <c r="O903" i="11" s="1"/>
  <c r="N891" i="11"/>
  <c r="O891" i="11" s="1"/>
  <c r="N879" i="11"/>
  <c r="O879" i="11" s="1"/>
  <c r="N929" i="11"/>
  <c r="O929" i="11" s="1"/>
  <c r="N913" i="11"/>
  <c r="O913" i="11" s="1"/>
  <c r="N901" i="11"/>
  <c r="O901" i="11" s="1"/>
  <c r="N889" i="11"/>
  <c r="O889" i="11" s="1"/>
  <c r="N1028" i="11"/>
  <c r="O1028" i="11" s="1"/>
  <c r="N1016" i="11"/>
  <c r="O1016" i="11" s="1"/>
  <c r="N1004" i="11"/>
  <c r="O1004" i="11" s="1"/>
  <c r="N980" i="11"/>
  <c r="O980" i="11" s="1"/>
  <c r="N968" i="11"/>
  <c r="O968" i="11" s="1"/>
  <c r="N869" i="11"/>
  <c r="O869" i="11" s="1"/>
  <c r="N923" i="11"/>
  <c r="O923" i="11" s="1"/>
  <c r="N922" i="11"/>
  <c r="O922" i="11" s="1"/>
  <c r="N921" i="11"/>
  <c r="O921" i="11" s="1"/>
  <c r="N920" i="11"/>
  <c r="O920" i="11" s="1"/>
  <c r="N919" i="11"/>
  <c r="O919" i="11" s="1"/>
  <c r="N907" i="11"/>
  <c r="O907" i="11" s="1"/>
  <c r="N897" i="11"/>
  <c r="O897" i="11" s="1"/>
  <c r="N896" i="11"/>
  <c r="O896" i="11" s="1"/>
  <c r="N895" i="11"/>
  <c r="O895" i="11" s="1"/>
  <c r="N912" i="11"/>
  <c r="O912" i="11" s="1"/>
  <c r="N888" i="11"/>
  <c r="O888" i="11" s="1"/>
  <c r="N911" i="11"/>
  <c r="O911" i="11" s="1"/>
  <c r="N900" i="11"/>
  <c r="O900" i="11" s="1"/>
  <c r="N899" i="11"/>
  <c r="O899" i="11" s="1"/>
  <c r="N910" i="11"/>
  <c r="O910" i="11" s="1"/>
  <c r="N898" i="11"/>
  <c r="O898" i="11" s="1"/>
  <c r="N887" i="11"/>
  <c r="O887" i="11" s="1"/>
  <c r="N883" i="11"/>
  <c r="O883" i="11" s="1"/>
  <c r="N866" i="11"/>
  <c r="O866" i="11" s="1"/>
  <c r="N865" i="11"/>
  <c r="O865" i="11" s="1"/>
  <c r="N784" i="11"/>
  <c r="O784" i="11" s="1"/>
  <c r="N779" i="11"/>
  <c r="O779" i="11" s="1"/>
  <c r="N844" i="11"/>
  <c r="O844" i="11" s="1"/>
  <c r="N808" i="11"/>
  <c r="O808" i="11" s="1"/>
  <c r="N772" i="11"/>
  <c r="O772" i="11" s="1"/>
  <c r="N856" i="11"/>
  <c r="O856" i="11" s="1"/>
  <c r="N807" i="11"/>
  <c r="O807" i="11" s="1"/>
  <c r="N771" i="11"/>
  <c r="O771" i="11" s="1"/>
  <c r="N782" i="11"/>
  <c r="O782" i="11" s="1"/>
  <c r="N793" i="11"/>
  <c r="O793" i="11" s="1"/>
  <c r="N769" i="11"/>
  <c r="O769" i="11" s="1"/>
  <c r="N792" i="11"/>
  <c r="O792" i="11" s="1"/>
  <c r="N768" i="11"/>
  <c r="O768" i="11" s="1"/>
  <c r="N791" i="11"/>
  <c r="O791" i="11" s="1"/>
  <c r="N851" i="11"/>
  <c r="O851" i="11" s="1"/>
  <c r="N777" i="11"/>
  <c r="O777" i="11" s="1"/>
  <c r="N766" i="11"/>
  <c r="O766" i="11" s="1"/>
  <c r="N776" i="11"/>
  <c r="O776" i="11" s="1"/>
  <c r="N775" i="11"/>
  <c r="O775" i="11" s="1"/>
  <c r="N770" i="11"/>
  <c r="O770" i="11" s="1"/>
  <c r="N783" i="11"/>
  <c r="O783" i="11" s="1"/>
  <c r="N788" i="11"/>
  <c r="N756" i="11"/>
  <c r="O756" i="11" s="1"/>
  <c r="N799" i="11"/>
  <c r="O799" i="11" s="1"/>
  <c r="N854" i="11"/>
  <c r="O854" i="11" s="1"/>
  <c r="N806" i="11"/>
  <c r="O806" i="11" s="1"/>
  <c r="N794" i="11"/>
  <c r="O794" i="11" s="1"/>
  <c r="N798" i="11"/>
  <c r="O798" i="11" s="1"/>
  <c r="N786" i="11"/>
  <c r="O786" i="11" s="1"/>
  <c r="N774" i="11"/>
  <c r="O774" i="11" s="1"/>
  <c r="N853" i="11"/>
  <c r="O853" i="11" s="1"/>
  <c r="N829" i="11"/>
  <c r="O829" i="11" s="1"/>
  <c r="N805" i="11"/>
  <c r="O805" i="11" s="1"/>
  <c r="N780" i="11"/>
  <c r="O780" i="11" s="1"/>
  <c r="N852" i="11"/>
  <c r="O852" i="11" s="1"/>
  <c r="N804" i="11"/>
  <c r="O804" i="11" s="1"/>
  <c r="N790" i="11"/>
  <c r="O790" i="11" s="1"/>
  <c r="N796" i="11"/>
  <c r="O796" i="11" s="1"/>
  <c r="N803" i="11"/>
  <c r="O803" i="11" s="1"/>
  <c r="N781" i="11"/>
  <c r="O781" i="11" s="1"/>
  <c r="N767" i="11"/>
  <c r="O767" i="11" s="1"/>
  <c r="N795" i="11"/>
  <c r="O795" i="11" s="1"/>
  <c r="N826" i="11"/>
  <c r="O826" i="11" s="1"/>
  <c r="N814" i="11"/>
  <c r="O814" i="11" s="1"/>
  <c r="N802" i="11"/>
  <c r="O802" i="11" s="1"/>
  <c r="N757" i="11"/>
  <c r="O757" i="11" s="1"/>
  <c r="N797" i="11"/>
  <c r="O797" i="11" s="1"/>
  <c r="N773" i="11"/>
  <c r="O773" i="11" s="1"/>
  <c r="N855" i="11"/>
  <c r="O855" i="11" s="1"/>
  <c r="N789" i="11"/>
  <c r="O789" i="11" s="1"/>
  <c r="N832" i="11"/>
  <c r="O832" i="11" s="1"/>
  <c r="N759" i="11"/>
  <c r="O759" i="11" s="1"/>
  <c r="N831" i="11"/>
  <c r="O831" i="11" s="1"/>
  <c r="N850" i="11"/>
  <c r="O850" i="11" s="1"/>
  <c r="N758" i="11"/>
  <c r="O758" i="11" s="1"/>
  <c r="N830" i="11"/>
  <c r="O830" i="11" s="1"/>
  <c r="N849" i="11"/>
  <c r="O849" i="11" s="1"/>
  <c r="N825" i="11"/>
  <c r="O825" i="11" s="1"/>
  <c r="N813" i="11"/>
  <c r="O813" i="11" s="1"/>
  <c r="N801" i="11"/>
  <c r="O801" i="11" s="1"/>
  <c r="N817" i="11"/>
  <c r="O817" i="11" s="1"/>
  <c r="N785" i="11"/>
  <c r="O785" i="11" s="1"/>
  <c r="N812" i="11"/>
  <c r="O812" i="11" s="1"/>
  <c r="N800" i="11"/>
  <c r="O800" i="11" s="1"/>
  <c r="N828" i="11"/>
  <c r="O828" i="11" s="1"/>
  <c r="N816" i="11"/>
  <c r="O816" i="11" s="1"/>
  <c r="N811" i="11"/>
  <c r="O811" i="11" s="1"/>
  <c r="N839" i="11"/>
  <c r="O839" i="11" s="1"/>
  <c r="N827" i="11"/>
  <c r="O827" i="11" s="1"/>
  <c r="N815" i="11"/>
  <c r="O815" i="11" s="1"/>
  <c r="N846" i="11"/>
  <c r="O846" i="11" s="1"/>
  <c r="N810" i="11"/>
  <c r="O810" i="11" s="1"/>
  <c r="N845" i="11"/>
  <c r="O845" i="11" s="1"/>
  <c r="N809" i="11"/>
  <c r="O809" i="11" s="1"/>
  <c r="N848" i="11"/>
  <c r="O848" i="11" s="1"/>
  <c r="N847" i="11"/>
  <c r="O847" i="11" s="1"/>
  <c r="N841" i="11"/>
  <c r="O841" i="11" s="1"/>
  <c r="N840" i="11"/>
  <c r="O840" i="11" s="1"/>
  <c r="N843" i="11"/>
  <c r="O843" i="11" s="1"/>
  <c r="N842" i="11"/>
  <c r="O842" i="11" s="1"/>
  <c r="N838" i="11"/>
  <c r="O838" i="11" s="1"/>
  <c r="N837" i="11"/>
  <c r="O837" i="11" s="1"/>
  <c r="N836" i="11"/>
  <c r="O836" i="11" s="1"/>
  <c r="N835" i="11"/>
  <c r="O835" i="11" s="1"/>
  <c r="N834" i="11"/>
  <c r="O834" i="11" s="1"/>
  <c r="N833" i="11"/>
  <c r="O833" i="11" s="1"/>
  <c r="N818" i="11"/>
  <c r="O818" i="11" s="1"/>
  <c r="N824" i="11"/>
  <c r="O824" i="11" s="1"/>
  <c r="N823" i="11"/>
  <c r="O823" i="11" s="1"/>
  <c r="N822" i="11"/>
  <c r="O822" i="11" s="1"/>
  <c r="N821" i="11"/>
  <c r="O821" i="11" s="1"/>
  <c r="N820" i="11"/>
  <c r="O820" i="11" s="1"/>
  <c r="N819" i="11"/>
  <c r="O819" i="11" s="1"/>
  <c r="O788" i="11"/>
  <c r="N787" i="11"/>
  <c r="O787" i="11" s="1"/>
  <c r="N778" i="11"/>
  <c r="O778" i="11" s="1"/>
  <c r="N761" i="11"/>
  <c r="O761" i="11" s="1"/>
  <c r="N760" i="11"/>
  <c r="O760" i="11" s="1"/>
  <c r="N765" i="11"/>
  <c r="O765" i="11" s="1"/>
  <c r="N764" i="11"/>
  <c r="O764" i="11" s="1"/>
  <c r="N763" i="11"/>
  <c r="O763" i="11" s="1"/>
  <c r="N762" i="11"/>
  <c r="O762" i="11" s="1"/>
  <c r="L549" i="11"/>
  <c r="L544" i="11"/>
  <c r="N544" i="11" s="1"/>
  <c r="O544" i="11" s="1"/>
  <c r="L672" i="11"/>
  <c r="M654" i="11"/>
  <c r="L600" i="11"/>
  <c r="L599" i="11"/>
  <c r="L598" i="11"/>
  <c r="L594" i="11"/>
  <c r="L523" i="11" l="1"/>
  <c r="L419" i="11"/>
  <c r="L418" i="11"/>
  <c r="L354" i="11"/>
  <c r="N354" i="11" s="1"/>
  <c r="O354" i="11" s="1"/>
  <c r="L237" i="11"/>
  <c r="L236" i="11"/>
  <c r="M236" i="11"/>
  <c r="L229" i="11"/>
  <c r="M229" i="11"/>
  <c r="L209" i="11"/>
  <c r="M209" i="11"/>
  <c r="L119" i="11"/>
  <c r="M119" i="11"/>
  <c r="L118" i="11"/>
  <c r="M118" i="11"/>
  <c r="L95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33" i="11"/>
  <c r="M34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M52" i="11"/>
  <c r="M53" i="11"/>
  <c r="M54" i="11"/>
  <c r="M55" i="11"/>
  <c r="M56" i="11"/>
  <c r="M57" i="11"/>
  <c r="M58" i="11"/>
  <c r="M59" i="11"/>
  <c r="M60" i="11"/>
  <c r="M61" i="11"/>
  <c r="M62" i="11"/>
  <c r="M63" i="11"/>
  <c r="M64" i="11"/>
  <c r="M65" i="11"/>
  <c r="M66" i="11"/>
  <c r="M67" i="11"/>
  <c r="M68" i="11"/>
  <c r="M69" i="11"/>
  <c r="M70" i="11"/>
  <c r="M71" i="11"/>
  <c r="M72" i="11"/>
  <c r="M73" i="11"/>
  <c r="M74" i="11"/>
  <c r="M75" i="11"/>
  <c r="M76" i="11"/>
  <c r="M77" i="11"/>
  <c r="M78" i="11"/>
  <c r="M79" i="11"/>
  <c r="M80" i="11"/>
  <c r="M81" i="11"/>
  <c r="M82" i="11"/>
  <c r="M83" i="11"/>
  <c r="M84" i="11"/>
  <c r="M85" i="11"/>
  <c r="M86" i="11"/>
  <c r="M87" i="11"/>
  <c r="M88" i="11"/>
  <c r="M89" i="11"/>
  <c r="M90" i="11"/>
  <c r="M91" i="11"/>
  <c r="M92" i="11"/>
  <c r="M93" i="11"/>
  <c r="M94" i="11"/>
  <c r="M96" i="11"/>
  <c r="M97" i="11"/>
  <c r="M98" i="11"/>
  <c r="M99" i="11"/>
  <c r="M100" i="11"/>
  <c r="M101" i="11"/>
  <c r="M102" i="11"/>
  <c r="M103" i="11"/>
  <c r="M104" i="11"/>
  <c r="M105" i="11"/>
  <c r="M106" i="11"/>
  <c r="M107" i="11"/>
  <c r="M108" i="11"/>
  <c r="M109" i="11"/>
  <c r="M110" i="11"/>
  <c r="M111" i="11"/>
  <c r="M112" i="11"/>
  <c r="M113" i="11"/>
  <c r="M114" i="11"/>
  <c r="M115" i="11"/>
  <c r="M116" i="11"/>
  <c r="M117" i="11"/>
  <c r="M120" i="11"/>
  <c r="M121" i="11"/>
  <c r="M122" i="11"/>
  <c r="M123" i="11"/>
  <c r="M124" i="11"/>
  <c r="M125" i="11"/>
  <c r="M126" i="11"/>
  <c r="M127" i="11"/>
  <c r="M128" i="11"/>
  <c r="M130" i="11"/>
  <c r="M131" i="11"/>
  <c r="M132" i="11"/>
  <c r="M133" i="11"/>
  <c r="M134" i="11"/>
  <c r="M135" i="11"/>
  <c r="M136" i="11"/>
  <c r="M137" i="11"/>
  <c r="M138" i="11"/>
  <c r="M139" i="11"/>
  <c r="M140" i="11"/>
  <c r="M141" i="11"/>
  <c r="M142" i="11"/>
  <c r="M143" i="11"/>
  <c r="M144" i="11"/>
  <c r="M145" i="11"/>
  <c r="M146" i="11"/>
  <c r="M147" i="11"/>
  <c r="M148" i="11"/>
  <c r="M149" i="11"/>
  <c r="M150" i="11"/>
  <c r="M151" i="11"/>
  <c r="M152" i="11"/>
  <c r="M153" i="11"/>
  <c r="M154" i="11"/>
  <c r="M155" i="11"/>
  <c r="M156" i="11"/>
  <c r="M157" i="11"/>
  <c r="M158" i="11"/>
  <c r="M159" i="11"/>
  <c r="M160" i="11"/>
  <c r="M161" i="11"/>
  <c r="M162" i="11"/>
  <c r="M163" i="11"/>
  <c r="M164" i="11"/>
  <c r="M165" i="11"/>
  <c r="M166" i="11"/>
  <c r="M167" i="11"/>
  <c r="M168" i="11"/>
  <c r="M169" i="11"/>
  <c r="M170" i="11"/>
  <c r="M171" i="11"/>
  <c r="M172" i="11"/>
  <c r="M173" i="11"/>
  <c r="M174" i="11"/>
  <c r="M175" i="11"/>
  <c r="M176" i="11"/>
  <c r="M177" i="11"/>
  <c r="M178" i="11"/>
  <c r="M179" i="11"/>
  <c r="M180" i="11"/>
  <c r="M181" i="11"/>
  <c r="M182" i="11"/>
  <c r="M183" i="11"/>
  <c r="M184" i="11"/>
  <c r="M185" i="11"/>
  <c r="M186" i="11"/>
  <c r="M187" i="11"/>
  <c r="M188" i="11"/>
  <c r="M189" i="11"/>
  <c r="M190" i="11"/>
  <c r="M191" i="11"/>
  <c r="M192" i="11"/>
  <c r="M193" i="11"/>
  <c r="M194" i="11"/>
  <c r="M195" i="11"/>
  <c r="M196" i="11"/>
  <c r="M197" i="11"/>
  <c r="M198" i="11"/>
  <c r="M199" i="11"/>
  <c r="M200" i="11"/>
  <c r="M201" i="11"/>
  <c r="M202" i="11"/>
  <c r="M203" i="11"/>
  <c r="M204" i="11"/>
  <c r="M205" i="11"/>
  <c r="M206" i="11"/>
  <c r="M207" i="11"/>
  <c r="M208" i="11"/>
  <c r="M210" i="11"/>
  <c r="M211" i="11"/>
  <c r="M212" i="11"/>
  <c r="M213" i="11"/>
  <c r="M214" i="11"/>
  <c r="M215" i="11"/>
  <c r="M216" i="11"/>
  <c r="M217" i="11"/>
  <c r="M218" i="11"/>
  <c r="M219" i="11"/>
  <c r="M220" i="11"/>
  <c r="M221" i="11"/>
  <c r="M222" i="11"/>
  <c r="M223" i="11"/>
  <c r="M224" i="11"/>
  <c r="M225" i="11"/>
  <c r="M226" i="11"/>
  <c r="M227" i="11"/>
  <c r="M228" i="11"/>
  <c r="M230" i="11"/>
  <c r="M231" i="11"/>
  <c r="M232" i="11"/>
  <c r="M233" i="11"/>
  <c r="M234" i="11"/>
  <c r="M235" i="11"/>
  <c r="M238" i="11"/>
  <c r="M239" i="11"/>
  <c r="M240" i="11"/>
  <c r="M241" i="11"/>
  <c r="M242" i="11"/>
  <c r="M243" i="11"/>
  <c r="M244" i="11"/>
  <c r="M245" i="11"/>
  <c r="M246" i="11"/>
  <c r="M247" i="11"/>
  <c r="M248" i="11"/>
  <c r="M249" i="11"/>
  <c r="M250" i="11"/>
  <c r="M251" i="11"/>
  <c r="M252" i="11"/>
  <c r="M253" i="11"/>
  <c r="M254" i="11"/>
  <c r="M255" i="11"/>
  <c r="M256" i="11"/>
  <c r="M257" i="11"/>
  <c r="M258" i="11"/>
  <c r="M259" i="11"/>
  <c r="M260" i="11"/>
  <c r="M261" i="11"/>
  <c r="M262" i="11"/>
  <c r="M263" i="11"/>
  <c r="M264" i="11"/>
  <c r="M265" i="11"/>
  <c r="M266" i="11"/>
  <c r="M267" i="11"/>
  <c r="M268" i="11"/>
  <c r="M269" i="11"/>
  <c r="M270" i="11"/>
  <c r="M271" i="11"/>
  <c r="M272" i="11"/>
  <c r="M273" i="11"/>
  <c r="M274" i="11"/>
  <c r="M275" i="11"/>
  <c r="M276" i="11"/>
  <c r="M277" i="11"/>
  <c r="M278" i="11"/>
  <c r="M279" i="11"/>
  <c r="M280" i="11"/>
  <c r="M281" i="11"/>
  <c r="M282" i="11"/>
  <c r="M283" i="11"/>
  <c r="M284" i="11"/>
  <c r="M285" i="11"/>
  <c r="M286" i="11"/>
  <c r="M287" i="11"/>
  <c r="M288" i="11"/>
  <c r="M289" i="11"/>
  <c r="M290" i="11"/>
  <c r="M291" i="11"/>
  <c r="M292" i="11"/>
  <c r="M293" i="11"/>
  <c r="M294" i="11"/>
  <c r="M295" i="11"/>
  <c r="M296" i="11"/>
  <c r="M297" i="11"/>
  <c r="M298" i="11"/>
  <c r="M299" i="11"/>
  <c r="M300" i="11"/>
  <c r="M301" i="11"/>
  <c r="M302" i="11"/>
  <c r="M303" i="11"/>
  <c r="M304" i="11"/>
  <c r="M305" i="11"/>
  <c r="M306" i="11"/>
  <c r="M307" i="11"/>
  <c r="M308" i="11"/>
  <c r="M309" i="11"/>
  <c r="M310" i="11"/>
  <c r="M311" i="11"/>
  <c r="M312" i="11"/>
  <c r="M313" i="11"/>
  <c r="M314" i="11"/>
  <c r="M315" i="11"/>
  <c r="M316" i="11"/>
  <c r="M317" i="11"/>
  <c r="M318" i="11"/>
  <c r="M319" i="11"/>
  <c r="M320" i="11"/>
  <c r="M321" i="11"/>
  <c r="M322" i="11"/>
  <c r="M323" i="11"/>
  <c r="M324" i="11"/>
  <c r="M325" i="11"/>
  <c r="M326" i="11"/>
  <c r="M327" i="11"/>
  <c r="M328" i="11"/>
  <c r="M329" i="11"/>
  <c r="M330" i="11"/>
  <c r="M331" i="11"/>
  <c r="M332" i="11"/>
  <c r="M333" i="11"/>
  <c r="M334" i="11"/>
  <c r="M335" i="11"/>
  <c r="M336" i="11"/>
  <c r="M337" i="11"/>
  <c r="M338" i="11"/>
  <c r="M339" i="11"/>
  <c r="M340" i="11"/>
  <c r="M341" i="11"/>
  <c r="M342" i="11"/>
  <c r="M343" i="11"/>
  <c r="M344" i="11"/>
  <c r="M345" i="11"/>
  <c r="M346" i="11"/>
  <c r="M347" i="11"/>
  <c r="M348" i="11"/>
  <c r="M349" i="11"/>
  <c r="M350" i="11"/>
  <c r="M351" i="11"/>
  <c r="M352" i="11"/>
  <c r="M353" i="11"/>
  <c r="M355" i="11"/>
  <c r="M356" i="11"/>
  <c r="M357" i="11"/>
  <c r="M358" i="11"/>
  <c r="M359" i="11"/>
  <c r="M360" i="11"/>
  <c r="M361" i="11"/>
  <c r="M362" i="11"/>
  <c r="M363" i="11"/>
  <c r="M364" i="11"/>
  <c r="M365" i="11"/>
  <c r="M366" i="11"/>
  <c r="M367" i="11"/>
  <c r="M368" i="11"/>
  <c r="M369" i="11"/>
  <c r="M370" i="11"/>
  <c r="M371" i="11"/>
  <c r="M372" i="11"/>
  <c r="M373" i="11"/>
  <c r="M374" i="11"/>
  <c r="M375" i="11"/>
  <c r="M376" i="11"/>
  <c r="M377" i="11"/>
  <c r="M378" i="11"/>
  <c r="M379" i="11"/>
  <c r="M380" i="11"/>
  <c r="M381" i="11"/>
  <c r="M382" i="11"/>
  <c r="M383" i="11"/>
  <c r="M384" i="11"/>
  <c r="M385" i="11"/>
  <c r="M386" i="11"/>
  <c r="M387" i="11"/>
  <c r="M388" i="11"/>
  <c r="M389" i="11"/>
  <c r="M390" i="11"/>
  <c r="M391" i="11"/>
  <c r="M392" i="11"/>
  <c r="M393" i="11"/>
  <c r="M394" i="11"/>
  <c r="M395" i="11"/>
  <c r="M396" i="11"/>
  <c r="M397" i="11"/>
  <c r="M398" i="11"/>
  <c r="M399" i="11"/>
  <c r="M400" i="11"/>
  <c r="M401" i="11"/>
  <c r="M402" i="11"/>
  <c r="M403" i="11"/>
  <c r="M404" i="11"/>
  <c r="M405" i="11"/>
  <c r="M406" i="11"/>
  <c r="M407" i="11"/>
  <c r="M408" i="11"/>
  <c r="M409" i="11"/>
  <c r="M410" i="11"/>
  <c r="M411" i="11"/>
  <c r="M412" i="11"/>
  <c r="M413" i="11"/>
  <c r="M414" i="11"/>
  <c r="M415" i="11"/>
  <c r="M416" i="11"/>
  <c r="M417" i="11"/>
  <c r="M419" i="11"/>
  <c r="M420" i="11"/>
  <c r="M421" i="11"/>
  <c r="M422" i="11"/>
  <c r="M423" i="11"/>
  <c r="M424" i="11"/>
  <c r="M425" i="11"/>
  <c r="M426" i="11"/>
  <c r="M427" i="11"/>
  <c r="M428" i="11"/>
  <c r="M429" i="11"/>
  <c r="M430" i="11"/>
  <c r="M431" i="11"/>
  <c r="M432" i="11"/>
  <c r="M433" i="11"/>
  <c r="M434" i="11"/>
  <c r="M435" i="11"/>
  <c r="M436" i="11"/>
  <c r="M437" i="11"/>
  <c r="M438" i="11"/>
  <c r="M439" i="11"/>
  <c r="M440" i="11"/>
  <c r="M441" i="11"/>
  <c r="M442" i="11"/>
  <c r="M443" i="11"/>
  <c r="M444" i="11"/>
  <c r="M445" i="11"/>
  <c r="M446" i="11"/>
  <c r="M447" i="11"/>
  <c r="M448" i="11"/>
  <c r="M449" i="11"/>
  <c r="M450" i="11"/>
  <c r="M451" i="11"/>
  <c r="M452" i="11"/>
  <c r="M453" i="11"/>
  <c r="M454" i="11"/>
  <c r="M455" i="11"/>
  <c r="M456" i="11"/>
  <c r="M457" i="11"/>
  <c r="M458" i="11"/>
  <c r="M459" i="11"/>
  <c r="M460" i="11"/>
  <c r="M461" i="11"/>
  <c r="M462" i="11"/>
  <c r="M463" i="11"/>
  <c r="M464" i="11"/>
  <c r="M465" i="11"/>
  <c r="M466" i="11"/>
  <c r="M467" i="11"/>
  <c r="M468" i="11"/>
  <c r="M469" i="11"/>
  <c r="M470" i="11"/>
  <c r="M471" i="11"/>
  <c r="M472" i="11"/>
  <c r="M473" i="11"/>
  <c r="M474" i="11"/>
  <c r="M475" i="11"/>
  <c r="M476" i="11"/>
  <c r="M477" i="11"/>
  <c r="M478" i="11"/>
  <c r="M479" i="11"/>
  <c r="M480" i="11"/>
  <c r="M481" i="11"/>
  <c r="M482" i="11"/>
  <c r="M483" i="11"/>
  <c r="M484" i="11"/>
  <c r="M485" i="11"/>
  <c r="M486" i="11"/>
  <c r="M487" i="11"/>
  <c r="M488" i="11"/>
  <c r="M489" i="11"/>
  <c r="M490" i="11"/>
  <c r="M491" i="11"/>
  <c r="M492" i="11"/>
  <c r="M493" i="11"/>
  <c r="M494" i="11"/>
  <c r="M495" i="11"/>
  <c r="M496" i="11"/>
  <c r="M497" i="11"/>
  <c r="M498" i="11"/>
  <c r="M499" i="11"/>
  <c r="M500" i="11"/>
  <c r="M501" i="11"/>
  <c r="M502" i="11"/>
  <c r="M503" i="11"/>
  <c r="M504" i="11"/>
  <c r="M505" i="11"/>
  <c r="M506" i="11"/>
  <c r="M507" i="11"/>
  <c r="M508" i="11"/>
  <c r="M509" i="11"/>
  <c r="M510" i="11"/>
  <c r="M511" i="11"/>
  <c r="M512" i="11"/>
  <c r="M513" i="11"/>
  <c r="M514" i="11"/>
  <c r="M515" i="11"/>
  <c r="M516" i="11"/>
  <c r="M517" i="11"/>
  <c r="M518" i="11"/>
  <c r="M519" i="11"/>
  <c r="M520" i="11"/>
  <c r="M521" i="11"/>
  <c r="M524" i="11"/>
  <c r="M525" i="11"/>
  <c r="M526" i="11"/>
  <c r="M527" i="11"/>
  <c r="M528" i="11"/>
  <c r="M529" i="11"/>
  <c r="M530" i="11"/>
  <c r="M531" i="11"/>
  <c r="M532" i="11"/>
  <c r="M533" i="11"/>
  <c r="M534" i="11"/>
  <c r="M535" i="11"/>
  <c r="M536" i="11"/>
  <c r="M537" i="11"/>
  <c r="M538" i="11"/>
  <c r="M540" i="11"/>
  <c r="M541" i="11"/>
  <c r="M542" i="11"/>
  <c r="M543" i="11"/>
  <c r="M545" i="11"/>
  <c r="M546" i="11"/>
  <c r="M547" i="11"/>
  <c r="M548" i="11"/>
  <c r="M549" i="11"/>
  <c r="M550" i="11"/>
  <c r="M551" i="11"/>
  <c r="M552" i="11"/>
  <c r="M553" i="11"/>
  <c r="M554" i="11"/>
  <c r="M555" i="11"/>
  <c r="M556" i="11"/>
  <c r="M557" i="11"/>
  <c r="M558" i="11"/>
  <c r="M559" i="11"/>
  <c r="M560" i="11"/>
  <c r="M561" i="11"/>
  <c r="M562" i="11"/>
  <c r="M563" i="11"/>
  <c r="M564" i="11"/>
  <c r="M565" i="11"/>
  <c r="M566" i="11"/>
  <c r="M567" i="11"/>
  <c r="M568" i="11"/>
  <c r="M569" i="11"/>
  <c r="M570" i="11"/>
  <c r="M571" i="11"/>
  <c r="M572" i="11"/>
  <c r="M573" i="11"/>
  <c r="M574" i="11"/>
  <c r="M575" i="11"/>
  <c r="M576" i="11"/>
  <c r="M577" i="11"/>
  <c r="M578" i="11"/>
  <c r="M579" i="11"/>
  <c r="M580" i="11"/>
  <c r="M581" i="11"/>
  <c r="M582" i="11"/>
  <c r="M583" i="11"/>
  <c r="M584" i="11"/>
  <c r="M585" i="11"/>
  <c r="M586" i="11"/>
  <c r="M587" i="11"/>
  <c r="M588" i="11"/>
  <c r="M599" i="11"/>
  <c r="M600" i="11"/>
  <c r="N600" i="11" s="1"/>
  <c r="O600" i="11" s="1"/>
  <c r="M601" i="11"/>
  <c r="M602" i="11"/>
  <c r="M603" i="11"/>
  <c r="M604" i="11"/>
  <c r="M605" i="11"/>
  <c r="M606" i="11"/>
  <c r="M607" i="11"/>
  <c r="M611" i="11"/>
  <c r="M612" i="11"/>
  <c r="M613" i="11"/>
  <c r="M614" i="11"/>
  <c r="M615" i="11"/>
  <c r="M616" i="11"/>
  <c r="M617" i="11"/>
  <c r="M618" i="11"/>
  <c r="M619" i="11"/>
  <c r="M620" i="11"/>
  <c r="M621" i="11"/>
  <c r="M622" i="11"/>
  <c r="M623" i="11"/>
  <c r="M624" i="11"/>
  <c r="M625" i="11"/>
  <c r="M626" i="11"/>
  <c r="M627" i="11"/>
  <c r="M628" i="11"/>
  <c r="M629" i="11"/>
  <c r="M630" i="11"/>
  <c r="M631" i="11"/>
  <c r="M632" i="11"/>
  <c r="M633" i="11"/>
  <c r="M634" i="11"/>
  <c r="M635" i="11"/>
  <c r="M636" i="11"/>
  <c r="M637" i="11"/>
  <c r="M638" i="11"/>
  <c r="M639" i="11"/>
  <c r="M640" i="11"/>
  <c r="M641" i="11"/>
  <c r="M642" i="11"/>
  <c r="M643" i="11"/>
  <c r="M644" i="11"/>
  <c r="M645" i="11"/>
  <c r="M646" i="11"/>
  <c r="M647" i="11"/>
  <c r="M648" i="11"/>
  <c r="M649" i="11"/>
  <c r="M650" i="11"/>
  <c r="M651" i="11"/>
  <c r="M652" i="11"/>
  <c r="M653" i="11"/>
  <c r="M655" i="11"/>
  <c r="M656" i="11"/>
  <c r="M657" i="11"/>
  <c r="M658" i="11"/>
  <c r="M659" i="11"/>
  <c r="M660" i="11"/>
  <c r="M661" i="11"/>
  <c r="M662" i="11"/>
  <c r="M663" i="11"/>
  <c r="M664" i="11"/>
  <c r="M665" i="11"/>
  <c r="M666" i="11"/>
  <c r="M667" i="11"/>
  <c r="M668" i="11"/>
  <c r="M669" i="11"/>
  <c r="M670" i="11"/>
  <c r="M671" i="11"/>
  <c r="M672" i="11"/>
  <c r="M673" i="11"/>
  <c r="M674" i="11"/>
  <c r="M675" i="11"/>
  <c r="M676" i="11"/>
  <c r="M677" i="11"/>
  <c r="M678" i="11"/>
  <c r="M679" i="11"/>
  <c r="M680" i="11"/>
  <c r="M681" i="11"/>
  <c r="M682" i="11"/>
  <c r="M683" i="11"/>
  <c r="M684" i="11"/>
  <c r="M685" i="11"/>
  <c r="M686" i="11"/>
  <c r="M687" i="11"/>
  <c r="M688" i="11"/>
  <c r="M689" i="11"/>
  <c r="M690" i="11"/>
  <c r="M691" i="11"/>
  <c r="M692" i="11"/>
  <c r="M693" i="11"/>
  <c r="M694" i="11"/>
  <c r="M695" i="11"/>
  <c r="M696" i="11"/>
  <c r="M697" i="11"/>
  <c r="M698" i="11"/>
  <c r="M699" i="11"/>
  <c r="M700" i="11"/>
  <c r="M701" i="11"/>
  <c r="M702" i="11"/>
  <c r="M703" i="11"/>
  <c r="M704" i="11"/>
  <c r="M705" i="11"/>
  <c r="M706" i="11"/>
  <c r="M707" i="11"/>
  <c r="M708" i="11"/>
  <c r="M709" i="11"/>
  <c r="M710" i="11"/>
  <c r="M711" i="11"/>
  <c r="M712" i="11"/>
  <c r="M713" i="11"/>
  <c r="M714" i="11"/>
  <c r="M715" i="11"/>
  <c r="M716" i="11"/>
  <c r="M717" i="11"/>
  <c r="M718" i="11"/>
  <c r="M719" i="11"/>
  <c r="M720" i="11"/>
  <c r="M721" i="11"/>
  <c r="M722" i="11"/>
  <c r="M723" i="11"/>
  <c r="M724" i="11"/>
  <c r="M725" i="11"/>
  <c r="M726" i="11"/>
  <c r="M727" i="11"/>
  <c r="M728" i="11"/>
  <c r="M729" i="11"/>
  <c r="M730" i="11"/>
  <c r="M731" i="11"/>
  <c r="M732" i="11"/>
  <c r="M733" i="11"/>
  <c r="M734" i="11"/>
  <c r="M735" i="11"/>
  <c r="M736" i="11"/>
  <c r="M737" i="11"/>
  <c r="M738" i="11"/>
  <c r="M739" i="11"/>
  <c r="M740" i="11"/>
  <c r="M741" i="11"/>
  <c r="M742" i="11"/>
  <c r="M743" i="11"/>
  <c r="M744" i="11"/>
  <c r="M745" i="11"/>
  <c r="M746" i="11"/>
  <c r="M747" i="11"/>
  <c r="M748" i="11"/>
  <c r="M749" i="11"/>
  <c r="M750" i="11"/>
  <c r="M751" i="11"/>
  <c r="M752" i="11"/>
  <c r="M753" i="11"/>
  <c r="M754" i="11"/>
  <c r="M755" i="11"/>
  <c r="M857" i="11"/>
  <c r="N857" i="11" s="1"/>
  <c r="O857" i="11" s="1"/>
  <c r="M858" i="11"/>
  <c r="N858" i="11" s="1"/>
  <c r="O858" i="11" s="1"/>
  <c r="M859" i="11"/>
  <c r="N859" i="11" s="1"/>
  <c r="O859" i="11" s="1"/>
  <c r="M860" i="11"/>
  <c r="N860" i="11" s="1"/>
  <c r="O860" i="11" s="1"/>
  <c r="M861" i="11"/>
  <c r="N861" i="11" s="1"/>
  <c r="O861" i="11" s="1"/>
  <c r="N862" i="11"/>
  <c r="O862" i="11" s="1"/>
  <c r="M1031" i="11"/>
  <c r="N1031" i="11" s="1"/>
  <c r="O1031" i="11" s="1"/>
  <c r="M1032" i="11"/>
  <c r="N1032" i="11" s="1"/>
  <c r="O1032" i="11" s="1"/>
  <c r="M1033" i="11"/>
  <c r="N1033" i="11" s="1"/>
  <c r="O1033" i="11" s="1"/>
  <c r="M1034" i="11"/>
  <c r="N1034" i="11" s="1"/>
  <c r="O1034" i="11" s="1"/>
  <c r="M1035" i="11"/>
  <c r="N1035" i="11" s="1"/>
  <c r="O1035" i="11" s="1"/>
  <c r="M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32" i="11"/>
  <c r="L33" i="11"/>
  <c r="L34" i="11"/>
  <c r="L35" i="11"/>
  <c r="L36" i="11"/>
  <c r="L37" i="11"/>
  <c r="L38" i="11"/>
  <c r="L39" i="11"/>
  <c r="L40" i="11"/>
  <c r="L41" i="11"/>
  <c r="L42" i="11"/>
  <c r="L43" i="11"/>
  <c r="L44" i="11"/>
  <c r="L45" i="11"/>
  <c r="L46" i="11"/>
  <c r="L47" i="11"/>
  <c r="L48" i="11"/>
  <c r="L49" i="11"/>
  <c r="L50" i="11"/>
  <c r="L51" i="11"/>
  <c r="L52" i="11"/>
  <c r="L53" i="11"/>
  <c r="L54" i="11"/>
  <c r="L55" i="11"/>
  <c r="L56" i="11"/>
  <c r="L57" i="11"/>
  <c r="L58" i="11"/>
  <c r="L59" i="11"/>
  <c r="L60" i="11"/>
  <c r="L61" i="11"/>
  <c r="L62" i="11"/>
  <c r="L63" i="11"/>
  <c r="L64" i="11"/>
  <c r="L65" i="11"/>
  <c r="L66" i="11"/>
  <c r="L67" i="11"/>
  <c r="L68" i="11"/>
  <c r="L69" i="11"/>
  <c r="L70" i="11"/>
  <c r="L71" i="11"/>
  <c r="L72" i="11"/>
  <c r="L73" i="11"/>
  <c r="L74" i="11"/>
  <c r="L75" i="11"/>
  <c r="L76" i="11"/>
  <c r="L77" i="11"/>
  <c r="L78" i="11"/>
  <c r="L79" i="11"/>
  <c r="L80" i="11"/>
  <c r="L81" i="11"/>
  <c r="L82" i="11"/>
  <c r="L83" i="11"/>
  <c r="L84" i="11"/>
  <c r="L85" i="11"/>
  <c r="L86" i="11"/>
  <c r="L87" i="11"/>
  <c r="L88" i="11"/>
  <c r="L89" i="11"/>
  <c r="L90" i="11"/>
  <c r="L91" i="11"/>
  <c r="L92" i="11"/>
  <c r="L93" i="11"/>
  <c r="L94" i="11"/>
  <c r="L96" i="11"/>
  <c r="L97" i="11"/>
  <c r="L98" i="11"/>
  <c r="L99" i="11"/>
  <c r="L100" i="11"/>
  <c r="L101" i="11"/>
  <c r="L102" i="11"/>
  <c r="L103" i="11"/>
  <c r="L104" i="11"/>
  <c r="L105" i="11"/>
  <c r="L106" i="11"/>
  <c r="L107" i="11"/>
  <c r="L108" i="11"/>
  <c r="L109" i="11"/>
  <c r="L110" i="11"/>
  <c r="L111" i="11"/>
  <c r="L112" i="11"/>
  <c r="L113" i="11"/>
  <c r="L114" i="11"/>
  <c r="L115" i="11"/>
  <c r="L116" i="11"/>
  <c r="L117" i="11"/>
  <c r="L120" i="11"/>
  <c r="L121" i="11"/>
  <c r="L122" i="11"/>
  <c r="L123" i="11"/>
  <c r="L124" i="11"/>
  <c r="L125" i="11"/>
  <c r="L126" i="11"/>
  <c r="L127" i="11"/>
  <c r="L128" i="11"/>
  <c r="L130" i="11"/>
  <c r="L131" i="11"/>
  <c r="L132" i="11"/>
  <c r="L133" i="11"/>
  <c r="L134" i="11"/>
  <c r="L135" i="11"/>
  <c r="L136" i="11"/>
  <c r="L137" i="11"/>
  <c r="L138" i="11"/>
  <c r="L139" i="11"/>
  <c r="L140" i="11"/>
  <c r="L141" i="11"/>
  <c r="L142" i="11"/>
  <c r="L143" i="11"/>
  <c r="L144" i="11"/>
  <c r="L145" i="11"/>
  <c r="L146" i="11"/>
  <c r="L147" i="11"/>
  <c r="L148" i="11"/>
  <c r="L149" i="11"/>
  <c r="L150" i="11"/>
  <c r="L151" i="11"/>
  <c r="L152" i="11"/>
  <c r="L153" i="11"/>
  <c r="L154" i="11"/>
  <c r="L155" i="11"/>
  <c r="L156" i="11"/>
  <c r="L157" i="11"/>
  <c r="L158" i="11"/>
  <c r="L159" i="11"/>
  <c r="L160" i="11"/>
  <c r="L161" i="11"/>
  <c r="L162" i="11"/>
  <c r="L163" i="11"/>
  <c r="L164" i="11"/>
  <c r="L165" i="11"/>
  <c r="L166" i="11"/>
  <c r="L167" i="11"/>
  <c r="L168" i="11"/>
  <c r="L169" i="11"/>
  <c r="L170" i="11"/>
  <c r="L171" i="11"/>
  <c r="L172" i="11"/>
  <c r="L173" i="11"/>
  <c r="L174" i="11"/>
  <c r="L175" i="11"/>
  <c r="L176" i="11"/>
  <c r="L177" i="11"/>
  <c r="L178" i="11"/>
  <c r="L179" i="11"/>
  <c r="L180" i="11"/>
  <c r="L181" i="11"/>
  <c r="L182" i="11"/>
  <c r="L183" i="11"/>
  <c r="L184" i="11"/>
  <c r="L185" i="11"/>
  <c r="L186" i="11"/>
  <c r="L187" i="11"/>
  <c r="L188" i="11"/>
  <c r="L189" i="11"/>
  <c r="L190" i="11"/>
  <c r="L191" i="11"/>
  <c r="L192" i="11"/>
  <c r="L193" i="11"/>
  <c r="L194" i="11"/>
  <c r="L195" i="11"/>
  <c r="L196" i="11"/>
  <c r="L197" i="11"/>
  <c r="L198" i="11"/>
  <c r="L199" i="11"/>
  <c r="L200" i="11"/>
  <c r="L201" i="11"/>
  <c r="L202" i="11"/>
  <c r="L203" i="11"/>
  <c r="L204" i="11"/>
  <c r="L205" i="11"/>
  <c r="L206" i="11"/>
  <c r="L207" i="11"/>
  <c r="L208" i="11"/>
  <c r="L210" i="11"/>
  <c r="L211" i="11"/>
  <c r="L212" i="11"/>
  <c r="L213" i="11"/>
  <c r="L214" i="11"/>
  <c r="L215" i="11"/>
  <c r="L216" i="11"/>
  <c r="L217" i="11"/>
  <c r="L218" i="11"/>
  <c r="L219" i="11"/>
  <c r="L220" i="11"/>
  <c r="L221" i="11"/>
  <c r="L222" i="11"/>
  <c r="L223" i="11"/>
  <c r="L224" i="11"/>
  <c r="L225" i="11"/>
  <c r="L226" i="11"/>
  <c r="L227" i="11"/>
  <c r="L228" i="11"/>
  <c r="L230" i="11"/>
  <c r="L231" i="11"/>
  <c r="L232" i="11"/>
  <c r="L233" i="11"/>
  <c r="L234" i="11"/>
  <c r="L235" i="11"/>
  <c r="L238" i="11"/>
  <c r="L239" i="11"/>
  <c r="L240" i="11"/>
  <c r="L241" i="11"/>
  <c r="L242" i="11"/>
  <c r="L243" i="11"/>
  <c r="L244" i="11"/>
  <c r="L245" i="11"/>
  <c r="L246" i="11"/>
  <c r="L247" i="11"/>
  <c r="L248" i="11"/>
  <c r="L249" i="11"/>
  <c r="L250" i="11"/>
  <c r="L251" i="11"/>
  <c r="L252" i="11"/>
  <c r="L253" i="11"/>
  <c r="L254" i="11"/>
  <c r="L255" i="11"/>
  <c r="L256" i="11"/>
  <c r="L257" i="11"/>
  <c r="L258" i="11"/>
  <c r="L259" i="11"/>
  <c r="L260" i="11"/>
  <c r="L261" i="11"/>
  <c r="L262" i="11"/>
  <c r="L263" i="11"/>
  <c r="L264" i="11"/>
  <c r="L265" i="11"/>
  <c r="L266" i="11"/>
  <c r="L267" i="11"/>
  <c r="L268" i="11"/>
  <c r="L269" i="11"/>
  <c r="L270" i="11"/>
  <c r="L271" i="11"/>
  <c r="L272" i="11"/>
  <c r="L273" i="11"/>
  <c r="L274" i="11"/>
  <c r="L275" i="11"/>
  <c r="L276" i="11"/>
  <c r="L277" i="11"/>
  <c r="L278" i="11"/>
  <c r="L279" i="11"/>
  <c r="L280" i="11"/>
  <c r="L281" i="11"/>
  <c r="L282" i="11"/>
  <c r="L283" i="11"/>
  <c r="L284" i="11"/>
  <c r="L285" i="11"/>
  <c r="L286" i="11"/>
  <c r="L287" i="11"/>
  <c r="L288" i="11"/>
  <c r="L289" i="11"/>
  <c r="L290" i="11"/>
  <c r="L291" i="11"/>
  <c r="L292" i="11"/>
  <c r="L293" i="11"/>
  <c r="L294" i="11"/>
  <c r="L295" i="11"/>
  <c r="L296" i="11"/>
  <c r="L297" i="11"/>
  <c r="L298" i="11"/>
  <c r="L299" i="11"/>
  <c r="L300" i="11"/>
  <c r="L301" i="11"/>
  <c r="L302" i="11"/>
  <c r="L303" i="11"/>
  <c r="L304" i="11"/>
  <c r="L305" i="11"/>
  <c r="L306" i="11"/>
  <c r="L307" i="11"/>
  <c r="L308" i="11"/>
  <c r="L309" i="11"/>
  <c r="L310" i="11"/>
  <c r="L311" i="11"/>
  <c r="L312" i="11"/>
  <c r="L313" i="11"/>
  <c r="L314" i="11"/>
  <c r="L315" i="11"/>
  <c r="L316" i="11"/>
  <c r="L317" i="11"/>
  <c r="L318" i="11"/>
  <c r="L319" i="11"/>
  <c r="L320" i="11"/>
  <c r="L321" i="11"/>
  <c r="L322" i="11"/>
  <c r="L323" i="11"/>
  <c r="L324" i="11"/>
  <c r="L325" i="11"/>
  <c r="L326" i="11"/>
  <c r="L327" i="11"/>
  <c r="L328" i="11"/>
  <c r="L329" i="11"/>
  <c r="L330" i="11"/>
  <c r="L331" i="11"/>
  <c r="L332" i="11"/>
  <c r="L333" i="11"/>
  <c r="L334" i="11"/>
  <c r="L335" i="11"/>
  <c r="L336" i="11"/>
  <c r="L337" i="11"/>
  <c r="L338" i="11"/>
  <c r="L339" i="11"/>
  <c r="L340" i="11"/>
  <c r="L341" i="11"/>
  <c r="L342" i="11"/>
  <c r="L343" i="11"/>
  <c r="L344" i="11"/>
  <c r="L345" i="11"/>
  <c r="L346" i="11"/>
  <c r="L347" i="11"/>
  <c r="L348" i="11"/>
  <c r="L349" i="11"/>
  <c r="L350" i="11"/>
  <c r="L351" i="11"/>
  <c r="L352" i="11"/>
  <c r="L353" i="11"/>
  <c r="L355" i="11"/>
  <c r="L356" i="11"/>
  <c r="L357" i="11"/>
  <c r="L358" i="11"/>
  <c r="L359" i="11"/>
  <c r="L360" i="11"/>
  <c r="L361" i="11"/>
  <c r="L362" i="11"/>
  <c r="L363" i="11"/>
  <c r="L364" i="11"/>
  <c r="L365" i="11"/>
  <c r="L366" i="11"/>
  <c r="L367" i="11"/>
  <c r="L368" i="11"/>
  <c r="L369" i="11"/>
  <c r="L370" i="11"/>
  <c r="L371" i="11"/>
  <c r="L372" i="11"/>
  <c r="L373" i="11"/>
  <c r="L374" i="11"/>
  <c r="L375" i="11"/>
  <c r="L376" i="11"/>
  <c r="L377" i="11"/>
  <c r="L378" i="11"/>
  <c r="L379" i="11"/>
  <c r="L380" i="11"/>
  <c r="L381" i="11"/>
  <c r="L382" i="11"/>
  <c r="L383" i="11"/>
  <c r="L384" i="11"/>
  <c r="L385" i="11"/>
  <c r="L386" i="11"/>
  <c r="L387" i="11"/>
  <c r="L388" i="11"/>
  <c r="L389" i="11"/>
  <c r="L390" i="11"/>
  <c r="L391" i="11"/>
  <c r="L392" i="11"/>
  <c r="L393" i="11"/>
  <c r="L394" i="11"/>
  <c r="L395" i="11"/>
  <c r="L396" i="11"/>
  <c r="L397" i="11"/>
  <c r="L398" i="11"/>
  <c r="L399" i="11"/>
  <c r="L400" i="11"/>
  <c r="L401" i="11"/>
  <c r="L402" i="11"/>
  <c r="L403" i="11"/>
  <c r="L404" i="11"/>
  <c r="L405" i="11"/>
  <c r="L406" i="11"/>
  <c r="L407" i="11"/>
  <c r="L408" i="11"/>
  <c r="L409" i="11"/>
  <c r="L410" i="11"/>
  <c r="L411" i="11"/>
  <c r="L412" i="11"/>
  <c r="L413" i="11"/>
  <c r="L414" i="11"/>
  <c r="L415" i="11"/>
  <c r="L416" i="11"/>
  <c r="L417" i="11"/>
  <c r="L420" i="11"/>
  <c r="L421" i="11"/>
  <c r="L422" i="11"/>
  <c r="L423" i="11"/>
  <c r="L424" i="11"/>
  <c r="L425" i="11"/>
  <c r="L427" i="11"/>
  <c r="L428" i="11"/>
  <c r="L429" i="11"/>
  <c r="L430" i="11"/>
  <c r="L431" i="11"/>
  <c r="L432" i="11"/>
  <c r="L433" i="11"/>
  <c r="L434" i="11"/>
  <c r="L435" i="11"/>
  <c r="L436" i="11"/>
  <c r="L437" i="11"/>
  <c r="L438" i="11"/>
  <c r="L439" i="11"/>
  <c r="L440" i="11"/>
  <c r="L441" i="11"/>
  <c r="L442" i="11"/>
  <c r="L443" i="11"/>
  <c r="L444" i="11"/>
  <c r="L445" i="11"/>
  <c r="L446" i="11"/>
  <c r="L447" i="11"/>
  <c r="L448" i="11"/>
  <c r="L449" i="11"/>
  <c r="L450" i="11"/>
  <c r="L451" i="11"/>
  <c r="L452" i="11"/>
  <c r="L453" i="11"/>
  <c r="L454" i="11"/>
  <c r="L455" i="11"/>
  <c r="L456" i="11"/>
  <c r="L457" i="11"/>
  <c r="L458" i="11"/>
  <c r="L459" i="11"/>
  <c r="L460" i="11"/>
  <c r="L461" i="11"/>
  <c r="L462" i="11"/>
  <c r="L463" i="11"/>
  <c r="L464" i="11"/>
  <c r="L465" i="11"/>
  <c r="L466" i="11"/>
  <c r="L467" i="11"/>
  <c r="L468" i="11"/>
  <c r="L469" i="11"/>
  <c r="L470" i="11"/>
  <c r="L471" i="11"/>
  <c r="L472" i="11"/>
  <c r="L473" i="11"/>
  <c r="L474" i="11"/>
  <c r="L475" i="11"/>
  <c r="L476" i="11"/>
  <c r="L477" i="11"/>
  <c r="L478" i="11"/>
  <c r="L479" i="11"/>
  <c r="L480" i="11"/>
  <c r="L481" i="11"/>
  <c r="L482" i="11"/>
  <c r="L483" i="11"/>
  <c r="L484" i="11"/>
  <c r="L485" i="11"/>
  <c r="L486" i="11"/>
  <c r="L487" i="11"/>
  <c r="L488" i="11"/>
  <c r="L489" i="11"/>
  <c r="L490" i="11"/>
  <c r="L491" i="11"/>
  <c r="L492" i="11"/>
  <c r="L493" i="11"/>
  <c r="L494" i="11"/>
  <c r="L495" i="11"/>
  <c r="L496" i="11"/>
  <c r="L497" i="11"/>
  <c r="L498" i="11"/>
  <c r="L499" i="11"/>
  <c r="L500" i="11"/>
  <c r="L501" i="11"/>
  <c r="L502" i="11"/>
  <c r="L503" i="11"/>
  <c r="L504" i="11"/>
  <c r="L505" i="11"/>
  <c r="L506" i="11"/>
  <c r="L507" i="11"/>
  <c r="L508" i="11"/>
  <c r="L509" i="11"/>
  <c r="L510" i="11"/>
  <c r="L511" i="11"/>
  <c r="L512" i="11"/>
  <c r="L513" i="11"/>
  <c r="L514" i="11"/>
  <c r="L515" i="11"/>
  <c r="L516" i="11"/>
  <c r="L517" i="11"/>
  <c r="L518" i="11"/>
  <c r="L519" i="11"/>
  <c r="L520" i="11"/>
  <c r="L521" i="11"/>
  <c r="L522" i="11"/>
  <c r="L524" i="11"/>
  <c r="L525" i="11"/>
  <c r="L526" i="11"/>
  <c r="L527" i="11"/>
  <c r="L528" i="11"/>
  <c r="L529" i="11"/>
  <c r="L530" i="11"/>
  <c r="L531" i="11"/>
  <c r="L532" i="11"/>
  <c r="L533" i="11"/>
  <c r="L534" i="11"/>
  <c r="L535" i="11"/>
  <c r="L536" i="11"/>
  <c r="L537" i="11"/>
  <c r="L538" i="11"/>
  <c r="L539" i="11"/>
  <c r="L540" i="11"/>
  <c r="L541" i="11"/>
  <c r="L542" i="11"/>
  <c r="L543" i="11"/>
  <c r="L545" i="11"/>
  <c r="L546" i="11"/>
  <c r="L547" i="11"/>
  <c r="L548" i="11"/>
  <c r="L550" i="11"/>
  <c r="L551" i="11"/>
  <c r="L552" i="11"/>
  <c r="L553" i="11"/>
  <c r="L554" i="11"/>
  <c r="L555" i="11"/>
  <c r="L556" i="11"/>
  <c r="L557" i="11"/>
  <c r="L558" i="11"/>
  <c r="L559" i="11"/>
  <c r="L560" i="11"/>
  <c r="L561" i="11"/>
  <c r="L562" i="11"/>
  <c r="L563" i="11"/>
  <c r="L564" i="11"/>
  <c r="L565" i="11"/>
  <c r="L566" i="11"/>
  <c r="L567" i="11"/>
  <c r="L568" i="11"/>
  <c r="L569" i="11"/>
  <c r="L570" i="11"/>
  <c r="L571" i="11"/>
  <c r="L572" i="11"/>
  <c r="L573" i="11"/>
  <c r="L574" i="11"/>
  <c r="L575" i="11"/>
  <c r="L576" i="11"/>
  <c r="L577" i="11"/>
  <c r="L578" i="11"/>
  <c r="L579" i="11"/>
  <c r="L580" i="11"/>
  <c r="L581" i="11"/>
  <c r="L582" i="11"/>
  <c r="L583" i="11"/>
  <c r="L584" i="11"/>
  <c r="L585" i="11"/>
  <c r="L586" i="11"/>
  <c r="L587" i="11"/>
  <c r="L588" i="11"/>
  <c r="L589" i="11"/>
  <c r="L590" i="11"/>
  <c r="N590" i="11" s="1"/>
  <c r="O590" i="11" s="1"/>
  <c r="L591" i="11"/>
  <c r="L592" i="11"/>
  <c r="L593" i="11"/>
  <c r="L595" i="11"/>
  <c r="L596" i="11"/>
  <c r="L597" i="11"/>
  <c r="L601" i="11"/>
  <c r="L602" i="11"/>
  <c r="L603" i="11"/>
  <c r="L604" i="11"/>
  <c r="L605" i="11"/>
  <c r="L606" i="11"/>
  <c r="L607" i="11"/>
  <c r="L608" i="11"/>
  <c r="L609" i="11"/>
  <c r="L610" i="11"/>
  <c r="L611" i="11"/>
  <c r="L612" i="11"/>
  <c r="L613" i="11"/>
  <c r="L614" i="11"/>
  <c r="N614" i="11" s="1"/>
  <c r="O614" i="11" s="1"/>
  <c r="L615" i="11"/>
  <c r="L616" i="11"/>
  <c r="L617" i="11"/>
  <c r="L618" i="11"/>
  <c r="L619" i="11"/>
  <c r="L620" i="11"/>
  <c r="L621" i="11"/>
  <c r="L622" i="11"/>
  <c r="L623" i="11"/>
  <c r="L624" i="11"/>
  <c r="L625" i="11"/>
  <c r="L626" i="11"/>
  <c r="L627" i="11"/>
  <c r="L628" i="11"/>
  <c r="L629" i="11"/>
  <c r="L630" i="11"/>
  <c r="L631" i="11"/>
  <c r="L632" i="11"/>
  <c r="L633" i="11"/>
  <c r="L634" i="11"/>
  <c r="L635" i="11"/>
  <c r="L636" i="11"/>
  <c r="L637" i="11"/>
  <c r="L638" i="11"/>
  <c r="N638" i="11" s="1"/>
  <c r="O638" i="11" s="1"/>
  <c r="L639" i="11"/>
  <c r="L640" i="11"/>
  <c r="L641" i="11"/>
  <c r="L642" i="11"/>
  <c r="L643" i="11"/>
  <c r="L644" i="11"/>
  <c r="L645" i="11"/>
  <c r="L646" i="11"/>
  <c r="L647" i="11"/>
  <c r="L648" i="11"/>
  <c r="L649" i="11"/>
  <c r="L650" i="11"/>
  <c r="L651" i="11"/>
  <c r="L652" i="11"/>
  <c r="L653" i="11"/>
  <c r="L654" i="11"/>
  <c r="L655" i="11"/>
  <c r="L657" i="11"/>
  <c r="L658" i="11"/>
  <c r="L659" i="11"/>
  <c r="L660" i="11"/>
  <c r="L661" i="11"/>
  <c r="L662" i="11"/>
  <c r="N662" i="11" s="1"/>
  <c r="O662" i="11" s="1"/>
  <c r="L663" i="11"/>
  <c r="L664" i="11"/>
  <c r="L665" i="11"/>
  <c r="L666" i="11"/>
  <c r="L667" i="11"/>
  <c r="L668" i="11"/>
  <c r="L669" i="11"/>
  <c r="L670" i="11"/>
  <c r="L671" i="11"/>
  <c r="L673" i="11"/>
  <c r="L674" i="11"/>
  <c r="L675" i="11"/>
  <c r="L676" i="11"/>
  <c r="L677" i="11"/>
  <c r="L678" i="11"/>
  <c r="L679" i="11"/>
  <c r="L680" i="11"/>
  <c r="L681" i="11"/>
  <c r="L682" i="11"/>
  <c r="L683" i="11"/>
  <c r="L684" i="11"/>
  <c r="L685" i="11"/>
  <c r="L686" i="11"/>
  <c r="L687" i="11"/>
  <c r="L688" i="11"/>
  <c r="L689" i="11"/>
  <c r="L690" i="11"/>
  <c r="L691" i="11"/>
  <c r="L692" i="11"/>
  <c r="L693" i="11"/>
  <c r="L694" i="11"/>
  <c r="L695" i="11"/>
  <c r="L696" i="11"/>
  <c r="L697" i="11"/>
  <c r="L698" i="11"/>
  <c r="L699" i="11"/>
  <c r="L700" i="11"/>
  <c r="L701" i="11"/>
  <c r="L702" i="11"/>
  <c r="L703" i="11"/>
  <c r="L704" i="11"/>
  <c r="L705" i="11"/>
  <c r="L706" i="11"/>
  <c r="L707" i="11"/>
  <c r="L708" i="11"/>
  <c r="L709" i="11"/>
  <c r="L710" i="11"/>
  <c r="L711" i="11"/>
  <c r="L712" i="11"/>
  <c r="L713" i="11"/>
  <c r="L714" i="11"/>
  <c r="L715" i="11"/>
  <c r="L716" i="11"/>
  <c r="L717" i="11"/>
  <c r="L718" i="11"/>
  <c r="L719" i="11"/>
  <c r="L720" i="11"/>
  <c r="L721" i="11"/>
  <c r="L722" i="11"/>
  <c r="L723" i="11"/>
  <c r="L724" i="11"/>
  <c r="L725" i="11"/>
  <c r="L726" i="11"/>
  <c r="L727" i="11"/>
  <c r="L728" i="11"/>
  <c r="L729" i="11"/>
  <c r="L730" i="11"/>
  <c r="L731" i="11"/>
  <c r="L732" i="11"/>
  <c r="L733" i="11"/>
  <c r="L734" i="11"/>
  <c r="L735" i="11"/>
  <c r="L736" i="11"/>
  <c r="L737" i="11"/>
  <c r="L738" i="11"/>
  <c r="L739" i="11"/>
  <c r="L740" i="11"/>
  <c r="L741" i="11"/>
  <c r="L742" i="11"/>
  <c r="L743" i="11"/>
  <c r="L744" i="11"/>
  <c r="L745" i="11"/>
  <c r="L746" i="11"/>
  <c r="L747" i="11"/>
  <c r="L748" i="11"/>
  <c r="L749" i="11"/>
  <c r="L750" i="11"/>
  <c r="L751" i="11"/>
  <c r="L753" i="11"/>
  <c r="L754" i="11"/>
  <c r="L3" i="11"/>
  <c r="N720" i="11" l="1"/>
  <c r="O720" i="11" s="1"/>
  <c r="N601" i="11"/>
  <c r="O601" i="11" s="1"/>
  <c r="N118" i="11"/>
  <c r="O118" i="11" s="1"/>
  <c r="N541" i="11"/>
  <c r="O541" i="11" s="1"/>
  <c r="N566" i="11"/>
  <c r="O566" i="11" s="1"/>
  <c r="N517" i="11"/>
  <c r="O517" i="11" s="1"/>
  <c r="N493" i="11"/>
  <c r="O493" i="11" s="1"/>
  <c r="N469" i="11"/>
  <c r="O469" i="11" s="1"/>
  <c r="N445" i="11"/>
  <c r="O445" i="11" s="1"/>
  <c r="N504" i="11"/>
  <c r="O504" i="11" s="1"/>
  <c r="N480" i="11"/>
  <c r="O480" i="11" s="1"/>
  <c r="N456" i="11"/>
  <c r="O456" i="11" s="1"/>
  <c r="N432" i="11"/>
  <c r="O432" i="11" s="1"/>
  <c r="N722" i="11"/>
  <c r="O722" i="11" s="1"/>
  <c r="N721" i="11"/>
  <c r="O721" i="11" s="1"/>
  <c r="N734" i="11"/>
  <c r="O734" i="11" s="1"/>
  <c r="N710" i="11"/>
  <c r="O710" i="11" s="1"/>
  <c r="N686" i="11"/>
  <c r="O686" i="11" s="1"/>
  <c r="N745" i="11"/>
  <c r="O745" i="11" s="1"/>
  <c r="N697" i="11"/>
  <c r="O697" i="11" s="1"/>
  <c r="N673" i="11"/>
  <c r="O673" i="11" s="1"/>
  <c r="N649" i="11"/>
  <c r="O649" i="11" s="1"/>
  <c r="N625" i="11"/>
  <c r="O625" i="11" s="1"/>
  <c r="N657" i="11"/>
  <c r="O657" i="11" s="1"/>
  <c r="N681" i="11"/>
  <c r="O681" i="11" s="1"/>
  <c r="N119" i="11"/>
  <c r="O119" i="11" s="1"/>
  <c r="N519" i="11"/>
  <c r="O519" i="11" s="1"/>
  <c r="N495" i="11"/>
  <c r="O495" i="11" s="1"/>
  <c r="N471" i="11"/>
  <c r="O471" i="11" s="1"/>
  <c r="N447" i="11"/>
  <c r="O447" i="11" s="1"/>
  <c r="N408" i="11"/>
  <c r="O408" i="11" s="1"/>
  <c r="N360" i="11"/>
  <c r="O360" i="11" s="1"/>
  <c r="N335" i="11"/>
  <c r="O335" i="11" s="1"/>
  <c r="N263" i="11"/>
  <c r="O263" i="11" s="1"/>
  <c r="N239" i="11"/>
  <c r="O239" i="11" s="1"/>
  <c r="N151" i="11"/>
  <c r="O151" i="11" s="1"/>
  <c r="N112" i="11"/>
  <c r="O112" i="11" s="1"/>
  <c r="N87" i="11"/>
  <c r="O87" i="11" s="1"/>
  <c r="N63" i="11"/>
  <c r="O63" i="11" s="1"/>
  <c r="N39" i="11"/>
  <c r="O39" i="11" s="1"/>
  <c r="N421" i="11"/>
  <c r="O421" i="11" s="1"/>
  <c r="N407" i="11"/>
  <c r="O407" i="11" s="1"/>
  <c r="N359" i="11"/>
  <c r="O359" i="11" s="1"/>
  <c r="N334" i="11"/>
  <c r="O334" i="11" s="1"/>
  <c r="N310" i="11"/>
  <c r="O310" i="11" s="1"/>
  <c r="N262" i="11"/>
  <c r="O262" i="11" s="1"/>
  <c r="N238" i="11"/>
  <c r="O238" i="11" s="1"/>
  <c r="N223" i="11"/>
  <c r="O223" i="11" s="1"/>
  <c r="N198" i="11"/>
  <c r="O198" i="11" s="1"/>
  <c r="N111" i="11"/>
  <c r="O111" i="11" s="1"/>
  <c r="N86" i="11"/>
  <c r="O86" i="11" s="1"/>
  <c r="N38" i="11"/>
  <c r="O38" i="11" s="1"/>
  <c r="N14" i="11"/>
  <c r="O14" i="11" s="1"/>
  <c r="N577" i="11"/>
  <c r="O577" i="11" s="1"/>
  <c r="N553" i="11"/>
  <c r="O553" i="11" s="1"/>
  <c r="N528" i="11"/>
  <c r="O528" i="11" s="1"/>
  <c r="N405" i="11"/>
  <c r="O405" i="11" s="1"/>
  <c r="N381" i="11"/>
  <c r="O381" i="11" s="1"/>
  <c r="N357" i="11"/>
  <c r="O357" i="11" s="1"/>
  <c r="N344" i="11"/>
  <c r="O344" i="11" s="1"/>
  <c r="N320" i="11"/>
  <c r="O320" i="11" s="1"/>
  <c r="N296" i="11"/>
  <c r="O296" i="11" s="1"/>
  <c r="N272" i="11"/>
  <c r="O272" i="11" s="1"/>
  <c r="N248" i="11"/>
  <c r="O248" i="11" s="1"/>
  <c r="N221" i="11"/>
  <c r="O221" i="11" s="1"/>
  <c r="N208" i="11"/>
  <c r="O208" i="11" s="1"/>
  <c r="N160" i="11"/>
  <c r="O160" i="11" s="1"/>
  <c r="N60" i="11"/>
  <c r="O60" i="11" s="1"/>
  <c r="N48" i="11"/>
  <c r="O48" i="11" s="1"/>
  <c r="N36" i="11"/>
  <c r="O36" i="11" s="1"/>
  <c r="N12" i="11"/>
  <c r="O12" i="11" s="1"/>
  <c r="N416" i="11"/>
  <c r="O416" i="11" s="1"/>
  <c r="N343" i="11"/>
  <c r="O343" i="11" s="1"/>
  <c r="N319" i="11"/>
  <c r="O319" i="11" s="1"/>
  <c r="N295" i="11"/>
  <c r="O295" i="11" s="1"/>
  <c r="N271" i="11"/>
  <c r="O271" i="11" s="1"/>
  <c r="N247" i="11"/>
  <c r="O247" i="11" s="1"/>
  <c r="N207" i="11"/>
  <c r="O207" i="11" s="1"/>
  <c r="N183" i="11"/>
  <c r="O183" i="11" s="1"/>
  <c r="N159" i="11"/>
  <c r="O159" i="11" s="1"/>
  <c r="N135" i="11"/>
  <c r="O135" i="11" s="1"/>
  <c r="N96" i="11"/>
  <c r="O96" i="11" s="1"/>
  <c r="N71" i="11"/>
  <c r="O71" i="11" s="1"/>
  <c r="N47" i="11"/>
  <c r="O47" i="11" s="1"/>
  <c r="N23" i="11"/>
  <c r="O23" i="11" s="1"/>
  <c r="N623" i="11"/>
  <c r="O623" i="11" s="1"/>
  <c r="N599" i="11"/>
  <c r="O599" i="11" s="1"/>
  <c r="N575" i="11"/>
  <c r="O575" i="11" s="1"/>
  <c r="N551" i="11"/>
  <c r="O551" i="11" s="1"/>
  <c r="N526" i="11"/>
  <c r="O526" i="11" s="1"/>
  <c r="N502" i="11"/>
  <c r="O502" i="11" s="1"/>
  <c r="N478" i="11"/>
  <c r="O478" i="11" s="1"/>
  <c r="N454" i="11"/>
  <c r="O454" i="11" s="1"/>
  <c r="N430" i="11"/>
  <c r="O430" i="11" s="1"/>
  <c r="N753" i="11"/>
  <c r="O753" i="11" s="1"/>
  <c r="N729" i="11"/>
  <c r="O729" i="11" s="1"/>
  <c r="N705" i="11"/>
  <c r="O705" i="11" s="1"/>
  <c r="N633" i="11"/>
  <c r="O633" i="11" s="1"/>
  <c r="N609" i="11"/>
  <c r="O609" i="11" s="1"/>
  <c r="N585" i="11"/>
  <c r="O585" i="11" s="1"/>
  <c r="N561" i="11"/>
  <c r="O561" i="11" s="1"/>
  <c r="N536" i="11"/>
  <c r="O536" i="11" s="1"/>
  <c r="N512" i="11"/>
  <c r="O512" i="11" s="1"/>
  <c r="N488" i="11"/>
  <c r="O488" i="11" s="1"/>
  <c r="N464" i="11"/>
  <c r="O464" i="11" s="1"/>
  <c r="N440" i="11"/>
  <c r="O440" i="11" s="1"/>
  <c r="N413" i="11"/>
  <c r="O413" i="11" s="1"/>
  <c r="N365" i="11"/>
  <c r="O365" i="11" s="1"/>
  <c r="N352" i="11"/>
  <c r="O352" i="11" s="1"/>
  <c r="N304" i="11"/>
  <c r="O304" i="11" s="1"/>
  <c r="N280" i="11"/>
  <c r="O280" i="11" s="1"/>
  <c r="N256" i="11"/>
  <c r="O256" i="11" s="1"/>
  <c r="N230" i="11"/>
  <c r="O230" i="11" s="1"/>
  <c r="N144" i="11"/>
  <c r="O144" i="11" s="1"/>
  <c r="N80" i="11"/>
  <c r="O80" i="11" s="1"/>
  <c r="N56" i="11"/>
  <c r="O56" i="11" s="1"/>
  <c r="N44" i="11"/>
  <c r="O44" i="11" s="1"/>
  <c r="N20" i="11"/>
  <c r="O20" i="11" s="1"/>
  <c r="N712" i="11"/>
  <c r="O712" i="11" s="1"/>
  <c r="N688" i="11"/>
  <c r="O688" i="11" s="1"/>
  <c r="N728" i="11"/>
  <c r="O728" i="11" s="1"/>
  <c r="N680" i="11"/>
  <c r="O680" i="11" s="1"/>
  <c r="N656" i="11"/>
  <c r="O656" i="11" s="1"/>
  <c r="N632" i="11"/>
  <c r="O632" i="11" s="1"/>
  <c r="N608" i="11"/>
  <c r="O608" i="11" s="1"/>
  <c r="N584" i="11"/>
  <c r="O584" i="11" s="1"/>
  <c r="N560" i="11"/>
  <c r="O560" i="11" s="1"/>
  <c r="N535" i="11"/>
  <c r="O535" i="11" s="1"/>
  <c r="N487" i="11"/>
  <c r="O487" i="11" s="1"/>
  <c r="N463" i="11"/>
  <c r="O463" i="11" s="1"/>
  <c r="N439" i="11"/>
  <c r="O439" i="11" s="1"/>
  <c r="N400" i="11"/>
  <c r="O400" i="11" s="1"/>
  <c r="N327" i="11"/>
  <c r="O327" i="11" s="1"/>
  <c r="N303" i="11"/>
  <c r="O303" i="11" s="1"/>
  <c r="N279" i="11"/>
  <c r="O279" i="11" s="1"/>
  <c r="N255" i="11"/>
  <c r="O255" i="11" s="1"/>
  <c r="N216" i="11"/>
  <c r="O216" i="11" s="1"/>
  <c r="N191" i="11"/>
  <c r="O191" i="11" s="1"/>
  <c r="N143" i="11"/>
  <c r="O143" i="11" s="1"/>
  <c r="N79" i="11"/>
  <c r="O79" i="11" s="1"/>
  <c r="N55" i="11"/>
  <c r="O55" i="11" s="1"/>
  <c r="N615" i="11"/>
  <c r="O615" i="11" s="1"/>
  <c r="N751" i="11"/>
  <c r="O751" i="11" s="1"/>
  <c r="N727" i="11"/>
  <c r="O727" i="11" s="1"/>
  <c r="N703" i="11"/>
  <c r="O703" i="11" s="1"/>
  <c r="N679" i="11"/>
  <c r="O679" i="11" s="1"/>
  <c r="N655" i="11"/>
  <c r="O655" i="11" s="1"/>
  <c r="N607" i="11"/>
  <c r="O607" i="11" s="1"/>
  <c r="N583" i="11"/>
  <c r="O583" i="11" s="1"/>
  <c r="N559" i="11"/>
  <c r="O559" i="11" s="1"/>
  <c r="N534" i="11"/>
  <c r="O534" i="11" s="1"/>
  <c r="N510" i="11"/>
  <c r="O510" i="11" s="1"/>
  <c r="N462" i="11"/>
  <c r="O462" i="11" s="1"/>
  <c r="N438" i="11"/>
  <c r="O438" i="11" s="1"/>
  <c r="N750" i="11"/>
  <c r="O750" i="11" s="1"/>
  <c r="N726" i="11"/>
  <c r="O726" i="11" s="1"/>
  <c r="N702" i="11"/>
  <c r="O702" i="11" s="1"/>
  <c r="N678" i="11"/>
  <c r="O678" i="11" s="1"/>
  <c r="N654" i="11"/>
  <c r="O654" i="11" s="1"/>
  <c r="N630" i="11"/>
  <c r="O630" i="11" s="1"/>
  <c r="N606" i="11"/>
  <c r="O606" i="11" s="1"/>
  <c r="N582" i="11"/>
  <c r="O582" i="11" s="1"/>
  <c r="N558" i="11"/>
  <c r="O558" i="11" s="1"/>
  <c r="N533" i="11"/>
  <c r="O533" i="11" s="1"/>
  <c r="N509" i="11"/>
  <c r="O509" i="11" s="1"/>
  <c r="N485" i="11"/>
  <c r="O485" i="11" s="1"/>
  <c r="N461" i="11"/>
  <c r="O461" i="11" s="1"/>
  <c r="N437" i="11"/>
  <c r="O437" i="11" s="1"/>
  <c r="N349" i="11"/>
  <c r="O349" i="11" s="1"/>
  <c r="N301" i="11"/>
  <c r="O301" i="11" s="1"/>
  <c r="N277" i="11"/>
  <c r="O277" i="11" s="1"/>
  <c r="N253" i="11"/>
  <c r="O253" i="11" s="1"/>
  <c r="N189" i="11"/>
  <c r="O189" i="11" s="1"/>
  <c r="N165" i="11"/>
  <c r="O165" i="11" s="1"/>
  <c r="N141" i="11"/>
  <c r="O141" i="11" s="1"/>
  <c r="N128" i="11"/>
  <c r="O128" i="11" s="1"/>
  <c r="N29" i="11"/>
  <c r="O29" i="11" s="1"/>
  <c r="N5" i="11"/>
  <c r="O5" i="11" s="1"/>
  <c r="N423" i="11"/>
  <c r="O423" i="11" s="1"/>
  <c r="N672" i="11"/>
  <c r="O672" i="11" s="1"/>
  <c r="N166" i="11"/>
  <c r="O166" i="11" s="1"/>
  <c r="N78" i="11"/>
  <c r="O78" i="11" s="1"/>
  <c r="N737" i="11"/>
  <c r="O737" i="11" s="1"/>
  <c r="N665" i="11"/>
  <c r="O665" i="11" s="1"/>
  <c r="N641" i="11"/>
  <c r="O641" i="11" s="1"/>
  <c r="N617" i="11"/>
  <c r="O617" i="11" s="1"/>
  <c r="N593" i="11"/>
  <c r="O593" i="11" s="1"/>
  <c r="N569" i="11"/>
  <c r="O569" i="11" s="1"/>
  <c r="N545" i="11"/>
  <c r="O545" i="11" s="1"/>
  <c r="N472" i="11"/>
  <c r="O472" i="11" s="1"/>
  <c r="N397" i="11"/>
  <c r="O397" i="11" s="1"/>
  <c r="N373" i="11"/>
  <c r="O373" i="11" s="1"/>
  <c r="N336" i="11"/>
  <c r="O336" i="11" s="1"/>
  <c r="N288" i="11"/>
  <c r="O288" i="11" s="1"/>
  <c r="N240" i="11"/>
  <c r="O240" i="11" s="1"/>
  <c r="N176" i="11"/>
  <c r="O176" i="11" s="1"/>
  <c r="N152" i="11"/>
  <c r="O152" i="11" s="1"/>
  <c r="N101" i="11"/>
  <c r="O101" i="11" s="1"/>
  <c r="N52" i="11"/>
  <c r="O52" i="11" s="1"/>
  <c r="N28" i="11"/>
  <c r="O28" i="11" s="1"/>
  <c r="N687" i="11"/>
  <c r="O687" i="11" s="1"/>
  <c r="N663" i="11"/>
  <c r="O663" i="11" s="1"/>
  <c r="N591" i="11"/>
  <c r="O591" i="11" s="1"/>
  <c r="N567" i="11"/>
  <c r="O567" i="11" s="1"/>
  <c r="N542" i="11"/>
  <c r="O542" i="11" s="1"/>
  <c r="N518" i="11"/>
  <c r="O518" i="11" s="1"/>
  <c r="N494" i="11"/>
  <c r="O494" i="11" s="1"/>
  <c r="N470" i="11"/>
  <c r="O470" i="11" s="1"/>
  <c r="N406" i="11"/>
  <c r="O406" i="11" s="1"/>
  <c r="N382" i="11"/>
  <c r="O382" i="11" s="1"/>
  <c r="N333" i="11"/>
  <c r="O333" i="11" s="1"/>
  <c r="N309" i="11"/>
  <c r="O309" i="11" s="1"/>
  <c r="N285" i="11"/>
  <c r="O285" i="11" s="1"/>
  <c r="N261" i="11"/>
  <c r="O261" i="11" s="1"/>
  <c r="N222" i="11"/>
  <c r="O222" i="11" s="1"/>
  <c r="N197" i="11"/>
  <c r="O197" i="11" s="1"/>
  <c r="N173" i="11"/>
  <c r="O173" i="11" s="1"/>
  <c r="N149" i="11"/>
  <c r="O149" i="11" s="1"/>
  <c r="N110" i="11"/>
  <c r="O110" i="11" s="1"/>
  <c r="N85" i="11"/>
  <c r="O85" i="11" s="1"/>
  <c r="N61" i="11"/>
  <c r="O61" i="11" s="1"/>
  <c r="N13" i="11"/>
  <c r="O13" i="11" s="1"/>
  <c r="N399" i="11"/>
  <c r="O399" i="11" s="1"/>
  <c r="N713" i="11"/>
  <c r="O713" i="11" s="1"/>
  <c r="N689" i="11"/>
  <c r="O689" i="11" s="1"/>
  <c r="N520" i="11"/>
  <c r="O520" i="11" s="1"/>
  <c r="N496" i="11"/>
  <c r="O496" i="11" s="1"/>
  <c r="N448" i="11"/>
  <c r="O448" i="11" s="1"/>
  <c r="N264" i="11"/>
  <c r="O264" i="11" s="1"/>
  <c r="N200" i="11"/>
  <c r="O200" i="11" s="1"/>
  <c r="N88" i="11"/>
  <c r="O88" i="11" s="1"/>
  <c r="N64" i="11"/>
  <c r="O64" i="11" s="1"/>
  <c r="N664" i="11"/>
  <c r="O664" i="11" s="1"/>
  <c r="N616" i="11"/>
  <c r="O616" i="11" s="1"/>
  <c r="N592" i="11"/>
  <c r="O592" i="11" s="1"/>
  <c r="N568" i="11"/>
  <c r="O568" i="11" s="1"/>
  <c r="N735" i="11"/>
  <c r="O735" i="11" s="1"/>
  <c r="N639" i="11"/>
  <c r="O639" i="11" s="1"/>
  <c r="N744" i="11"/>
  <c r="O744" i="11" s="1"/>
  <c r="N696" i="11"/>
  <c r="O696" i="11" s="1"/>
  <c r="N552" i="11"/>
  <c r="O552" i="11" s="1"/>
  <c r="N455" i="11"/>
  <c r="O455" i="11" s="1"/>
  <c r="N431" i="11"/>
  <c r="O431" i="11" s="1"/>
  <c r="N752" i="11"/>
  <c r="O752" i="11" s="1"/>
  <c r="N134" i="11"/>
  <c r="O134" i="11" s="1"/>
  <c r="N209" i="11"/>
  <c r="O209" i="11" s="1"/>
  <c r="N278" i="11"/>
  <c r="O278" i="11" s="1"/>
  <c r="N215" i="11"/>
  <c r="O215" i="11" s="1"/>
  <c r="N190" i="11"/>
  <c r="O190" i="11" s="1"/>
  <c r="N142" i="11"/>
  <c r="O142" i="11" s="1"/>
  <c r="N103" i="11"/>
  <c r="O103" i="11" s="1"/>
  <c r="N30" i="11"/>
  <c r="O30" i="11" s="1"/>
  <c r="N6" i="11"/>
  <c r="O6" i="11" s="1"/>
  <c r="N648" i="11"/>
  <c r="O648" i="11" s="1"/>
  <c r="N624" i="11"/>
  <c r="O624" i="11" s="1"/>
  <c r="N576" i="11"/>
  <c r="O576" i="11" s="1"/>
  <c r="N527" i="11"/>
  <c r="O527" i="11" s="1"/>
  <c r="N503" i="11"/>
  <c r="O503" i="11" s="1"/>
  <c r="N479" i="11"/>
  <c r="O479" i="11" s="1"/>
  <c r="N743" i="11"/>
  <c r="O743" i="11" s="1"/>
  <c r="N719" i="11"/>
  <c r="O719" i="11" s="1"/>
  <c r="N695" i="11"/>
  <c r="O695" i="11" s="1"/>
  <c r="N671" i="11"/>
  <c r="O671" i="11" s="1"/>
  <c r="N391" i="11"/>
  <c r="O391" i="11" s="1"/>
  <c r="N342" i="11"/>
  <c r="O342" i="11" s="1"/>
  <c r="N270" i="11"/>
  <c r="O270" i="11" s="1"/>
  <c r="N246" i="11"/>
  <c r="O246" i="11" s="1"/>
  <c r="N182" i="11"/>
  <c r="O182" i="11" s="1"/>
  <c r="N158" i="11"/>
  <c r="O158" i="11" s="1"/>
  <c r="N70" i="11"/>
  <c r="O70" i="11" s="1"/>
  <c r="N22" i="11"/>
  <c r="O22" i="11" s="1"/>
  <c r="N742" i="11"/>
  <c r="O742" i="11" s="1"/>
  <c r="N718" i="11"/>
  <c r="O718" i="11" s="1"/>
  <c r="N694" i="11"/>
  <c r="O694" i="11" s="1"/>
  <c r="N670" i="11"/>
  <c r="O670" i="11" s="1"/>
  <c r="N646" i="11"/>
  <c r="O646" i="11" s="1"/>
  <c r="N622" i="11"/>
  <c r="O622" i="11" s="1"/>
  <c r="N598" i="11"/>
  <c r="O598" i="11" s="1"/>
  <c r="N574" i="11"/>
  <c r="O574" i="11" s="1"/>
  <c r="N550" i="11"/>
  <c r="O550" i="11" s="1"/>
  <c r="N525" i="11"/>
  <c r="O525" i="11" s="1"/>
  <c r="N501" i="11"/>
  <c r="O501" i="11" s="1"/>
  <c r="N477" i="11"/>
  <c r="O477" i="11" s="1"/>
  <c r="N453" i="11"/>
  <c r="O453" i="11" s="1"/>
  <c r="N429" i="11"/>
  <c r="O429" i="11" s="1"/>
  <c r="N341" i="11"/>
  <c r="O341" i="11" s="1"/>
  <c r="N317" i="11"/>
  <c r="O317" i="11" s="1"/>
  <c r="N293" i="11"/>
  <c r="O293" i="11" s="1"/>
  <c r="N269" i="11"/>
  <c r="O269" i="11" s="1"/>
  <c r="N205" i="11"/>
  <c r="O205" i="11" s="1"/>
  <c r="N181" i="11"/>
  <c r="O181" i="11" s="1"/>
  <c r="N157" i="11"/>
  <c r="O157" i="11" s="1"/>
  <c r="N120" i="11"/>
  <c r="O120" i="11" s="1"/>
  <c r="N21" i="11"/>
  <c r="O21" i="11" s="1"/>
  <c r="N229" i="11"/>
  <c r="O229" i="11" s="1"/>
  <c r="N543" i="11"/>
  <c r="O543" i="11" s="1"/>
  <c r="N236" i="11"/>
  <c r="O236" i="11" s="1"/>
  <c r="N424" i="11"/>
  <c r="O424" i="11" s="1"/>
  <c r="N4" i="11"/>
  <c r="O4" i="11" s="1"/>
  <c r="N647" i="11"/>
  <c r="O647" i="11" s="1"/>
  <c r="N486" i="11"/>
  <c r="O486" i="11" s="1"/>
  <c r="N446" i="11"/>
  <c r="O446" i="11" s="1"/>
  <c r="N422" i="11"/>
  <c r="O422" i="11" s="1"/>
  <c r="N415" i="11"/>
  <c r="O415" i="11" s="1"/>
  <c r="N414" i="11"/>
  <c r="O414" i="11" s="1"/>
  <c r="N398" i="11"/>
  <c r="O398" i="11" s="1"/>
  <c r="N392" i="11"/>
  <c r="O392" i="11" s="1"/>
  <c r="N390" i="11"/>
  <c r="O390" i="11" s="1"/>
  <c r="N389" i="11"/>
  <c r="O389" i="11" s="1"/>
  <c r="N384" i="11"/>
  <c r="O384" i="11" s="1"/>
  <c r="N711" i="11"/>
  <c r="O711" i="11" s="1"/>
  <c r="N376" i="11"/>
  <c r="O376" i="11" s="1"/>
  <c r="N368" i="11"/>
  <c r="O368" i="11" s="1"/>
  <c r="N375" i="11"/>
  <c r="O375" i="11" s="1"/>
  <c r="N367" i="11"/>
  <c r="O367" i="11" s="1"/>
  <c r="N374" i="11"/>
  <c r="O374" i="11" s="1"/>
  <c r="N366" i="11"/>
  <c r="O366" i="11" s="1"/>
  <c r="N358" i="11"/>
  <c r="O358" i="11" s="1"/>
  <c r="N351" i="11"/>
  <c r="O351" i="11" s="1"/>
  <c r="N350" i="11"/>
  <c r="O350" i="11" s="1"/>
  <c r="N328" i="11"/>
  <c r="O328" i="11" s="1"/>
  <c r="N326" i="11"/>
  <c r="O326" i="11" s="1"/>
  <c r="N325" i="11"/>
  <c r="O325" i="11" s="1"/>
  <c r="N318" i="11"/>
  <c r="O318" i="11" s="1"/>
  <c r="N312" i="11"/>
  <c r="O312" i="11" s="1"/>
  <c r="N311" i="11"/>
  <c r="O311" i="11" s="1"/>
  <c r="N302" i="11"/>
  <c r="O302" i="11" s="1"/>
  <c r="N294" i="11"/>
  <c r="O294" i="11" s="1"/>
  <c r="N287" i="11"/>
  <c r="O287" i="11" s="1"/>
  <c r="N286" i="11"/>
  <c r="O286" i="11" s="1"/>
  <c r="N254" i="11"/>
  <c r="O254" i="11" s="1"/>
  <c r="N245" i="11"/>
  <c r="O245" i="11" s="1"/>
  <c r="N231" i="11"/>
  <c r="O231" i="11" s="1"/>
  <c r="N232" i="11"/>
  <c r="O232" i="11" s="1"/>
  <c r="N224" i="11"/>
  <c r="O224" i="11" s="1"/>
  <c r="N214" i="11"/>
  <c r="O214" i="11" s="1"/>
  <c r="N213" i="11"/>
  <c r="O213" i="11" s="1"/>
  <c r="N206" i="11"/>
  <c r="O206" i="11" s="1"/>
  <c r="N199" i="11"/>
  <c r="O199" i="11" s="1"/>
  <c r="N192" i="11"/>
  <c r="O192" i="11" s="1"/>
  <c r="N184" i="11"/>
  <c r="O184" i="11" s="1"/>
  <c r="N175" i="11"/>
  <c r="O175" i="11" s="1"/>
  <c r="N174" i="11"/>
  <c r="O174" i="11" s="1"/>
  <c r="N168" i="11"/>
  <c r="O168" i="11" s="1"/>
  <c r="N167" i="11"/>
  <c r="O167" i="11" s="1"/>
  <c r="N150" i="11"/>
  <c r="O150" i="11" s="1"/>
  <c r="N136" i="11"/>
  <c r="O136" i="11" s="1"/>
  <c r="N133" i="11"/>
  <c r="O133" i="11" s="1"/>
  <c r="N127" i="11"/>
  <c r="O127" i="11" s="1"/>
  <c r="N126" i="11"/>
  <c r="O126" i="11" s="1"/>
  <c r="N125" i="11"/>
  <c r="O125" i="11" s="1"/>
  <c r="N631" i="11"/>
  <c r="O631" i="11" s="1"/>
  <c r="N749" i="11"/>
  <c r="O749" i="11" s="1"/>
  <c r="N741" i="11"/>
  <c r="O741" i="11" s="1"/>
  <c r="N733" i="11"/>
  <c r="O733" i="11" s="1"/>
  <c r="N725" i="11"/>
  <c r="O725" i="11" s="1"/>
  <c r="N717" i="11"/>
  <c r="O717" i="11" s="1"/>
  <c r="N709" i="11"/>
  <c r="O709" i="11" s="1"/>
  <c r="N701" i="11"/>
  <c r="O701" i="11" s="1"/>
  <c r="N693" i="11"/>
  <c r="O693" i="11" s="1"/>
  <c r="N685" i="11"/>
  <c r="O685" i="11" s="1"/>
  <c r="N677" i="11"/>
  <c r="O677" i="11" s="1"/>
  <c r="N669" i="11"/>
  <c r="O669" i="11" s="1"/>
  <c r="N661" i="11"/>
  <c r="O661" i="11" s="1"/>
  <c r="N653" i="11"/>
  <c r="O653" i="11" s="1"/>
  <c r="N645" i="11"/>
  <c r="O645" i="11" s="1"/>
  <c r="N637" i="11"/>
  <c r="O637" i="11" s="1"/>
  <c r="N629" i="11"/>
  <c r="O629" i="11" s="1"/>
  <c r="N621" i="11"/>
  <c r="O621" i="11" s="1"/>
  <c r="N613" i="11"/>
  <c r="O613" i="11" s="1"/>
  <c r="N605" i="11"/>
  <c r="O605" i="11" s="1"/>
  <c r="N597" i="11"/>
  <c r="O597" i="11" s="1"/>
  <c r="N589" i="11"/>
  <c r="O589" i="11" s="1"/>
  <c r="N581" i="11"/>
  <c r="O581" i="11" s="1"/>
  <c r="N573" i="11"/>
  <c r="O573" i="11" s="1"/>
  <c r="N565" i="11"/>
  <c r="O565" i="11" s="1"/>
  <c r="N557" i="11"/>
  <c r="O557" i="11" s="1"/>
  <c r="N549" i="11"/>
  <c r="O549" i="11" s="1"/>
  <c r="N540" i="11"/>
  <c r="O540" i="11" s="1"/>
  <c r="N532" i="11"/>
  <c r="O532" i="11" s="1"/>
  <c r="N524" i="11"/>
  <c r="O524" i="11" s="1"/>
  <c r="N516" i="11"/>
  <c r="O516" i="11" s="1"/>
  <c r="N508" i="11"/>
  <c r="O508" i="11" s="1"/>
  <c r="N500" i="11"/>
  <c r="O500" i="11" s="1"/>
  <c r="N492" i="11"/>
  <c r="O492" i="11" s="1"/>
  <c r="N484" i="11"/>
  <c r="O484" i="11" s="1"/>
  <c r="N476" i="11"/>
  <c r="O476" i="11" s="1"/>
  <c r="N468" i="11"/>
  <c r="O468" i="11" s="1"/>
  <c r="N460" i="11"/>
  <c r="O460" i="11" s="1"/>
  <c r="N452" i="11"/>
  <c r="O452" i="11" s="1"/>
  <c r="N444" i="11"/>
  <c r="O444" i="11" s="1"/>
  <c r="N436" i="11"/>
  <c r="O436" i="11" s="1"/>
  <c r="N428" i="11"/>
  <c r="O428" i="11" s="1"/>
  <c r="N420" i="11"/>
  <c r="O420" i="11" s="1"/>
  <c r="N412" i="11"/>
  <c r="O412" i="11" s="1"/>
  <c r="N404" i="11"/>
  <c r="O404" i="11" s="1"/>
  <c r="N396" i="11"/>
  <c r="O396" i="11" s="1"/>
  <c r="N388" i="11"/>
  <c r="O388" i="11" s="1"/>
  <c r="N380" i="11"/>
  <c r="O380" i="11" s="1"/>
  <c r="N372" i="11"/>
  <c r="O372" i="11" s="1"/>
  <c r="N364" i="11"/>
  <c r="O364" i="11" s="1"/>
  <c r="N356" i="11"/>
  <c r="O356" i="11" s="1"/>
  <c r="N348" i="11"/>
  <c r="O348" i="11" s="1"/>
  <c r="N340" i="11"/>
  <c r="O340" i="11" s="1"/>
  <c r="N332" i="11"/>
  <c r="O332" i="11" s="1"/>
  <c r="N324" i="11"/>
  <c r="O324" i="11" s="1"/>
  <c r="N316" i="11"/>
  <c r="O316" i="11" s="1"/>
  <c r="N308" i="11"/>
  <c r="O308" i="11" s="1"/>
  <c r="N300" i="11"/>
  <c r="O300" i="11" s="1"/>
  <c r="N292" i="11"/>
  <c r="O292" i="11" s="1"/>
  <c r="N284" i="11"/>
  <c r="O284" i="11" s="1"/>
  <c r="N276" i="11"/>
  <c r="O276" i="11" s="1"/>
  <c r="N268" i="11"/>
  <c r="O268" i="11" s="1"/>
  <c r="N260" i="11"/>
  <c r="O260" i="11" s="1"/>
  <c r="N252" i="11"/>
  <c r="O252" i="11" s="1"/>
  <c r="N244" i="11"/>
  <c r="O244" i="11" s="1"/>
  <c r="N228" i="11"/>
  <c r="O228" i="11" s="1"/>
  <c r="N220" i="11"/>
  <c r="O220" i="11" s="1"/>
  <c r="N212" i="11"/>
  <c r="O212" i="11" s="1"/>
  <c r="N204" i="11"/>
  <c r="O204" i="11" s="1"/>
  <c r="N196" i="11"/>
  <c r="O196" i="11" s="1"/>
  <c r="N188" i="11"/>
  <c r="O188" i="11" s="1"/>
  <c r="N180" i="11"/>
  <c r="O180" i="11" s="1"/>
  <c r="N172" i="11"/>
  <c r="O172" i="11" s="1"/>
  <c r="N164" i="11"/>
  <c r="O164" i="11" s="1"/>
  <c r="N156" i="11"/>
  <c r="O156" i="11" s="1"/>
  <c r="N148" i="11"/>
  <c r="O148" i="11" s="1"/>
  <c r="N140" i="11"/>
  <c r="O140" i="11" s="1"/>
  <c r="N132" i="11"/>
  <c r="O132" i="11" s="1"/>
  <c r="N117" i="11"/>
  <c r="O117" i="11" s="1"/>
  <c r="N109" i="11"/>
  <c r="O109" i="11" s="1"/>
  <c r="N104" i="11"/>
  <c r="O104" i="11" s="1"/>
  <c r="N102" i="11"/>
  <c r="O102" i="11" s="1"/>
  <c r="N94" i="11"/>
  <c r="O94" i="11" s="1"/>
  <c r="N124" i="11"/>
  <c r="O124" i="11" s="1"/>
  <c r="N116" i="11"/>
  <c r="O116" i="11" s="1"/>
  <c r="N108" i="11"/>
  <c r="O108" i="11" s="1"/>
  <c r="N100" i="11"/>
  <c r="O100" i="11" s="1"/>
  <c r="N76" i="11"/>
  <c r="O76" i="11" s="1"/>
  <c r="N93" i="11"/>
  <c r="O93" i="11" s="1"/>
  <c r="N92" i="11"/>
  <c r="O92" i="11" s="1"/>
  <c r="N84" i="11"/>
  <c r="O84" i="11" s="1"/>
  <c r="N77" i="11"/>
  <c r="O77" i="11" s="1"/>
  <c r="N72" i="11"/>
  <c r="O72" i="11" s="1"/>
  <c r="N69" i="11"/>
  <c r="O69" i="11" s="1"/>
  <c r="N68" i="11"/>
  <c r="O68" i="11" s="1"/>
  <c r="N62" i="11"/>
  <c r="O62" i="11" s="1"/>
  <c r="N54" i="11"/>
  <c r="O54" i="11" s="1"/>
  <c r="N53" i="11"/>
  <c r="O53" i="11" s="1"/>
  <c r="N46" i="11"/>
  <c r="O46" i="11" s="1"/>
  <c r="N45" i="11"/>
  <c r="O45" i="11" s="1"/>
  <c r="N40" i="11"/>
  <c r="O40" i="11" s="1"/>
  <c r="N37" i="11"/>
  <c r="O37" i="11" s="1"/>
  <c r="N32" i="11"/>
  <c r="O32" i="11" s="1"/>
  <c r="N31" i="11"/>
  <c r="O31" i="11" s="1"/>
  <c r="N24" i="11"/>
  <c r="O24" i="11" s="1"/>
  <c r="N16" i="11"/>
  <c r="O16" i="11" s="1"/>
  <c r="N15" i="11"/>
  <c r="O15" i="11" s="1"/>
  <c r="N8" i="11"/>
  <c r="O8" i="11" s="1"/>
  <c r="N7" i="11"/>
  <c r="O7" i="11" s="1"/>
  <c r="N736" i="11"/>
  <c r="O736" i="11" s="1"/>
  <c r="N704" i="11"/>
  <c r="O704" i="11" s="1"/>
  <c r="N640" i="11"/>
  <c r="O640" i="11" s="1"/>
  <c r="N511" i="11"/>
  <c r="O511" i="11" s="1"/>
  <c r="N383" i="11"/>
  <c r="O383" i="11" s="1"/>
  <c r="N9" i="11"/>
  <c r="O9" i="11" s="1"/>
  <c r="N748" i="11"/>
  <c r="O748" i="11" s="1"/>
  <c r="N740" i="11"/>
  <c r="O740" i="11" s="1"/>
  <c r="N732" i="11"/>
  <c r="O732" i="11" s="1"/>
  <c r="N724" i="11"/>
  <c r="O724" i="11" s="1"/>
  <c r="N716" i="11"/>
  <c r="O716" i="11" s="1"/>
  <c r="N708" i="11"/>
  <c r="O708" i="11" s="1"/>
  <c r="N700" i="11"/>
  <c r="O700" i="11" s="1"/>
  <c r="N692" i="11"/>
  <c r="O692" i="11" s="1"/>
  <c r="N755" i="11"/>
  <c r="O755" i="11" s="1"/>
  <c r="N747" i="11"/>
  <c r="O747" i="11" s="1"/>
  <c r="N739" i="11"/>
  <c r="O739" i="11" s="1"/>
  <c r="N731" i="11"/>
  <c r="O731" i="11" s="1"/>
  <c r="N723" i="11"/>
  <c r="O723" i="11" s="1"/>
  <c r="N715" i="11"/>
  <c r="O715" i="11" s="1"/>
  <c r="N707" i="11"/>
  <c r="O707" i="11" s="1"/>
  <c r="N699" i="11"/>
  <c r="O699" i="11" s="1"/>
  <c r="N754" i="11"/>
  <c r="O754" i="11" s="1"/>
  <c r="N746" i="11"/>
  <c r="O746" i="11" s="1"/>
  <c r="N738" i="11"/>
  <c r="O738" i="11" s="1"/>
  <c r="N730" i="11"/>
  <c r="O730" i="11" s="1"/>
  <c r="N714" i="11"/>
  <c r="O714" i="11" s="1"/>
  <c r="N706" i="11"/>
  <c r="O706" i="11" s="1"/>
  <c r="N698" i="11"/>
  <c r="O698" i="11" s="1"/>
  <c r="N690" i="11"/>
  <c r="O690" i="11" s="1"/>
  <c r="N682" i="11"/>
  <c r="O682" i="11" s="1"/>
  <c r="N674" i="11"/>
  <c r="O674" i="11" s="1"/>
  <c r="N666" i="11"/>
  <c r="O666" i="11" s="1"/>
  <c r="N658" i="11"/>
  <c r="O658" i="11" s="1"/>
  <c r="N650" i="11"/>
  <c r="O650" i="11" s="1"/>
  <c r="N642" i="11"/>
  <c r="O642" i="11" s="1"/>
  <c r="N634" i="11"/>
  <c r="O634" i="11" s="1"/>
  <c r="N626" i="11"/>
  <c r="O626" i="11" s="1"/>
  <c r="N618" i="11"/>
  <c r="O618" i="11" s="1"/>
  <c r="N610" i="11"/>
  <c r="O610" i="11" s="1"/>
  <c r="N602" i="11"/>
  <c r="O602" i="11" s="1"/>
  <c r="N594" i="11"/>
  <c r="O594" i="11" s="1"/>
  <c r="N586" i="11"/>
  <c r="O586" i="11" s="1"/>
  <c r="N578" i="11"/>
  <c r="O578" i="11" s="1"/>
  <c r="N570" i="11"/>
  <c r="O570" i="11" s="1"/>
  <c r="N562" i="11"/>
  <c r="O562" i="11" s="1"/>
  <c r="N554" i="11"/>
  <c r="O554" i="11" s="1"/>
  <c r="N546" i="11"/>
  <c r="O546" i="11" s="1"/>
  <c r="N537" i="11"/>
  <c r="O537" i="11" s="1"/>
  <c r="N529" i="11"/>
  <c r="O529" i="11" s="1"/>
  <c r="N521" i="11"/>
  <c r="O521" i="11" s="1"/>
  <c r="N513" i="11"/>
  <c r="O513" i="11" s="1"/>
  <c r="N505" i="11"/>
  <c r="O505" i="11" s="1"/>
  <c r="N497" i="11"/>
  <c r="O497" i="11" s="1"/>
  <c r="N489" i="11"/>
  <c r="O489" i="11" s="1"/>
  <c r="N481" i="11"/>
  <c r="O481" i="11" s="1"/>
  <c r="N473" i="11"/>
  <c r="O473" i="11" s="1"/>
  <c r="N465" i="11"/>
  <c r="O465" i="11" s="1"/>
  <c r="N457" i="11"/>
  <c r="O457" i="11" s="1"/>
  <c r="N449" i="11"/>
  <c r="O449" i="11" s="1"/>
  <c r="N441" i="11"/>
  <c r="O441" i="11" s="1"/>
  <c r="N433" i="11"/>
  <c r="O433" i="11" s="1"/>
  <c r="N425" i="11"/>
  <c r="O425" i="11" s="1"/>
  <c r="N417" i="11"/>
  <c r="O417" i="11" s="1"/>
  <c r="N684" i="11"/>
  <c r="O684" i="11" s="1"/>
  <c r="N676" i="11"/>
  <c r="O676" i="11" s="1"/>
  <c r="N668" i="11"/>
  <c r="O668" i="11" s="1"/>
  <c r="N660" i="11"/>
  <c r="O660" i="11" s="1"/>
  <c r="N652" i="11"/>
  <c r="O652" i="11" s="1"/>
  <c r="N644" i="11"/>
  <c r="O644" i="11" s="1"/>
  <c r="N636" i="11"/>
  <c r="O636" i="11" s="1"/>
  <c r="N628" i="11"/>
  <c r="O628" i="11" s="1"/>
  <c r="N620" i="11"/>
  <c r="O620" i="11" s="1"/>
  <c r="N612" i="11"/>
  <c r="O612" i="11" s="1"/>
  <c r="N604" i="11"/>
  <c r="O604" i="11" s="1"/>
  <c r="N596" i="11"/>
  <c r="O596" i="11" s="1"/>
  <c r="N588" i="11"/>
  <c r="O588" i="11" s="1"/>
  <c r="N580" i="11"/>
  <c r="O580" i="11" s="1"/>
  <c r="N572" i="11"/>
  <c r="O572" i="11" s="1"/>
  <c r="N564" i="11"/>
  <c r="O564" i="11" s="1"/>
  <c r="N556" i="11"/>
  <c r="O556" i="11" s="1"/>
  <c r="N548" i="11"/>
  <c r="O548" i="11" s="1"/>
  <c r="N539" i="11"/>
  <c r="O539" i="11" s="1"/>
  <c r="N531" i="11"/>
  <c r="O531" i="11" s="1"/>
  <c r="N523" i="11"/>
  <c r="O523" i="11" s="1"/>
  <c r="N515" i="11"/>
  <c r="O515" i="11" s="1"/>
  <c r="N507" i="11"/>
  <c r="O507" i="11" s="1"/>
  <c r="N499" i="11"/>
  <c r="O499" i="11" s="1"/>
  <c r="N491" i="11"/>
  <c r="O491" i="11" s="1"/>
  <c r="N483" i="11"/>
  <c r="O483" i="11" s="1"/>
  <c r="N475" i="11"/>
  <c r="O475" i="11" s="1"/>
  <c r="N467" i="11"/>
  <c r="O467" i="11" s="1"/>
  <c r="N459" i="11"/>
  <c r="O459" i="11" s="1"/>
  <c r="N451" i="11"/>
  <c r="O451" i="11" s="1"/>
  <c r="N443" i="11"/>
  <c r="O443" i="11" s="1"/>
  <c r="N435" i="11"/>
  <c r="O435" i="11" s="1"/>
  <c r="N427" i="11"/>
  <c r="O427" i="11" s="1"/>
  <c r="O419" i="11"/>
  <c r="N411" i="11"/>
  <c r="O411" i="11" s="1"/>
  <c r="N403" i="11"/>
  <c r="O403" i="11" s="1"/>
  <c r="N395" i="11"/>
  <c r="O395" i="11" s="1"/>
  <c r="N387" i="11"/>
  <c r="O387" i="11" s="1"/>
  <c r="N379" i="11"/>
  <c r="O379" i="11" s="1"/>
  <c r="N371" i="11"/>
  <c r="O371" i="11" s="1"/>
  <c r="N363" i="11"/>
  <c r="O363" i="11" s="1"/>
  <c r="N355" i="11"/>
  <c r="O355" i="11" s="1"/>
  <c r="N347" i="11"/>
  <c r="O347" i="11" s="1"/>
  <c r="N339" i="11"/>
  <c r="O339" i="11" s="1"/>
  <c r="N331" i="11"/>
  <c r="O331" i="11" s="1"/>
  <c r="N323" i="11"/>
  <c r="O323" i="11" s="1"/>
  <c r="N315" i="11"/>
  <c r="O315" i="11" s="1"/>
  <c r="N307" i="11"/>
  <c r="O307" i="11" s="1"/>
  <c r="N299" i="11"/>
  <c r="O299" i="11" s="1"/>
  <c r="N291" i="11"/>
  <c r="O291" i="11" s="1"/>
  <c r="N283" i="11"/>
  <c r="O283" i="11" s="1"/>
  <c r="N275" i="11"/>
  <c r="O275" i="11" s="1"/>
  <c r="N267" i="11"/>
  <c r="O267" i="11" s="1"/>
  <c r="N259" i="11"/>
  <c r="O259" i="11" s="1"/>
  <c r="N251" i="11"/>
  <c r="O251" i="11" s="1"/>
  <c r="N243" i="11"/>
  <c r="O243" i="11" s="1"/>
  <c r="N235" i="11"/>
  <c r="O235" i="11" s="1"/>
  <c r="N227" i="11"/>
  <c r="O227" i="11" s="1"/>
  <c r="N219" i="11"/>
  <c r="O219" i="11" s="1"/>
  <c r="N211" i="11"/>
  <c r="O211" i="11" s="1"/>
  <c r="N203" i="11"/>
  <c r="O203" i="11" s="1"/>
  <c r="N195" i="11"/>
  <c r="O195" i="11" s="1"/>
  <c r="N187" i="11"/>
  <c r="O187" i="11" s="1"/>
  <c r="N179" i="11"/>
  <c r="O179" i="11" s="1"/>
  <c r="N171" i="11"/>
  <c r="O171" i="11" s="1"/>
  <c r="N163" i="11"/>
  <c r="O163" i="11" s="1"/>
  <c r="N155" i="11"/>
  <c r="O155" i="11" s="1"/>
  <c r="N147" i="11"/>
  <c r="O147" i="11" s="1"/>
  <c r="N139" i="11"/>
  <c r="O139" i="11" s="1"/>
  <c r="N131" i="11"/>
  <c r="O131" i="11" s="1"/>
  <c r="N123" i="11"/>
  <c r="O123" i="11" s="1"/>
  <c r="N115" i="11"/>
  <c r="O115" i="11" s="1"/>
  <c r="N107" i="11"/>
  <c r="O107" i="11" s="1"/>
  <c r="N99" i="11"/>
  <c r="O99" i="11" s="1"/>
  <c r="N91" i="11"/>
  <c r="O91" i="11" s="1"/>
  <c r="N83" i="11"/>
  <c r="O83" i="11" s="1"/>
  <c r="N75" i="11"/>
  <c r="O75" i="11" s="1"/>
  <c r="N67" i="11"/>
  <c r="O67" i="11" s="1"/>
  <c r="N59" i="11"/>
  <c r="O59" i="11" s="1"/>
  <c r="N51" i="11"/>
  <c r="O51" i="11" s="1"/>
  <c r="N43" i="11"/>
  <c r="O43" i="11" s="1"/>
  <c r="N35" i="11"/>
  <c r="O35" i="11" s="1"/>
  <c r="N27" i="11"/>
  <c r="O27" i="11" s="1"/>
  <c r="N19" i="11"/>
  <c r="O19" i="11" s="1"/>
  <c r="N11" i="11"/>
  <c r="O11" i="11" s="1"/>
  <c r="N691" i="11"/>
  <c r="O691" i="11" s="1"/>
  <c r="N683" i="11"/>
  <c r="O683" i="11" s="1"/>
  <c r="N675" i="11"/>
  <c r="O675" i="11" s="1"/>
  <c r="N667" i="11"/>
  <c r="O667" i="11" s="1"/>
  <c r="N659" i="11"/>
  <c r="O659" i="11" s="1"/>
  <c r="N651" i="11"/>
  <c r="O651" i="11" s="1"/>
  <c r="N643" i="11"/>
  <c r="O643" i="11" s="1"/>
  <c r="N635" i="11"/>
  <c r="O635" i="11" s="1"/>
  <c r="N627" i="11"/>
  <c r="O627" i="11" s="1"/>
  <c r="N619" i="11"/>
  <c r="O619" i="11" s="1"/>
  <c r="N611" i="11"/>
  <c r="O611" i="11" s="1"/>
  <c r="N603" i="11"/>
  <c r="O603" i="11" s="1"/>
  <c r="N595" i="11"/>
  <c r="O595" i="11" s="1"/>
  <c r="N587" i="11"/>
  <c r="O587" i="11" s="1"/>
  <c r="N579" i="11"/>
  <c r="O579" i="11" s="1"/>
  <c r="N571" i="11"/>
  <c r="O571" i="11" s="1"/>
  <c r="N563" i="11"/>
  <c r="O563" i="11" s="1"/>
  <c r="N555" i="11"/>
  <c r="O555" i="11" s="1"/>
  <c r="N547" i="11"/>
  <c r="O547" i="11" s="1"/>
  <c r="N538" i="11"/>
  <c r="O538" i="11" s="1"/>
  <c r="N530" i="11"/>
  <c r="O530" i="11" s="1"/>
  <c r="N522" i="11"/>
  <c r="O522" i="11" s="1"/>
  <c r="N514" i="11"/>
  <c r="O514" i="11" s="1"/>
  <c r="N506" i="11"/>
  <c r="O506" i="11" s="1"/>
  <c r="N498" i="11"/>
  <c r="O498" i="11" s="1"/>
  <c r="N490" i="11"/>
  <c r="O490" i="11" s="1"/>
  <c r="N482" i="11"/>
  <c r="O482" i="11" s="1"/>
  <c r="N474" i="11"/>
  <c r="O474" i="11" s="1"/>
  <c r="N466" i="11"/>
  <c r="O466" i="11" s="1"/>
  <c r="N458" i="11"/>
  <c r="O458" i="11" s="1"/>
  <c r="N450" i="11"/>
  <c r="O450" i="11" s="1"/>
  <c r="N442" i="11"/>
  <c r="O442" i="11" s="1"/>
  <c r="N434" i="11"/>
  <c r="O434" i="11" s="1"/>
  <c r="N426" i="11"/>
  <c r="O426" i="11" s="1"/>
  <c r="N410" i="11"/>
  <c r="O410" i="11" s="1"/>
  <c r="N402" i="11"/>
  <c r="O402" i="11" s="1"/>
  <c r="N394" i="11"/>
  <c r="O394" i="11" s="1"/>
  <c r="N386" i="11"/>
  <c r="O386" i="11" s="1"/>
  <c r="N378" i="11"/>
  <c r="O378" i="11" s="1"/>
  <c r="N370" i="11"/>
  <c r="O370" i="11" s="1"/>
  <c r="N362" i="11"/>
  <c r="O362" i="11" s="1"/>
  <c r="N346" i="11"/>
  <c r="O346" i="11" s="1"/>
  <c r="N338" i="11"/>
  <c r="O338" i="11" s="1"/>
  <c r="N330" i="11"/>
  <c r="O330" i="11" s="1"/>
  <c r="N322" i="11"/>
  <c r="O322" i="11" s="1"/>
  <c r="N314" i="11"/>
  <c r="O314" i="11" s="1"/>
  <c r="N306" i="11"/>
  <c r="O306" i="11" s="1"/>
  <c r="N298" i="11"/>
  <c r="O298" i="11" s="1"/>
  <c r="N290" i="11"/>
  <c r="O290" i="11" s="1"/>
  <c r="N282" i="11"/>
  <c r="O282" i="11" s="1"/>
  <c r="N274" i="11"/>
  <c r="O274" i="11" s="1"/>
  <c r="N266" i="11"/>
  <c r="O266" i="11" s="1"/>
  <c r="N258" i="11"/>
  <c r="O258" i="11" s="1"/>
  <c r="N250" i="11"/>
  <c r="O250" i="11" s="1"/>
  <c r="N242" i="11"/>
  <c r="O242" i="11" s="1"/>
  <c r="N234" i="11"/>
  <c r="O234" i="11" s="1"/>
  <c r="N226" i="11"/>
  <c r="O226" i="11" s="1"/>
  <c r="N218" i="11"/>
  <c r="O218" i="11" s="1"/>
  <c r="N210" i="11"/>
  <c r="O210" i="11" s="1"/>
  <c r="N202" i="11"/>
  <c r="O202" i="11" s="1"/>
  <c r="N194" i="11"/>
  <c r="O194" i="11" s="1"/>
  <c r="N186" i="11"/>
  <c r="O186" i="11" s="1"/>
  <c r="N178" i="11"/>
  <c r="O178" i="11" s="1"/>
  <c r="N170" i="11"/>
  <c r="O170" i="11" s="1"/>
  <c r="N162" i="11"/>
  <c r="O162" i="11" s="1"/>
  <c r="N154" i="11"/>
  <c r="O154" i="11" s="1"/>
  <c r="N146" i="11"/>
  <c r="O146" i="11" s="1"/>
  <c r="N138" i="11"/>
  <c r="O138" i="11" s="1"/>
  <c r="N130" i="11"/>
  <c r="O130" i="11" s="1"/>
  <c r="N122" i="11"/>
  <c r="O122" i="11" s="1"/>
  <c r="N114" i="11"/>
  <c r="O114" i="11" s="1"/>
  <c r="N106" i="11"/>
  <c r="O106" i="11" s="1"/>
  <c r="N98" i="11"/>
  <c r="O98" i="11" s="1"/>
  <c r="N90" i="11"/>
  <c r="O90" i="11" s="1"/>
  <c r="N82" i="11"/>
  <c r="O82" i="11" s="1"/>
  <c r="N74" i="11"/>
  <c r="O74" i="11" s="1"/>
  <c r="N66" i="11"/>
  <c r="O66" i="11" s="1"/>
  <c r="N58" i="11"/>
  <c r="O58" i="11" s="1"/>
  <c r="N50" i="11"/>
  <c r="O50" i="11" s="1"/>
  <c r="N42" i="11"/>
  <c r="O42" i="11" s="1"/>
  <c r="N34" i="11"/>
  <c r="O34" i="11" s="1"/>
  <c r="N26" i="11"/>
  <c r="O26" i="11" s="1"/>
  <c r="N18" i="11"/>
  <c r="O18" i="11" s="1"/>
  <c r="N10" i="11"/>
  <c r="O10" i="11" s="1"/>
  <c r="N409" i="11"/>
  <c r="O409" i="11" s="1"/>
  <c r="N401" i="11"/>
  <c r="O401" i="11" s="1"/>
  <c r="N393" i="11"/>
  <c r="O393" i="11" s="1"/>
  <c r="N385" i="11"/>
  <c r="O385" i="11" s="1"/>
  <c r="N377" i="11"/>
  <c r="O377" i="11" s="1"/>
  <c r="N369" i="11"/>
  <c r="O369" i="11" s="1"/>
  <c r="N361" i="11"/>
  <c r="O361" i="11" s="1"/>
  <c r="N353" i="11"/>
  <c r="O353" i="11" s="1"/>
  <c r="N345" i="11"/>
  <c r="O345" i="11" s="1"/>
  <c r="N337" i="11"/>
  <c r="O337" i="11" s="1"/>
  <c r="N329" i="11"/>
  <c r="O329" i="11" s="1"/>
  <c r="N321" i="11"/>
  <c r="O321" i="11" s="1"/>
  <c r="N313" i="11"/>
  <c r="O313" i="11" s="1"/>
  <c r="N305" i="11"/>
  <c r="O305" i="11" s="1"/>
  <c r="N297" i="11"/>
  <c r="O297" i="11" s="1"/>
  <c r="N289" i="11"/>
  <c r="O289" i="11" s="1"/>
  <c r="N281" i="11"/>
  <c r="O281" i="11" s="1"/>
  <c r="N273" i="11"/>
  <c r="O273" i="11" s="1"/>
  <c r="N265" i="11"/>
  <c r="O265" i="11" s="1"/>
  <c r="N257" i="11"/>
  <c r="O257" i="11" s="1"/>
  <c r="N249" i="11"/>
  <c r="O249" i="11" s="1"/>
  <c r="N241" i="11"/>
  <c r="O241" i="11" s="1"/>
  <c r="N233" i="11"/>
  <c r="O233" i="11" s="1"/>
  <c r="N225" i="11"/>
  <c r="O225" i="11" s="1"/>
  <c r="N217" i="11"/>
  <c r="O217" i="11" s="1"/>
  <c r="N201" i="11"/>
  <c r="O201" i="11" s="1"/>
  <c r="N193" i="11"/>
  <c r="O193" i="11" s="1"/>
  <c r="N185" i="11"/>
  <c r="O185" i="11" s="1"/>
  <c r="N177" i="11"/>
  <c r="O177" i="11" s="1"/>
  <c r="N169" i="11"/>
  <c r="O169" i="11" s="1"/>
  <c r="N161" i="11"/>
  <c r="O161" i="11" s="1"/>
  <c r="N153" i="11"/>
  <c r="O153" i="11" s="1"/>
  <c r="N145" i="11"/>
  <c r="O145" i="11" s="1"/>
  <c r="N137" i="11"/>
  <c r="O137" i="11" s="1"/>
  <c r="N121" i="11"/>
  <c r="O121" i="11" s="1"/>
  <c r="N113" i="11"/>
  <c r="O113" i="11" s="1"/>
  <c r="N105" i="11"/>
  <c r="O105" i="11" s="1"/>
  <c r="N97" i="11"/>
  <c r="O97" i="11" s="1"/>
  <c r="N89" i="11"/>
  <c r="O89" i="11" s="1"/>
  <c r="N81" i="11"/>
  <c r="O81" i="11" s="1"/>
  <c r="N73" i="11"/>
  <c r="O73" i="11" s="1"/>
  <c r="N65" i="11"/>
  <c r="O65" i="11" s="1"/>
  <c r="N57" i="11"/>
  <c r="O57" i="11" s="1"/>
  <c r="N49" i="11"/>
  <c r="O49" i="11" s="1"/>
  <c r="N41" i="11"/>
  <c r="O41" i="11" s="1"/>
  <c r="N33" i="11"/>
  <c r="O33" i="11" s="1"/>
  <c r="N25" i="11"/>
  <c r="O25" i="11" s="1"/>
  <c r="N17" i="11"/>
  <c r="O17" i="11" s="1"/>
  <c r="N3" i="11"/>
  <c r="O3" i="11" s="1"/>
  <c r="G14" i="28"/>
  <c r="F14" i="28" s="1"/>
  <c r="G13" i="28"/>
  <c r="F13" i="28" s="1"/>
  <c r="G12" i="28"/>
  <c r="F12" i="28" s="1"/>
  <c r="G11" i="28"/>
  <c r="F11" i="28" s="1"/>
  <c r="G10" i="28"/>
  <c r="F10" i="28" s="1"/>
  <c r="G9" i="28"/>
  <c r="F9" i="28" s="1"/>
  <c r="G8" i="28"/>
  <c r="F8" i="28" s="1"/>
  <c r="G7" i="28"/>
  <c r="F7" i="28" s="1"/>
  <c r="E3" i="28"/>
  <c r="D2" i="28"/>
  <c r="D5" i="28" s="1"/>
  <c r="E1" i="28"/>
  <c r="E5" i="28" l="1"/>
  <c r="I4" i="17"/>
  <c r="E6" i="23"/>
  <c r="E7" i="23"/>
  <c r="E8" i="23"/>
  <c r="E9" i="23"/>
  <c r="E10" i="23"/>
  <c r="E11" i="23"/>
  <c r="E12" i="23"/>
  <c r="E13" i="23"/>
  <c r="E14" i="23"/>
  <c r="E15" i="23"/>
  <c r="E16" i="23"/>
  <c r="E17" i="23"/>
  <c r="E18" i="23"/>
  <c r="E19" i="23"/>
  <c r="E20" i="23"/>
  <c r="E21" i="23"/>
  <c r="E22" i="23"/>
  <c r="E23" i="23"/>
  <c r="E24" i="23"/>
  <c r="E25" i="23"/>
  <c r="E26" i="23"/>
  <c r="E27" i="23"/>
  <c r="E28" i="23"/>
  <c r="E29" i="23"/>
  <c r="E30" i="23"/>
  <c r="E31" i="23"/>
  <c r="E32" i="23"/>
  <c r="E33" i="23"/>
  <c r="E5" i="23"/>
  <c r="I6" i="17"/>
  <c r="F6" i="24"/>
  <c r="F7" i="24"/>
  <c r="F8" i="24"/>
  <c r="F9" i="24"/>
  <c r="F3" i="24" s="1"/>
  <c r="B8" i="10" s="1"/>
  <c r="F10" i="24"/>
  <c r="F11" i="24"/>
  <c r="F12" i="24"/>
  <c r="F13" i="24"/>
  <c r="F14" i="24"/>
  <c r="F15" i="24"/>
  <c r="F16" i="24"/>
  <c r="F17" i="24"/>
  <c r="F18" i="24"/>
  <c r="F19" i="24"/>
  <c r="F20" i="24"/>
  <c r="F21" i="24"/>
  <c r="F22" i="24"/>
  <c r="F23" i="24"/>
  <c r="F24" i="24"/>
  <c r="F25" i="24"/>
  <c r="F26" i="24"/>
  <c r="F27" i="24"/>
  <c r="F28" i="24"/>
  <c r="F29" i="24"/>
  <c r="F30" i="24"/>
  <c r="F31" i="24"/>
  <c r="F32" i="24"/>
  <c r="F33" i="24"/>
  <c r="F34" i="24"/>
  <c r="F35" i="24"/>
  <c r="F5" i="24"/>
  <c r="E3" i="24"/>
  <c r="E3" i="23" l="1"/>
  <c r="D10" i="9"/>
  <c r="D11" i="9" s="1"/>
  <c r="D13" i="9" s="1"/>
  <c r="D6" i="9"/>
  <c r="B3" i="24"/>
  <c r="B3" i="10" s="1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5" i="23"/>
  <c r="L7" i="25"/>
  <c r="N7" i="25"/>
  <c r="AD5" i="27"/>
  <c r="AE5" i="27"/>
  <c r="AF5" i="27"/>
  <c r="AD6" i="27"/>
  <c r="AF6" i="27" s="1"/>
  <c r="AE6" i="27"/>
  <c r="AD7" i="27"/>
  <c r="AF7" i="27" s="1"/>
  <c r="AE7" i="27"/>
  <c r="AD8" i="27"/>
  <c r="AE8" i="27"/>
  <c r="AF8" i="27"/>
  <c r="AD9" i="27"/>
  <c r="AF9" i="27" s="1"/>
  <c r="AE9" i="27"/>
  <c r="AD10" i="27"/>
  <c r="AF10" i="27" s="1"/>
  <c r="AE10" i="27"/>
  <c r="AD11" i="27"/>
  <c r="AF11" i="27" s="1"/>
  <c r="AE11" i="27"/>
  <c r="AD12" i="27"/>
  <c r="AF12" i="27" s="1"/>
  <c r="AE12" i="27"/>
  <c r="AD13" i="27"/>
  <c r="AE13" i="27"/>
  <c r="AF13" i="27"/>
  <c r="AD14" i="27"/>
  <c r="AE14" i="27"/>
  <c r="AF14" i="27"/>
  <c r="AD15" i="27"/>
  <c r="AF15" i="27" s="1"/>
  <c r="AE15" i="27"/>
  <c r="AD16" i="27"/>
  <c r="AF16" i="27" s="1"/>
  <c r="AE16" i="27"/>
  <c r="AD17" i="27"/>
  <c r="AF17" i="27" s="1"/>
  <c r="AE17" i="27"/>
  <c r="AD18" i="27"/>
  <c r="AF18" i="27" s="1"/>
  <c r="AE18" i="27"/>
  <c r="AD19" i="27"/>
  <c r="AF19" i="27" s="1"/>
  <c r="AE19" i="27"/>
  <c r="AD20" i="27"/>
  <c r="AF20" i="27" s="1"/>
  <c r="AE20" i="27"/>
  <c r="AD21" i="27"/>
  <c r="AE21" i="27"/>
  <c r="AF21" i="27"/>
  <c r="AD22" i="27"/>
  <c r="AE22" i="27"/>
  <c r="AF22" i="27"/>
  <c r="AD23" i="27"/>
  <c r="AF23" i="27" s="1"/>
  <c r="AE23" i="27"/>
  <c r="AD24" i="27"/>
  <c r="AF24" i="27" s="1"/>
  <c r="AE24" i="27"/>
  <c r="AD25" i="27"/>
  <c r="AF25" i="27" s="1"/>
  <c r="AE25" i="27"/>
  <c r="AD26" i="27"/>
  <c r="AF26" i="27" s="1"/>
  <c r="AE26" i="27"/>
  <c r="AD27" i="27"/>
  <c r="AF27" i="27" s="1"/>
  <c r="AE27" i="27"/>
  <c r="AD28" i="27"/>
  <c r="AF28" i="27" s="1"/>
  <c r="AE28" i="27"/>
  <c r="AD29" i="27"/>
  <c r="AE29" i="27"/>
  <c r="AF29" i="27"/>
  <c r="AD30" i="27"/>
  <c r="AE30" i="27"/>
  <c r="AF30" i="27"/>
  <c r="AD31" i="27"/>
  <c r="AF31" i="27" s="1"/>
  <c r="AE31" i="27"/>
  <c r="AD32" i="27"/>
  <c r="AF32" i="27" s="1"/>
  <c r="AE32" i="27"/>
  <c r="AD33" i="27"/>
  <c r="AF33" i="27" s="1"/>
  <c r="AE33" i="27"/>
  <c r="AD34" i="27"/>
  <c r="AF34" i="27" s="1"/>
  <c r="AE34" i="27"/>
  <c r="AD35" i="27"/>
  <c r="AF35" i="27" s="1"/>
  <c r="AE35" i="27"/>
  <c r="AD36" i="27"/>
  <c r="AF36" i="27" s="1"/>
  <c r="AE36" i="27"/>
  <c r="AD37" i="27"/>
  <c r="AE37" i="27"/>
  <c r="AF37" i="27"/>
  <c r="AD38" i="27"/>
  <c r="AE38" i="27"/>
  <c r="AF38" i="27"/>
  <c r="AD39" i="27"/>
  <c r="AF39" i="27" s="1"/>
  <c r="AE39" i="27"/>
  <c r="AD40" i="27"/>
  <c r="AF40" i="27" s="1"/>
  <c r="AE40" i="27"/>
  <c r="AD41" i="27"/>
  <c r="AF41" i="27" s="1"/>
  <c r="AE41" i="27"/>
  <c r="AD42" i="27"/>
  <c r="AF42" i="27" s="1"/>
  <c r="AE42" i="27"/>
  <c r="AD43" i="27"/>
  <c r="AF43" i="27" s="1"/>
  <c r="AE43" i="27"/>
  <c r="AD44" i="27"/>
  <c r="AF44" i="27" s="1"/>
  <c r="AE44" i="27"/>
  <c r="AD45" i="27"/>
  <c r="AE45" i="27"/>
  <c r="AF45" i="27"/>
  <c r="AD46" i="27"/>
  <c r="AE46" i="27"/>
  <c r="AF46" i="27"/>
  <c r="AD47" i="27"/>
  <c r="AF47" i="27" s="1"/>
  <c r="AE47" i="27"/>
  <c r="AD48" i="27"/>
  <c r="AF48" i="27" s="1"/>
  <c r="AE48" i="27"/>
  <c r="AD49" i="27"/>
  <c r="AF49" i="27" s="1"/>
  <c r="AE49" i="27"/>
  <c r="AD50" i="27"/>
  <c r="AF50" i="27" s="1"/>
  <c r="AE50" i="27"/>
  <c r="AD51" i="27"/>
  <c r="AF51" i="27" s="1"/>
  <c r="AE51" i="27"/>
  <c r="AD52" i="27"/>
  <c r="AE52" i="27"/>
  <c r="AF52" i="27"/>
  <c r="AD53" i="27"/>
  <c r="AF53" i="27" s="1"/>
  <c r="AE53" i="27"/>
  <c r="AD54" i="27"/>
  <c r="AE54" i="27"/>
  <c r="AF54" i="27"/>
  <c r="AD55" i="27"/>
  <c r="AF55" i="27" s="1"/>
  <c r="AE55" i="27"/>
  <c r="AD56" i="27"/>
  <c r="AF56" i="27" s="1"/>
  <c r="AE56" i="27"/>
  <c r="AD57" i="27"/>
  <c r="AF57" i="27" s="1"/>
  <c r="AE57" i="27"/>
  <c r="AD58" i="27"/>
  <c r="AF58" i="27" s="1"/>
  <c r="AE58" i="27"/>
  <c r="AD59" i="27"/>
  <c r="AF59" i="27" s="1"/>
  <c r="AE59" i="27"/>
  <c r="AD60" i="27"/>
  <c r="AF60" i="27" s="1"/>
  <c r="AE60" i="27"/>
  <c r="AD61" i="27"/>
  <c r="AE61" i="27"/>
  <c r="AF61" i="27"/>
  <c r="AD62" i="27"/>
  <c r="AE62" i="27"/>
  <c r="AF62" i="27"/>
  <c r="AD63" i="27"/>
  <c r="AF63" i="27" s="1"/>
  <c r="AE63" i="27"/>
  <c r="AD64" i="27"/>
  <c r="AF64" i="27" s="1"/>
  <c r="AE64" i="27"/>
  <c r="AD65" i="27"/>
  <c r="AF65" i="27" s="1"/>
  <c r="AE65" i="27"/>
  <c r="AD66" i="27"/>
  <c r="AF66" i="27" s="1"/>
  <c r="AE66" i="27"/>
  <c r="AD67" i="27"/>
  <c r="AF67" i="27" s="1"/>
  <c r="AE67" i="27"/>
  <c r="AD68" i="27"/>
  <c r="AE68" i="27"/>
  <c r="AF68" i="27"/>
  <c r="AD69" i="27"/>
  <c r="AF69" i="27" s="1"/>
  <c r="AE69" i="27"/>
  <c r="AD70" i="27"/>
  <c r="AE70" i="27"/>
  <c r="AF70" i="27"/>
  <c r="AD71" i="27"/>
  <c r="AF71" i="27" s="1"/>
  <c r="AE71" i="27"/>
  <c r="AD72" i="27"/>
  <c r="AF72" i="27" s="1"/>
  <c r="AE72" i="27"/>
  <c r="AD73" i="27"/>
  <c r="AF73" i="27" s="1"/>
  <c r="AE73" i="27"/>
  <c r="AD74" i="27"/>
  <c r="AF74" i="27" s="1"/>
  <c r="AE74" i="27"/>
  <c r="AD75" i="27"/>
  <c r="AF75" i="27" s="1"/>
  <c r="AE75" i="27"/>
  <c r="AD76" i="27"/>
  <c r="AF76" i="27" s="1"/>
  <c r="AE76" i="27"/>
  <c r="AD77" i="27"/>
  <c r="AE77" i="27"/>
  <c r="AF77" i="27"/>
  <c r="AD78" i="27"/>
  <c r="AE78" i="27"/>
  <c r="AF78" i="27"/>
  <c r="AD79" i="27"/>
  <c r="AF79" i="27" s="1"/>
  <c r="AE79" i="27"/>
  <c r="AD80" i="27"/>
  <c r="AF80" i="27" s="1"/>
  <c r="AE80" i="27"/>
  <c r="AD81" i="27"/>
  <c r="AF81" i="27" s="1"/>
  <c r="AE81" i="27"/>
  <c r="AD82" i="27"/>
  <c r="AF82" i="27" s="1"/>
  <c r="AE82" i="27"/>
  <c r="AD83" i="27"/>
  <c r="AF83" i="27" s="1"/>
  <c r="AE83" i="27"/>
  <c r="AD84" i="27"/>
  <c r="AE84" i="27"/>
  <c r="AF84" i="27"/>
  <c r="AD85" i="27"/>
  <c r="AF85" i="27" s="1"/>
  <c r="AE85" i="27"/>
  <c r="AD86" i="27"/>
  <c r="AE86" i="27"/>
  <c r="AF86" i="27"/>
  <c r="AD87" i="27"/>
  <c r="AF87" i="27" s="1"/>
  <c r="AE87" i="27"/>
  <c r="AD88" i="27"/>
  <c r="AF88" i="27" s="1"/>
  <c r="AE88" i="27"/>
  <c r="AD89" i="27"/>
  <c r="AF89" i="27" s="1"/>
  <c r="AE89" i="27"/>
  <c r="AD90" i="27"/>
  <c r="AF90" i="27" s="1"/>
  <c r="AE90" i="27"/>
  <c r="AD91" i="27"/>
  <c r="AF91" i="27" s="1"/>
  <c r="AE91" i="27"/>
  <c r="AD92" i="27"/>
  <c r="AF92" i="27" s="1"/>
  <c r="AE92" i="27"/>
  <c r="AD93" i="27"/>
  <c r="AE93" i="27"/>
  <c r="AF93" i="27"/>
  <c r="AD94" i="27"/>
  <c r="AE94" i="27"/>
  <c r="AF94" i="27"/>
  <c r="AD95" i="27"/>
  <c r="AF95" i="27" s="1"/>
  <c r="AE95" i="27"/>
  <c r="AD96" i="27"/>
  <c r="AF96" i="27" s="1"/>
  <c r="AE96" i="27"/>
  <c r="AD97" i="27"/>
  <c r="AF97" i="27" s="1"/>
  <c r="AE97" i="27"/>
  <c r="AD98" i="27"/>
  <c r="AF98" i="27" s="1"/>
  <c r="AE98" i="27"/>
  <c r="AD99" i="27"/>
  <c r="AF99" i="27" s="1"/>
  <c r="AE99" i="27"/>
  <c r="AD100" i="27"/>
  <c r="AE100" i="27"/>
  <c r="AF100" i="27"/>
  <c r="AD101" i="27"/>
  <c r="AE101" i="27"/>
  <c r="AF101" i="27"/>
  <c r="AD102" i="27"/>
  <c r="AE102" i="27"/>
  <c r="AF102" i="27"/>
  <c r="AD103" i="27"/>
  <c r="AF103" i="27" s="1"/>
  <c r="AE103" i="27"/>
  <c r="AD104" i="27"/>
  <c r="AF104" i="27" s="1"/>
  <c r="AE104" i="27"/>
  <c r="AD105" i="27"/>
  <c r="AE105" i="27"/>
  <c r="AF105" i="27"/>
  <c r="AD106" i="27"/>
  <c r="AF106" i="27" s="1"/>
  <c r="AE106" i="27"/>
  <c r="X5" i="27"/>
  <c r="Z5" i="27" s="1"/>
  <c r="Y5" i="27"/>
  <c r="X6" i="27"/>
  <c r="Z6" i="27" s="1"/>
  <c r="Y6" i="27"/>
  <c r="X7" i="27"/>
  <c r="Z7" i="27" s="1"/>
  <c r="Y7" i="27"/>
  <c r="X8" i="27"/>
  <c r="Y8" i="27"/>
  <c r="Z8" i="27"/>
  <c r="X9" i="27"/>
  <c r="Z9" i="27" s="1"/>
  <c r="Y9" i="27"/>
  <c r="X10" i="27"/>
  <c r="Z10" i="27" s="1"/>
  <c r="Y10" i="27"/>
  <c r="X11" i="27"/>
  <c r="Y11" i="27"/>
  <c r="Z11" i="27"/>
  <c r="X12" i="27"/>
  <c r="Y12" i="27"/>
  <c r="Z12" i="27"/>
  <c r="X13" i="27"/>
  <c r="Z13" i="27" s="1"/>
  <c r="Y13" i="27"/>
  <c r="X14" i="27"/>
  <c r="Y14" i="27"/>
  <c r="Z14" i="27"/>
  <c r="X15" i="27"/>
  <c r="Z15" i="27" s="1"/>
  <c r="Y15" i="27"/>
  <c r="X16" i="27"/>
  <c r="Z16" i="27" s="1"/>
  <c r="Y16" i="27"/>
  <c r="X17" i="27"/>
  <c r="Z17" i="27" s="1"/>
  <c r="Y17" i="27"/>
  <c r="X18" i="27"/>
  <c r="Z18" i="27" s="1"/>
  <c r="Y18" i="27"/>
  <c r="X19" i="27"/>
  <c r="Z19" i="27" s="1"/>
  <c r="Y19" i="27"/>
  <c r="X20" i="27"/>
  <c r="Y20" i="27"/>
  <c r="Z20" i="27"/>
  <c r="X21" i="27"/>
  <c r="Y21" i="27"/>
  <c r="Z21" i="27"/>
  <c r="X22" i="27"/>
  <c r="Y22" i="27"/>
  <c r="Z22" i="27"/>
  <c r="X23" i="27"/>
  <c r="Z23" i="27" s="1"/>
  <c r="Y23" i="27"/>
  <c r="X24" i="27"/>
  <c r="Y24" i="27"/>
  <c r="Z24" i="27"/>
  <c r="X25" i="27"/>
  <c r="Z25" i="27" s="1"/>
  <c r="Y25" i="27"/>
  <c r="X26" i="27"/>
  <c r="Z26" i="27" s="1"/>
  <c r="Y26" i="27"/>
  <c r="X27" i="27"/>
  <c r="Z27" i="27" s="1"/>
  <c r="Y27" i="27"/>
  <c r="X28" i="27"/>
  <c r="Z28" i="27" s="1"/>
  <c r="Y28" i="27"/>
  <c r="X29" i="27"/>
  <c r="Y29" i="27"/>
  <c r="Z29" i="27"/>
  <c r="X30" i="27"/>
  <c r="Y30" i="27"/>
  <c r="Z30" i="27"/>
  <c r="X31" i="27"/>
  <c r="Z31" i="27" s="1"/>
  <c r="Y31" i="27"/>
  <c r="X32" i="27"/>
  <c r="Y32" i="27"/>
  <c r="Z32" i="27"/>
  <c r="X33" i="27"/>
  <c r="Z33" i="27" s="1"/>
  <c r="Y33" i="27"/>
  <c r="X34" i="27"/>
  <c r="Z34" i="27" s="1"/>
  <c r="Y34" i="27"/>
  <c r="X35" i="27"/>
  <c r="Y35" i="27"/>
  <c r="Z35" i="27"/>
  <c r="X36" i="27"/>
  <c r="Z36" i="27" s="1"/>
  <c r="Y36" i="27"/>
  <c r="X37" i="27"/>
  <c r="Z37" i="27" s="1"/>
  <c r="Y37" i="27"/>
  <c r="X38" i="27"/>
  <c r="Y38" i="27"/>
  <c r="Z38" i="27"/>
  <c r="X39" i="27"/>
  <c r="Z39" i="27" s="1"/>
  <c r="Y39" i="27"/>
  <c r="X40" i="27"/>
  <c r="Y40" i="27"/>
  <c r="Z40" i="27"/>
  <c r="X41" i="27"/>
  <c r="Z41" i="27" s="1"/>
  <c r="Y41" i="27"/>
  <c r="X42" i="27"/>
  <c r="Z42" i="27" s="1"/>
  <c r="Y42" i="27"/>
  <c r="X43" i="27"/>
  <c r="Y43" i="27"/>
  <c r="Z43" i="27"/>
  <c r="X44" i="27"/>
  <c r="Z44" i="27" s="1"/>
  <c r="Y44" i="27"/>
  <c r="X45" i="27"/>
  <c r="Z45" i="27" s="1"/>
  <c r="Y45" i="27"/>
  <c r="X46" i="27"/>
  <c r="Y46" i="27"/>
  <c r="Z46" i="27"/>
  <c r="X47" i="27"/>
  <c r="Z47" i="27" s="1"/>
  <c r="Y47" i="27"/>
  <c r="X48" i="27"/>
  <c r="Y48" i="27"/>
  <c r="Z48" i="27"/>
  <c r="X49" i="27"/>
  <c r="Z49" i="27" s="1"/>
  <c r="Y49" i="27"/>
  <c r="X50" i="27"/>
  <c r="Z50" i="27" s="1"/>
  <c r="Y50" i="27"/>
  <c r="X51" i="27"/>
  <c r="Y51" i="27"/>
  <c r="Z51" i="27"/>
  <c r="X52" i="27"/>
  <c r="Z52" i="27" s="1"/>
  <c r="Y52" i="27"/>
  <c r="X53" i="27"/>
  <c r="Z53" i="27" s="1"/>
  <c r="Y53" i="27"/>
  <c r="X54" i="27"/>
  <c r="Y54" i="27"/>
  <c r="Z54" i="27"/>
  <c r="X55" i="27"/>
  <c r="Z55" i="27" s="1"/>
  <c r="Y55" i="27"/>
  <c r="X56" i="27"/>
  <c r="Y56" i="27"/>
  <c r="Z56" i="27"/>
  <c r="X57" i="27"/>
  <c r="Z57" i="27" s="1"/>
  <c r="Y57" i="27"/>
  <c r="X58" i="27"/>
  <c r="Z58" i="27" s="1"/>
  <c r="Y58" i="27"/>
  <c r="X59" i="27"/>
  <c r="Y59" i="27"/>
  <c r="Z59" i="27"/>
  <c r="X60" i="27"/>
  <c r="Z60" i="27" s="1"/>
  <c r="Y60" i="27"/>
  <c r="X61" i="27"/>
  <c r="Z61" i="27" s="1"/>
  <c r="Y61" i="27"/>
  <c r="X62" i="27"/>
  <c r="Y62" i="27"/>
  <c r="Z62" i="27"/>
  <c r="X63" i="27"/>
  <c r="Z63" i="27" s="1"/>
  <c r="Y63" i="27"/>
  <c r="X64" i="27"/>
  <c r="Y64" i="27"/>
  <c r="Z64" i="27"/>
  <c r="X65" i="27"/>
  <c r="Z65" i="27" s="1"/>
  <c r="Y65" i="27"/>
  <c r="X66" i="27"/>
  <c r="Z66" i="27" s="1"/>
  <c r="Y66" i="27"/>
  <c r="X67" i="27"/>
  <c r="Y67" i="27"/>
  <c r="Z67" i="27"/>
  <c r="X68" i="27"/>
  <c r="Z68" i="27" s="1"/>
  <c r="Y68" i="27"/>
  <c r="X69" i="27"/>
  <c r="Z69" i="27" s="1"/>
  <c r="Y69" i="27"/>
  <c r="X70" i="27"/>
  <c r="Y70" i="27"/>
  <c r="Z70" i="27"/>
  <c r="X71" i="27"/>
  <c r="Z71" i="27" s="1"/>
  <c r="Y71" i="27"/>
  <c r="X72" i="27"/>
  <c r="Y72" i="27"/>
  <c r="Z72" i="27"/>
  <c r="X73" i="27"/>
  <c r="Z73" i="27" s="1"/>
  <c r="Y73" i="27"/>
  <c r="X74" i="27"/>
  <c r="Z74" i="27" s="1"/>
  <c r="Y74" i="27"/>
  <c r="X75" i="27"/>
  <c r="Y75" i="27"/>
  <c r="Z75" i="27"/>
  <c r="X76" i="27"/>
  <c r="Z76" i="27" s="1"/>
  <c r="Y76" i="27"/>
  <c r="X77" i="27"/>
  <c r="Z77" i="27" s="1"/>
  <c r="Y77" i="27"/>
  <c r="X78" i="27"/>
  <c r="Y78" i="27"/>
  <c r="Z78" i="27"/>
  <c r="X79" i="27"/>
  <c r="Z79" i="27" s="1"/>
  <c r="Y79" i="27"/>
  <c r="X80" i="27"/>
  <c r="Y80" i="27"/>
  <c r="Z80" i="27"/>
  <c r="X81" i="27"/>
  <c r="Z81" i="27" s="1"/>
  <c r="Y81" i="27"/>
  <c r="X82" i="27"/>
  <c r="Z82" i="27" s="1"/>
  <c r="Y82" i="27"/>
  <c r="X83" i="27"/>
  <c r="Y83" i="27"/>
  <c r="Z83" i="27"/>
  <c r="X84" i="27"/>
  <c r="Z84" i="27" s="1"/>
  <c r="Y84" i="27"/>
  <c r="X85" i="27"/>
  <c r="Z85" i="27" s="1"/>
  <c r="Y85" i="27"/>
  <c r="X86" i="27"/>
  <c r="Z86" i="27" s="1"/>
  <c r="Y86" i="27"/>
  <c r="X87" i="27"/>
  <c r="Z87" i="27" s="1"/>
  <c r="Y87" i="27"/>
  <c r="X88" i="27"/>
  <c r="Y88" i="27"/>
  <c r="Z88" i="27"/>
  <c r="X89" i="27"/>
  <c r="Z89" i="27" s="1"/>
  <c r="Y89" i="27"/>
  <c r="X90" i="27"/>
  <c r="Z90" i="27" s="1"/>
  <c r="Y90" i="27"/>
  <c r="X91" i="27"/>
  <c r="Z91" i="27" s="1"/>
  <c r="Y91" i="27"/>
  <c r="X92" i="27"/>
  <c r="Z92" i="27" s="1"/>
  <c r="Y92" i="27"/>
  <c r="X93" i="27"/>
  <c r="Z93" i="27" s="1"/>
  <c r="Y93" i="27"/>
  <c r="X94" i="27"/>
  <c r="Z94" i="27" s="1"/>
  <c r="Y94" i="27"/>
  <c r="X95" i="27"/>
  <c r="Z95" i="27" s="1"/>
  <c r="Y95" i="27"/>
  <c r="X96" i="27"/>
  <c r="Y96" i="27"/>
  <c r="Z96" i="27"/>
  <c r="X97" i="27"/>
  <c r="Z97" i="27" s="1"/>
  <c r="Y97" i="27"/>
  <c r="X98" i="27"/>
  <c r="Z98" i="27" s="1"/>
  <c r="Y98" i="27"/>
  <c r="X99" i="27"/>
  <c r="Z99" i="27" s="1"/>
  <c r="Y99" i="27"/>
  <c r="X100" i="27"/>
  <c r="Y100" i="27"/>
  <c r="Z100" i="27"/>
  <c r="X101" i="27"/>
  <c r="Z101" i="27" s="1"/>
  <c r="Y101" i="27"/>
  <c r="X102" i="27"/>
  <c r="Z102" i="27" s="1"/>
  <c r="Y102" i="27"/>
  <c r="X103" i="27"/>
  <c r="Z103" i="27" s="1"/>
  <c r="Y103" i="27"/>
  <c r="X104" i="27"/>
  <c r="Y104" i="27"/>
  <c r="Z104" i="27"/>
  <c r="X105" i="27"/>
  <c r="Z105" i="27" s="1"/>
  <c r="Y105" i="27"/>
  <c r="X106" i="27"/>
  <c r="Z106" i="27" s="1"/>
  <c r="Y106" i="27"/>
  <c r="F5" i="27"/>
  <c r="H5" i="27" s="1"/>
  <c r="G5" i="27"/>
  <c r="F6" i="27"/>
  <c r="H6" i="27" s="1"/>
  <c r="G6" i="27"/>
  <c r="F7" i="27"/>
  <c r="H7" i="27" s="1"/>
  <c r="G7" i="27"/>
  <c r="F8" i="27"/>
  <c r="H8" i="27" s="1"/>
  <c r="G8" i="27"/>
  <c r="F9" i="27"/>
  <c r="H9" i="27" s="1"/>
  <c r="G9" i="27"/>
  <c r="F10" i="27"/>
  <c r="H10" i="27" s="1"/>
  <c r="G10" i="27"/>
  <c r="F11" i="27"/>
  <c r="H11" i="27" s="1"/>
  <c r="G11" i="27"/>
  <c r="F12" i="27"/>
  <c r="H12" i="27" s="1"/>
  <c r="G12" i="27"/>
  <c r="F13" i="27"/>
  <c r="G13" i="27"/>
  <c r="H13" i="27"/>
  <c r="F14" i="27"/>
  <c r="G14" i="27"/>
  <c r="H14" i="27"/>
  <c r="F15" i="27"/>
  <c r="H15" i="27" s="1"/>
  <c r="G15" i="27"/>
  <c r="F16" i="27"/>
  <c r="H16" i="27" s="1"/>
  <c r="G16" i="27"/>
  <c r="F17" i="27"/>
  <c r="H17" i="27" s="1"/>
  <c r="G17" i="27"/>
  <c r="F18" i="27"/>
  <c r="H18" i="27" s="1"/>
  <c r="G18" i="27"/>
  <c r="F19" i="27"/>
  <c r="G19" i="27"/>
  <c r="H19" i="27"/>
  <c r="F20" i="27"/>
  <c r="H20" i="27" s="1"/>
  <c r="G20" i="27"/>
  <c r="F21" i="27"/>
  <c r="H21" i="27" s="1"/>
  <c r="G21" i="27"/>
  <c r="F22" i="27"/>
  <c r="G22" i="27"/>
  <c r="H22" i="27"/>
  <c r="F23" i="27"/>
  <c r="H23" i="27" s="1"/>
  <c r="G23" i="27"/>
  <c r="F24" i="27"/>
  <c r="H24" i="27" s="1"/>
  <c r="G24" i="27"/>
  <c r="F25" i="27"/>
  <c r="G25" i="27"/>
  <c r="H25" i="27"/>
  <c r="F26" i="27"/>
  <c r="H26" i="27" s="1"/>
  <c r="G26" i="27"/>
  <c r="F27" i="27"/>
  <c r="H27" i="27" s="1"/>
  <c r="G27" i="27"/>
  <c r="F28" i="27"/>
  <c r="G28" i="27"/>
  <c r="H28" i="27"/>
  <c r="F29" i="27"/>
  <c r="H29" i="27" s="1"/>
  <c r="G29" i="27"/>
  <c r="F30" i="27"/>
  <c r="H30" i="27" s="1"/>
  <c r="G30" i="27"/>
  <c r="F31" i="27"/>
  <c r="H31" i="27" s="1"/>
  <c r="G31" i="27"/>
  <c r="F32" i="27"/>
  <c r="H32" i="27" s="1"/>
  <c r="G32" i="27"/>
  <c r="F33" i="27"/>
  <c r="H33" i="27" s="1"/>
  <c r="G33" i="27"/>
  <c r="F34" i="27"/>
  <c r="H34" i="27" s="1"/>
  <c r="G34" i="27"/>
  <c r="F35" i="27"/>
  <c r="G35" i="27"/>
  <c r="H35" i="27"/>
  <c r="F36" i="27"/>
  <c r="H36" i="27" s="1"/>
  <c r="G36" i="27"/>
  <c r="F37" i="27"/>
  <c r="G37" i="27"/>
  <c r="H37" i="27"/>
  <c r="F38" i="27"/>
  <c r="H38" i="27" s="1"/>
  <c r="G38" i="27"/>
  <c r="F39" i="27"/>
  <c r="H39" i="27" s="1"/>
  <c r="G39" i="27"/>
  <c r="F40" i="27"/>
  <c r="H40" i="27" s="1"/>
  <c r="G40" i="27"/>
  <c r="F41" i="27"/>
  <c r="G41" i="27"/>
  <c r="H41" i="27"/>
  <c r="F42" i="27"/>
  <c r="H42" i="27" s="1"/>
  <c r="G42" i="27"/>
  <c r="F43" i="27"/>
  <c r="G43" i="27"/>
  <c r="H43" i="27"/>
  <c r="F44" i="27"/>
  <c r="G44" i="27"/>
  <c r="H44" i="27"/>
  <c r="F45" i="27"/>
  <c r="H45" i="27" s="1"/>
  <c r="G45" i="27"/>
  <c r="F46" i="27"/>
  <c r="G46" i="27"/>
  <c r="H46" i="27"/>
  <c r="F47" i="27"/>
  <c r="H47" i="27" s="1"/>
  <c r="G47" i="27"/>
  <c r="F48" i="27"/>
  <c r="H48" i="27" s="1"/>
  <c r="G48" i="27"/>
  <c r="F49" i="27"/>
  <c r="G49" i="27"/>
  <c r="H49" i="27"/>
  <c r="F50" i="27"/>
  <c r="H50" i="27" s="1"/>
  <c r="G50" i="27"/>
  <c r="F51" i="27"/>
  <c r="G51" i="27"/>
  <c r="H51" i="27"/>
  <c r="F52" i="27"/>
  <c r="G52" i="27"/>
  <c r="H52" i="27"/>
  <c r="F53" i="27"/>
  <c r="G53" i="27"/>
  <c r="H53" i="27"/>
  <c r="F54" i="27"/>
  <c r="H54" i="27" s="1"/>
  <c r="G54" i="27"/>
  <c r="F55" i="27"/>
  <c r="H55" i="27" s="1"/>
  <c r="G55" i="27"/>
  <c r="F56" i="27"/>
  <c r="H56" i="27" s="1"/>
  <c r="G56" i="27"/>
  <c r="F57" i="27"/>
  <c r="G57" i="27"/>
  <c r="H57" i="27"/>
  <c r="F58" i="27"/>
  <c r="H58" i="27" s="1"/>
  <c r="G58" i="27"/>
  <c r="F59" i="27"/>
  <c r="G59" i="27"/>
  <c r="H59" i="27"/>
  <c r="F60" i="27"/>
  <c r="G60" i="27"/>
  <c r="H60" i="27"/>
  <c r="F61" i="27"/>
  <c r="G61" i="27"/>
  <c r="H61" i="27"/>
  <c r="F62" i="27"/>
  <c r="G62" i="27"/>
  <c r="H62" i="27"/>
  <c r="F63" i="27"/>
  <c r="H63" i="27" s="1"/>
  <c r="G63" i="27"/>
  <c r="F64" i="27"/>
  <c r="H64" i="27" s="1"/>
  <c r="G64" i="27"/>
  <c r="F65" i="27"/>
  <c r="G65" i="27"/>
  <c r="H65" i="27"/>
  <c r="F66" i="27"/>
  <c r="H66" i="27" s="1"/>
  <c r="G66" i="27"/>
  <c r="F67" i="27"/>
  <c r="H67" i="27" s="1"/>
  <c r="G67" i="27"/>
  <c r="F68" i="27"/>
  <c r="G68" i="27"/>
  <c r="H68" i="27"/>
  <c r="F69" i="27"/>
  <c r="G69" i="27"/>
  <c r="H69" i="27"/>
  <c r="F70" i="27"/>
  <c r="G70" i="27"/>
  <c r="H70" i="27"/>
  <c r="F71" i="27"/>
  <c r="H71" i="27" s="1"/>
  <c r="G71" i="27"/>
  <c r="F72" i="27"/>
  <c r="H72" i="27" s="1"/>
  <c r="G72" i="27"/>
  <c r="F73" i="27"/>
  <c r="H73" i="27" s="1"/>
  <c r="G73" i="27"/>
  <c r="F74" i="27"/>
  <c r="H74" i="27" s="1"/>
  <c r="G74" i="27"/>
  <c r="F75" i="27"/>
  <c r="H75" i="27" s="1"/>
  <c r="G75" i="27"/>
  <c r="F76" i="27"/>
  <c r="H76" i="27" s="1"/>
  <c r="G76" i="27"/>
  <c r="F77" i="27"/>
  <c r="G77" i="27"/>
  <c r="H77" i="27"/>
  <c r="F78" i="27"/>
  <c r="G78" i="27"/>
  <c r="H78" i="27"/>
  <c r="F79" i="27"/>
  <c r="H79" i="27" s="1"/>
  <c r="G79" i="27"/>
  <c r="F80" i="27"/>
  <c r="H80" i="27" s="1"/>
  <c r="G80" i="27"/>
  <c r="F81" i="27"/>
  <c r="H81" i="27" s="1"/>
  <c r="G81" i="27"/>
  <c r="F82" i="27"/>
  <c r="H82" i="27" s="1"/>
  <c r="G82" i="27"/>
  <c r="F83" i="27"/>
  <c r="G83" i="27"/>
  <c r="H83" i="27"/>
  <c r="F84" i="27"/>
  <c r="H84" i="27" s="1"/>
  <c r="G84" i="27"/>
  <c r="F85" i="27"/>
  <c r="H85" i="27" s="1"/>
  <c r="G85" i="27"/>
  <c r="F86" i="27"/>
  <c r="G86" i="27"/>
  <c r="H86" i="27"/>
  <c r="F87" i="27"/>
  <c r="H87" i="27" s="1"/>
  <c r="G87" i="27"/>
  <c r="F88" i="27"/>
  <c r="H88" i="27" s="1"/>
  <c r="G88" i="27"/>
  <c r="F89" i="27"/>
  <c r="G89" i="27"/>
  <c r="H89" i="27"/>
  <c r="F90" i="27"/>
  <c r="H90" i="27" s="1"/>
  <c r="G90" i="27"/>
  <c r="F91" i="27"/>
  <c r="H91" i="27" s="1"/>
  <c r="G91" i="27"/>
  <c r="F92" i="27"/>
  <c r="G92" i="27"/>
  <c r="H92" i="27"/>
  <c r="F93" i="27"/>
  <c r="H93" i="27" s="1"/>
  <c r="G93" i="27"/>
  <c r="F94" i="27"/>
  <c r="H94" i="27" s="1"/>
  <c r="G94" i="27"/>
  <c r="F95" i="27"/>
  <c r="H95" i="27" s="1"/>
  <c r="G95" i="27"/>
  <c r="F96" i="27"/>
  <c r="H96" i="27" s="1"/>
  <c r="G96" i="27"/>
  <c r="F97" i="27"/>
  <c r="H97" i="27" s="1"/>
  <c r="G97" i="27"/>
  <c r="F98" i="27"/>
  <c r="H98" i="27" s="1"/>
  <c r="G98" i="27"/>
  <c r="F99" i="27"/>
  <c r="H99" i="27" s="1"/>
  <c r="G99" i="27"/>
  <c r="F100" i="27"/>
  <c r="H100" i="27" s="1"/>
  <c r="G100" i="27"/>
  <c r="F101" i="27"/>
  <c r="G101" i="27"/>
  <c r="H101" i="27"/>
  <c r="F102" i="27"/>
  <c r="H102" i="27" s="1"/>
  <c r="G102" i="27"/>
  <c r="F103" i="27"/>
  <c r="H103" i="27" s="1"/>
  <c r="G103" i="27"/>
  <c r="F104" i="27"/>
  <c r="H104" i="27" s="1"/>
  <c r="G104" i="27"/>
  <c r="F105" i="27"/>
  <c r="H105" i="27" s="1"/>
  <c r="G105" i="27"/>
  <c r="F106" i="27"/>
  <c r="H106" i="27" s="1"/>
  <c r="G106" i="27"/>
  <c r="R5" i="27"/>
  <c r="S5" i="27"/>
  <c r="T5" i="27"/>
  <c r="R6" i="27"/>
  <c r="T6" i="27" s="1"/>
  <c r="S6" i="27"/>
  <c r="R7" i="27"/>
  <c r="T7" i="27" s="1"/>
  <c r="S7" i="27"/>
  <c r="R8" i="27"/>
  <c r="S8" i="27"/>
  <c r="T8" i="27"/>
  <c r="R9" i="27"/>
  <c r="T9" i="27" s="1"/>
  <c r="S9" i="27"/>
  <c r="R10" i="27"/>
  <c r="T10" i="27" s="1"/>
  <c r="S10" i="27"/>
  <c r="R11" i="27"/>
  <c r="S11" i="27"/>
  <c r="T11" i="27"/>
  <c r="R12" i="27"/>
  <c r="T12" i="27" s="1"/>
  <c r="S12" i="27"/>
  <c r="R13" i="27"/>
  <c r="T13" i="27" s="1"/>
  <c r="S13" i="27"/>
  <c r="R14" i="27"/>
  <c r="S14" i="27"/>
  <c r="T14" i="27"/>
  <c r="R15" i="27"/>
  <c r="T15" i="27" s="1"/>
  <c r="S15" i="27"/>
  <c r="R16" i="27"/>
  <c r="T16" i="27" s="1"/>
  <c r="S16" i="27"/>
  <c r="R17" i="27"/>
  <c r="S17" i="27"/>
  <c r="T17" i="27"/>
  <c r="R18" i="27"/>
  <c r="T18" i="27" s="1"/>
  <c r="S18" i="27"/>
  <c r="R19" i="27"/>
  <c r="T19" i="27" s="1"/>
  <c r="S19" i="27"/>
  <c r="R20" i="27"/>
  <c r="S20" i="27"/>
  <c r="T20" i="27"/>
  <c r="R21" i="27"/>
  <c r="T21" i="27" s="1"/>
  <c r="S21" i="27"/>
  <c r="R22" i="27"/>
  <c r="T22" i="27" s="1"/>
  <c r="S22" i="27"/>
  <c r="R23" i="27"/>
  <c r="T23" i="27" s="1"/>
  <c r="S23" i="27"/>
  <c r="R24" i="27"/>
  <c r="T24" i="27" s="1"/>
  <c r="S24" i="27"/>
  <c r="R25" i="27"/>
  <c r="T25" i="27" s="1"/>
  <c r="S25" i="27"/>
  <c r="R26" i="27"/>
  <c r="T26" i="27" s="1"/>
  <c r="S26" i="27"/>
  <c r="R27" i="27"/>
  <c r="T27" i="27" s="1"/>
  <c r="S27" i="27"/>
  <c r="R28" i="27"/>
  <c r="T28" i="27" s="1"/>
  <c r="S28" i="27"/>
  <c r="R29" i="27"/>
  <c r="S29" i="27"/>
  <c r="T29" i="27"/>
  <c r="R30" i="27"/>
  <c r="T30" i="27" s="1"/>
  <c r="S30" i="27"/>
  <c r="R31" i="27"/>
  <c r="T31" i="27" s="1"/>
  <c r="S31" i="27"/>
  <c r="R32" i="27"/>
  <c r="S32" i="27"/>
  <c r="T32" i="27"/>
  <c r="R33" i="27"/>
  <c r="T33" i="27" s="1"/>
  <c r="S33" i="27"/>
  <c r="R34" i="27"/>
  <c r="T34" i="27" s="1"/>
  <c r="S34" i="27"/>
  <c r="R35" i="27"/>
  <c r="S35" i="27"/>
  <c r="T35" i="27"/>
  <c r="R36" i="27"/>
  <c r="T36" i="27" s="1"/>
  <c r="S36" i="27"/>
  <c r="R37" i="27"/>
  <c r="T37" i="27" s="1"/>
  <c r="S37" i="27"/>
  <c r="R38" i="27"/>
  <c r="S38" i="27"/>
  <c r="T38" i="27"/>
  <c r="R39" i="27"/>
  <c r="T39" i="27" s="1"/>
  <c r="S39" i="27"/>
  <c r="R40" i="27"/>
  <c r="T40" i="27" s="1"/>
  <c r="S40" i="27"/>
  <c r="R41" i="27"/>
  <c r="S41" i="27"/>
  <c r="T41" i="27"/>
  <c r="R42" i="27"/>
  <c r="T42" i="27" s="1"/>
  <c r="S42" i="27"/>
  <c r="R43" i="27"/>
  <c r="T43" i="27" s="1"/>
  <c r="S43" i="27"/>
  <c r="R44" i="27"/>
  <c r="S44" i="27"/>
  <c r="T44" i="27"/>
  <c r="R45" i="27"/>
  <c r="S45" i="27"/>
  <c r="T45" i="27"/>
  <c r="R46" i="27"/>
  <c r="S46" i="27"/>
  <c r="T46" i="27"/>
  <c r="R47" i="27"/>
  <c r="T47" i="27" s="1"/>
  <c r="S47" i="27"/>
  <c r="R48" i="27"/>
  <c r="S48" i="27"/>
  <c r="T48" i="27"/>
  <c r="R49" i="27"/>
  <c r="S49" i="27"/>
  <c r="T49" i="27"/>
  <c r="R50" i="27"/>
  <c r="T50" i="27" s="1"/>
  <c r="S50" i="27"/>
  <c r="R51" i="27"/>
  <c r="S51" i="27"/>
  <c r="T51" i="27"/>
  <c r="R52" i="27"/>
  <c r="S52" i="27"/>
  <c r="T52" i="27"/>
  <c r="R53" i="27"/>
  <c r="T53" i="27" s="1"/>
  <c r="S53" i="27"/>
  <c r="R54" i="27"/>
  <c r="S54" i="27"/>
  <c r="T54" i="27"/>
  <c r="R55" i="27"/>
  <c r="T55" i="27" s="1"/>
  <c r="S55" i="27"/>
  <c r="R56" i="27"/>
  <c r="S56" i="27"/>
  <c r="T56" i="27"/>
  <c r="R57" i="27"/>
  <c r="S57" i="27"/>
  <c r="T57" i="27"/>
  <c r="R58" i="27"/>
  <c r="T58" i="27" s="1"/>
  <c r="S58" i="27"/>
  <c r="R59" i="27"/>
  <c r="S59" i="27"/>
  <c r="T59" i="27"/>
  <c r="R60" i="27"/>
  <c r="S60" i="27"/>
  <c r="T60" i="27"/>
  <c r="R61" i="27"/>
  <c r="T61" i="27" s="1"/>
  <c r="S61" i="27"/>
  <c r="R62" i="27"/>
  <c r="S62" i="27"/>
  <c r="T62" i="27"/>
  <c r="R63" i="27"/>
  <c r="T63" i="27" s="1"/>
  <c r="S63" i="27"/>
  <c r="R64" i="27"/>
  <c r="T64" i="27" s="1"/>
  <c r="S64" i="27"/>
  <c r="R65" i="27"/>
  <c r="S65" i="27"/>
  <c r="T65" i="27"/>
  <c r="R66" i="27"/>
  <c r="T66" i="27" s="1"/>
  <c r="S66" i="27"/>
  <c r="R67" i="27"/>
  <c r="T67" i="27" s="1"/>
  <c r="S67" i="27"/>
  <c r="R68" i="27"/>
  <c r="S68" i="27"/>
  <c r="T68" i="27"/>
  <c r="R69" i="27"/>
  <c r="T69" i="27" s="1"/>
  <c r="S69" i="27"/>
  <c r="R70" i="27"/>
  <c r="T70" i="27" s="1"/>
  <c r="S70" i="27"/>
  <c r="R71" i="27"/>
  <c r="T71" i="27" s="1"/>
  <c r="S71" i="27"/>
  <c r="R72" i="27"/>
  <c r="T72" i="27" s="1"/>
  <c r="S72" i="27"/>
  <c r="R73" i="27"/>
  <c r="T73" i="27" s="1"/>
  <c r="S73" i="27"/>
  <c r="R74" i="27"/>
  <c r="T74" i="27" s="1"/>
  <c r="S74" i="27"/>
  <c r="R75" i="27"/>
  <c r="T75" i="27" s="1"/>
  <c r="S75" i="27"/>
  <c r="R76" i="27"/>
  <c r="T76" i="27" s="1"/>
  <c r="S76" i="27"/>
  <c r="R77" i="27"/>
  <c r="T77" i="27" s="1"/>
  <c r="S77" i="27"/>
  <c r="R78" i="27"/>
  <c r="T78" i="27" s="1"/>
  <c r="S78" i="27"/>
  <c r="R79" i="27"/>
  <c r="T79" i="27" s="1"/>
  <c r="S79" i="27"/>
  <c r="R80" i="27"/>
  <c r="S80" i="27"/>
  <c r="T80" i="27"/>
  <c r="R81" i="27"/>
  <c r="T81" i="27" s="1"/>
  <c r="S81" i="27"/>
  <c r="R82" i="27"/>
  <c r="T82" i="27" s="1"/>
  <c r="S82" i="27"/>
  <c r="R83" i="27"/>
  <c r="S83" i="27"/>
  <c r="T83" i="27"/>
  <c r="R84" i="27"/>
  <c r="T84" i="27" s="1"/>
  <c r="S84" i="27"/>
  <c r="R85" i="27"/>
  <c r="T85" i="27" s="1"/>
  <c r="S85" i="27"/>
  <c r="R86" i="27"/>
  <c r="S86" i="27"/>
  <c r="T86" i="27"/>
  <c r="R87" i="27"/>
  <c r="T87" i="27" s="1"/>
  <c r="S87" i="27"/>
  <c r="R88" i="27"/>
  <c r="T88" i="27" s="1"/>
  <c r="S88" i="27"/>
  <c r="R89" i="27"/>
  <c r="S89" i="27"/>
  <c r="T89" i="27"/>
  <c r="R90" i="27"/>
  <c r="T90" i="27" s="1"/>
  <c r="S90" i="27"/>
  <c r="R91" i="27"/>
  <c r="T91" i="27" s="1"/>
  <c r="S91" i="27"/>
  <c r="R92" i="27"/>
  <c r="S92" i="27"/>
  <c r="T92" i="27"/>
  <c r="R93" i="27"/>
  <c r="T93" i="27" s="1"/>
  <c r="S93" i="27"/>
  <c r="R94" i="27"/>
  <c r="T94" i="27" s="1"/>
  <c r="S94" i="27"/>
  <c r="R95" i="27"/>
  <c r="T95" i="27" s="1"/>
  <c r="S95" i="27"/>
  <c r="R96" i="27"/>
  <c r="T96" i="27" s="1"/>
  <c r="S96" i="27"/>
  <c r="R97" i="27"/>
  <c r="T97" i="27" s="1"/>
  <c r="S97" i="27"/>
  <c r="R98" i="27"/>
  <c r="T98" i="27" s="1"/>
  <c r="S98" i="27"/>
  <c r="R99" i="27"/>
  <c r="T99" i="27" s="1"/>
  <c r="S99" i="27"/>
  <c r="R100" i="27"/>
  <c r="T100" i="27" s="1"/>
  <c r="S100" i="27"/>
  <c r="R101" i="27"/>
  <c r="T101" i="27" s="1"/>
  <c r="S101" i="27"/>
  <c r="R102" i="27"/>
  <c r="T102" i="27" s="1"/>
  <c r="S102" i="27"/>
  <c r="R103" i="27"/>
  <c r="T103" i="27" s="1"/>
  <c r="S103" i="27"/>
  <c r="R104" i="27"/>
  <c r="S104" i="27"/>
  <c r="T104" i="27"/>
  <c r="R105" i="27"/>
  <c r="T105" i="27" s="1"/>
  <c r="S105" i="27"/>
  <c r="R106" i="27"/>
  <c r="T106" i="27" s="1"/>
  <c r="S106" i="27"/>
  <c r="L5" i="27"/>
  <c r="N5" i="27" s="1"/>
  <c r="M5" i="27"/>
  <c r="L6" i="27"/>
  <c r="M6" i="27"/>
  <c r="N6" i="27"/>
  <c r="L7" i="27"/>
  <c r="N7" i="27" s="1"/>
  <c r="M7" i="27"/>
  <c r="L8" i="27"/>
  <c r="N8" i="27" s="1"/>
  <c r="M8" i="27"/>
  <c r="L9" i="27"/>
  <c r="M9" i="27"/>
  <c r="N9" i="27"/>
  <c r="L10" i="27"/>
  <c r="N10" i="27" s="1"/>
  <c r="M10" i="27"/>
  <c r="L11" i="27"/>
  <c r="N11" i="27" s="1"/>
  <c r="M11" i="27"/>
  <c r="L12" i="27"/>
  <c r="M12" i="27"/>
  <c r="N12" i="27"/>
  <c r="L13" i="27"/>
  <c r="N13" i="27" s="1"/>
  <c r="M13" i="27"/>
  <c r="L14" i="27"/>
  <c r="N14" i="27" s="1"/>
  <c r="M14" i="27"/>
  <c r="L15" i="27"/>
  <c r="N15" i="27" s="1"/>
  <c r="M15" i="27"/>
  <c r="L16" i="27"/>
  <c r="N16" i="27" s="1"/>
  <c r="M16" i="27"/>
  <c r="L17" i="27"/>
  <c r="N17" i="27" s="1"/>
  <c r="M17" i="27"/>
  <c r="L18" i="27"/>
  <c r="N18" i="27" s="1"/>
  <c r="M18" i="27"/>
  <c r="L19" i="27"/>
  <c r="N19" i="27" s="1"/>
  <c r="M19" i="27"/>
  <c r="L20" i="27"/>
  <c r="N20" i="27" s="1"/>
  <c r="M20" i="27"/>
  <c r="L21" i="27"/>
  <c r="N21" i="27" s="1"/>
  <c r="M21" i="27"/>
  <c r="L22" i="27"/>
  <c r="N22" i="27" s="1"/>
  <c r="M22" i="27"/>
  <c r="L23" i="27"/>
  <c r="N23" i="27" s="1"/>
  <c r="M23" i="27"/>
  <c r="L24" i="27"/>
  <c r="M24" i="27"/>
  <c r="N24" i="27"/>
  <c r="L25" i="27"/>
  <c r="N25" i="27" s="1"/>
  <c r="M25" i="27"/>
  <c r="L26" i="27"/>
  <c r="N26" i="27" s="1"/>
  <c r="M26" i="27"/>
  <c r="L27" i="27"/>
  <c r="M27" i="27"/>
  <c r="N27" i="27"/>
  <c r="L28" i="27"/>
  <c r="N28" i="27" s="1"/>
  <c r="M28" i="27"/>
  <c r="L29" i="27"/>
  <c r="N29" i="27" s="1"/>
  <c r="M29" i="27"/>
  <c r="L30" i="27"/>
  <c r="M30" i="27"/>
  <c r="N30" i="27"/>
  <c r="L31" i="27"/>
  <c r="N31" i="27" s="1"/>
  <c r="M31" i="27"/>
  <c r="L32" i="27"/>
  <c r="N32" i="27" s="1"/>
  <c r="M32" i="27"/>
  <c r="L33" i="27"/>
  <c r="M33" i="27"/>
  <c r="N33" i="27"/>
  <c r="L34" i="27"/>
  <c r="N34" i="27" s="1"/>
  <c r="M34" i="27"/>
  <c r="L35" i="27"/>
  <c r="N35" i="27" s="1"/>
  <c r="M35" i="27"/>
  <c r="L36" i="27"/>
  <c r="M36" i="27"/>
  <c r="N36" i="27"/>
  <c r="L37" i="27"/>
  <c r="N37" i="27" s="1"/>
  <c r="M37" i="27"/>
  <c r="L38" i="27"/>
  <c r="N38" i="27" s="1"/>
  <c r="M38" i="27"/>
  <c r="L39" i="27"/>
  <c r="N39" i="27" s="1"/>
  <c r="M39" i="27"/>
  <c r="L40" i="27"/>
  <c r="N40" i="27" s="1"/>
  <c r="M40" i="27"/>
  <c r="L41" i="27"/>
  <c r="N41" i="27" s="1"/>
  <c r="M41" i="27"/>
  <c r="L42" i="27"/>
  <c r="N42" i="27" s="1"/>
  <c r="M42" i="27"/>
  <c r="L43" i="27"/>
  <c r="N43" i="27" s="1"/>
  <c r="M43" i="27"/>
  <c r="L44" i="27"/>
  <c r="N44" i="27" s="1"/>
  <c r="M44" i="27"/>
  <c r="L45" i="27"/>
  <c r="N45" i="27" s="1"/>
  <c r="M45" i="27"/>
  <c r="L46" i="27"/>
  <c r="N46" i="27" s="1"/>
  <c r="M46" i="27"/>
  <c r="L47" i="27"/>
  <c r="N47" i="27" s="1"/>
  <c r="M47" i="27"/>
  <c r="L48" i="27"/>
  <c r="M48" i="27"/>
  <c r="N48" i="27"/>
  <c r="L49" i="27"/>
  <c r="N49" i="27" s="1"/>
  <c r="M49" i="27"/>
  <c r="L50" i="27"/>
  <c r="N50" i="27" s="1"/>
  <c r="M50" i="27"/>
  <c r="L51" i="27"/>
  <c r="M51" i="27"/>
  <c r="N51" i="27"/>
  <c r="L52" i="27"/>
  <c r="N52" i="27" s="1"/>
  <c r="M52" i="27"/>
  <c r="L53" i="27"/>
  <c r="N53" i="27" s="1"/>
  <c r="M53" i="27"/>
  <c r="L54" i="27"/>
  <c r="M54" i="27"/>
  <c r="N54" i="27"/>
  <c r="L55" i="27"/>
  <c r="N55" i="27" s="1"/>
  <c r="M55" i="27"/>
  <c r="L56" i="27"/>
  <c r="M56" i="27"/>
  <c r="N56" i="27"/>
  <c r="L57" i="27"/>
  <c r="M57" i="27"/>
  <c r="N57" i="27"/>
  <c r="L58" i="27"/>
  <c r="N58" i="27" s="1"/>
  <c r="M58" i="27"/>
  <c r="L59" i="27"/>
  <c r="M59" i="27"/>
  <c r="N59" i="27"/>
  <c r="L60" i="27"/>
  <c r="M60" i="27"/>
  <c r="N60" i="27"/>
  <c r="L61" i="27"/>
  <c r="N61" i="27" s="1"/>
  <c r="M61" i="27"/>
  <c r="L62" i="27"/>
  <c r="M62" i="27"/>
  <c r="N62" i="27"/>
  <c r="L63" i="27"/>
  <c r="N63" i="27" s="1"/>
  <c r="M63" i="27"/>
  <c r="L64" i="27"/>
  <c r="M64" i="27"/>
  <c r="N64" i="27"/>
  <c r="L65" i="27"/>
  <c r="M65" i="27"/>
  <c r="N65" i="27"/>
  <c r="L66" i="27"/>
  <c r="N66" i="27" s="1"/>
  <c r="M66" i="27"/>
  <c r="L67" i="27"/>
  <c r="M67" i="27"/>
  <c r="N67" i="27"/>
  <c r="L68" i="27"/>
  <c r="M68" i="27"/>
  <c r="N68" i="27"/>
  <c r="L69" i="27"/>
  <c r="N69" i="27" s="1"/>
  <c r="M69" i="27"/>
  <c r="L70" i="27"/>
  <c r="M70" i="27"/>
  <c r="N70" i="27"/>
  <c r="L71" i="27"/>
  <c r="N71" i="27" s="1"/>
  <c r="M71" i="27"/>
  <c r="L72" i="27"/>
  <c r="N72" i="27" s="1"/>
  <c r="M72" i="27"/>
  <c r="L73" i="27"/>
  <c r="M73" i="27"/>
  <c r="N73" i="27"/>
  <c r="L74" i="27"/>
  <c r="N74" i="27" s="1"/>
  <c r="M74" i="27"/>
  <c r="L75" i="27"/>
  <c r="N75" i="27" s="1"/>
  <c r="M75" i="27"/>
  <c r="L76" i="27"/>
  <c r="M76" i="27"/>
  <c r="N76" i="27"/>
  <c r="L77" i="27"/>
  <c r="N77" i="27" s="1"/>
  <c r="M77" i="27"/>
  <c r="L78" i="27"/>
  <c r="N78" i="27" s="1"/>
  <c r="M78" i="27"/>
  <c r="L79" i="27"/>
  <c r="N79" i="27" s="1"/>
  <c r="M79" i="27"/>
  <c r="L80" i="27"/>
  <c r="N80" i="27" s="1"/>
  <c r="M80" i="27"/>
  <c r="L81" i="27"/>
  <c r="N81" i="27" s="1"/>
  <c r="M81" i="27"/>
  <c r="L82" i="27"/>
  <c r="N82" i="27" s="1"/>
  <c r="M82" i="27"/>
  <c r="L83" i="27"/>
  <c r="N83" i="27" s="1"/>
  <c r="M83" i="27"/>
  <c r="L84" i="27"/>
  <c r="N84" i="27" s="1"/>
  <c r="M84" i="27"/>
  <c r="L85" i="27"/>
  <c r="N85" i="27" s="1"/>
  <c r="M85" i="27"/>
  <c r="L86" i="27"/>
  <c r="N86" i="27" s="1"/>
  <c r="M86" i="27"/>
  <c r="L87" i="27"/>
  <c r="N87" i="27" s="1"/>
  <c r="M87" i="27"/>
  <c r="L88" i="27"/>
  <c r="M88" i="27"/>
  <c r="N88" i="27"/>
  <c r="L89" i="27"/>
  <c r="N89" i="27" s="1"/>
  <c r="M89" i="27"/>
  <c r="L90" i="27"/>
  <c r="N90" i="27" s="1"/>
  <c r="M90" i="27"/>
  <c r="L91" i="27"/>
  <c r="M91" i="27"/>
  <c r="N91" i="27"/>
  <c r="L92" i="27"/>
  <c r="N92" i="27" s="1"/>
  <c r="M92" i="27"/>
  <c r="L93" i="27"/>
  <c r="N93" i="27" s="1"/>
  <c r="M93" i="27"/>
  <c r="L94" i="27"/>
  <c r="M94" i="27"/>
  <c r="N94" i="27"/>
  <c r="L95" i="27"/>
  <c r="N95" i="27" s="1"/>
  <c r="M95" i="27"/>
  <c r="L96" i="27"/>
  <c r="N96" i="27" s="1"/>
  <c r="M96" i="27"/>
  <c r="L97" i="27"/>
  <c r="M97" i="27"/>
  <c r="N97" i="27"/>
  <c r="L98" i="27"/>
  <c r="N98" i="27" s="1"/>
  <c r="M98" i="27"/>
  <c r="L99" i="27"/>
  <c r="M99" i="27"/>
  <c r="N99" i="27"/>
  <c r="L100" i="27"/>
  <c r="M100" i="27"/>
  <c r="N100" i="27"/>
  <c r="L101" i="27"/>
  <c r="N101" i="27" s="1"/>
  <c r="M101" i="27"/>
  <c r="L102" i="27"/>
  <c r="M102" i="27"/>
  <c r="N102" i="27"/>
  <c r="L103" i="27"/>
  <c r="N103" i="27" s="1"/>
  <c r="M103" i="27"/>
  <c r="L104" i="27"/>
  <c r="M104" i="27"/>
  <c r="N104" i="27"/>
  <c r="L105" i="27"/>
  <c r="M105" i="27"/>
  <c r="N105" i="27"/>
  <c r="L106" i="27"/>
  <c r="N106" i="27" s="1"/>
  <c r="M106" i="27"/>
  <c r="AE4" i="27"/>
  <c r="AD4" i="27"/>
  <c r="AF4" i="27" s="1"/>
  <c r="Y4" i="27"/>
  <c r="X4" i="27"/>
  <c r="Z4" i="27" s="1"/>
  <c r="S4" i="27"/>
  <c r="R4" i="27"/>
  <c r="M4" i="27"/>
  <c r="L4" i="27"/>
  <c r="N4" i="27" s="1"/>
  <c r="F4" i="27"/>
  <c r="G4" i="27"/>
  <c r="R152" i="26"/>
  <c r="R151" i="26"/>
  <c r="R150" i="26"/>
  <c r="R149" i="26"/>
  <c r="R148" i="26"/>
  <c r="R147" i="26"/>
  <c r="R146" i="26"/>
  <c r="R145" i="26"/>
  <c r="R144" i="26"/>
  <c r="R143" i="26"/>
  <c r="R142" i="26"/>
  <c r="R141" i="26"/>
  <c r="R140" i="26"/>
  <c r="R139" i="26"/>
  <c r="R138" i="26"/>
  <c r="R137" i="26"/>
  <c r="R136" i="26"/>
  <c r="R135" i="26"/>
  <c r="R134" i="26"/>
  <c r="R133" i="26"/>
  <c r="R132" i="26"/>
  <c r="R131" i="26"/>
  <c r="R130" i="26"/>
  <c r="R129" i="26"/>
  <c r="R128" i="26"/>
  <c r="R127" i="26"/>
  <c r="R126" i="26"/>
  <c r="R125" i="26"/>
  <c r="R124" i="26"/>
  <c r="R123" i="26"/>
  <c r="R122" i="26"/>
  <c r="R121" i="26"/>
  <c r="R120" i="26"/>
  <c r="R119" i="26"/>
  <c r="R118" i="26"/>
  <c r="R117" i="26"/>
  <c r="R116" i="26"/>
  <c r="R115" i="26"/>
  <c r="R114" i="26"/>
  <c r="R113" i="26"/>
  <c r="R112" i="26"/>
  <c r="R111" i="26"/>
  <c r="R110" i="26"/>
  <c r="R109" i="26"/>
  <c r="R108" i="26"/>
  <c r="R107" i="26"/>
  <c r="R106" i="26"/>
  <c r="R105" i="26"/>
  <c r="R104" i="26"/>
  <c r="R103" i="26"/>
  <c r="R102" i="26"/>
  <c r="R101" i="26"/>
  <c r="R100" i="26"/>
  <c r="R99" i="26"/>
  <c r="R98" i="26"/>
  <c r="R97" i="26"/>
  <c r="R96" i="26"/>
  <c r="R95" i="26"/>
  <c r="R94" i="26"/>
  <c r="R93" i="26"/>
  <c r="R92" i="26"/>
  <c r="R91" i="26"/>
  <c r="R90" i="26"/>
  <c r="R89" i="26"/>
  <c r="R88" i="26"/>
  <c r="R87" i="26"/>
  <c r="R86" i="26"/>
  <c r="R85" i="26"/>
  <c r="R84" i="26"/>
  <c r="R83" i="26"/>
  <c r="R82" i="26"/>
  <c r="R81" i="26"/>
  <c r="R80" i="26"/>
  <c r="R79" i="26"/>
  <c r="R78" i="26"/>
  <c r="R77" i="26"/>
  <c r="R76" i="26"/>
  <c r="R75" i="26"/>
  <c r="R74" i="26"/>
  <c r="R73" i="26"/>
  <c r="R72" i="26"/>
  <c r="R71" i="26"/>
  <c r="R70" i="26"/>
  <c r="R69" i="26"/>
  <c r="R68" i="26"/>
  <c r="R67" i="26"/>
  <c r="R66" i="26"/>
  <c r="R65" i="26"/>
  <c r="R64" i="26"/>
  <c r="R63" i="26"/>
  <c r="R62" i="26"/>
  <c r="R61" i="26"/>
  <c r="R60" i="26"/>
  <c r="R59" i="26"/>
  <c r="R58" i="26"/>
  <c r="R57" i="26"/>
  <c r="R56" i="26"/>
  <c r="R55" i="26"/>
  <c r="R54" i="26"/>
  <c r="R53" i="26"/>
  <c r="R52" i="26"/>
  <c r="R51" i="26"/>
  <c r="R50" i="26"/>
  <c r="R49" i="26"/>
  <c r="R48" i="26"/>
  <c r="R47" i="26"/>
  <c r="R46" i="26"/>
  <c r="R45" i="26"/>
  <c r="R44" i="26"/>
  <c r="R43" i="26"/>
  <c r="R42" i="26"/>
  <c r="R41" i="26"/>
  <c r="R40" i="26"/>
  <c r="R39" i="26"/>
  <c r="R38" i="26"/>
  <c r="R37" i="26"/>
  <c r="R36" i="26"/>
  <c r="R35" i="26"/>
  <c r="R34" i="26"/>
  <c r="R33" i="26"/>
  <c r="R32" i="26"/>
  <c r="R31" i="26"/>
  <c r="R30" i="26"/>
  <c r="R29" i="26"/>
  <c r="R28" i="26"/>
  <c r="R27" i="26"/>
  <c r="R26" i="26"/>
  <c r="R25" i="26"/>
  <c r="R24" i="26"/>
  <c r="R23" i="26"/>
  <c r="R22" i="26"/>
  <c r="R21" i="26"/>
  <c r="R20" i="26"/>
  <c r="R19" i="26"/>
  <c r="R18" i="26"/>
  <c r="R17" i="26"/>
  <c r="R16" i="26"/>
  <c r="R15" i="26"/>
  <c r="R14" i="26"/>
  <c r="R13" i="26"/>
  <c r="R12" i="26"/>
  <c r="R11" i="26"/>
  <c r="R10" i="26"/>
  <c r="R9" i="26"/>
  <c r="R8" i="26"/>
  <c r="R7" i="26"/>
  <c r="R6" i="26"/>
  <c r="R5" i="26"/>
  <c r="R4" i="26"/>
  <c r="R3" i="26"/>
  <c r="K7" i="26" s="1"/>
  <c r="F4" i="26"/>
  <c r="F5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3" i="26"/>
  <c r="K6" i="26" s="1"/>
  <c r="C3" i="24"/>
  <c r="B6" i="10" s="1"/>
  <c r="D3" i="24"/>
  <c r="D6" i="23"/>
  <c r="F6" i="23" s="1"/>
  <c r="D7" i="23"/>
  <c r="F7" i="23" s="1"/>
  <c r="D8" i="23"/>
  <c r="F8" i="23" s="1"/>
  <c r="D9" i="23"/>
  <c r="F9" i="23" s="1"/>
  <c r="D10" i="23"/>
  <c r="F10" i="23" s="1"/>
  <c r="D11" i="23"/>
  <c r="F11" i="23" s="1"/>
  <c r="D12" i="23"/>
  <c r="F12" i="23" s="1"/>
  <c r="D13" i="23"/>
  <c r="F13" i="23" s="1"/>
  <c r="D14" i="23"/>
  <c r="F14" i="23" s="1"/>
  <c r="D15" i="23"/>
  <c r="F15" i="23" s="1"/>
  <c r="D16" i="23"/>
  <c r="F16" i="23" s="1"/>
  <c r="D17" i="23"/>
  <c r="F17" i="23" s="1"/>
  <c r="D18" i="23"/>
  <c r="D19" i="23"/>
  <c r="F19" i="23" s="1"/>
  <c r="D20" i="23"/>
  <c r="D21" i="23"/>
  <c r="D22" i="23"/>
  <c r="D23" i="23"/>
  <c r="F23" i="23" s="1"/>
  <c r="D24" i="23"/>
  <c r="D25" i="23"/>
  <c r="D26" i="23"/>
  <c r="D27" i="23"/>
  <c r="F27" i="23" s="1"/>
  <c r="D28" i="23"/>
  <c r="D29" i="23"/>
  <c r="D30" i="23"/>
  <c r="D31" i="23"/>
  <c r="F31" i="23" s="1"/>
  <c r="D32" i="23"/>
  <c r="D33" i="23"/>
  <c r="D5" i="23"/>
  <c r="F5" i="23" s="1"/>
  <c r="D16" i="9" l="1"/>
  <c r="B9" i="10"/>
  <c r="D17" i="9"/>
  <c r="D3" i="23"/>
  <c r="H3" i="23"/>
  <c r="T4" i="27"/>
  <c r="H4" i="27"/>
  <c r="F30" i="23"/>
  <c r="F26" i="23"/>
  <c r="F22" i="23"/>
  <c r="F33" i="23"/>
  <c r="F29" i="23"/>
  <c r="F25" i="23"/>
  <c r="F21" i="23"/>
  <c r="F32" i="23"/>
  <c r="F28" i="23"/>
  <c r="F24" i="23"/>
  <c r="F20" i="23"/>
  <c r="F18" i="23"/>
  <c r="F3" i="23" l="1"/>
  <c r="E40" i="21"/>
  <c r="F39" i="21"/>
  <c r="F40" i="21" s="1"/>
  <c r="E37" i="21"/>
  <c r="F37" i="21" s="1"/>
  <c r="E36" i="21"/>
  <c r="F36" i="21" s="1"/>
  <c r="C35" i="21"/>
  <c r="E35" i="21" s="1"/>
  <c r="F35" i="21" s="1"/>
  <c r="C34" i="21"/>
  <c r="E34" i="21" s="1"/>
  <c r="F34" i="21" s="1"/>
  <c r="C33" i="21"/>
  <c r="E33" i="21" s="1"/>
  <c r="E32" i="21"/>
  <c r="F32" i="21" s="1"/>
  <c r="E28" i="21"/>
  <c r="F28" i="21" s="1"/>
  <c r="E27" i="21"/>
  <c r="F27" i="21" s="1"/>
  <c r="E26" i="21"/>
  <c r="F26" i="21" s="1"/>
  <c r="E24" i="21"/>
  <c r="F24" i="21" s="1"/>
  <c r="E23" i="21"/>
  <c r="F23" i="21" s="1"/>
  <c r="J22" i="21"/>
  <c r="E21" i="21"/>
  <c r="F21" i="21" s="1"/>
  <c r="E20" i="21"/>
  <c r="F20" i="21" s="1"/>
  <c r="E19" i="21"/>
  <c r="E22" i="21" s="1"/>
  <c r="J19" i="21" s="1"/>
  <c r="E18" i="21"/>
  <c r="J18" i="21" s="1"/>
  <c r="F17" i="21"/>
  <c r="F16" i="21"/>
  <c r="F18" i="21" s="1"/>
  <c r="C16" i="21"/>
  <c r="E14" i="21"/>
  <c r="F14" i="21" s="1"/>
  <c r="E13" i="21"/>
  <c r="F13" i="21" s="1"/>
  <c r="E12" i="21"/>
  <c r="F12" i="21" s="1"/>
  <c r="E11" i="21"/>
  <c r="F11" i="21" s="1"/>
  <c r="E10" i="21"/>
  <c r="F10" i="21" s="1"/>
  <c r="E9" i="21"/>
  <c r="F9" i="21" s="1"/>
  <c r="E8" i="21"/>
  <c r="E6" i="21"/>
  <c r="F6" i="21" s="1"/>
  <c r="E5" i="21"/>
  <c r="F5" i="21" s="1"/>
  <c r="E4" i="21"/>
  <c r="F4" i="21" s="1"/>
  <c r="E3" i="21"/>
  <c r="E15" i="21" l="1"/>
  <c r="J16" i="21" s="1"/>
  <c r="E7" i="21"/>
  <c r="J15" i="21" s="1"/>
  <c r="F3" i="21"/>
  <c r="F7" i="21" s="1"/>
  <c r="F33" i="21"/>
  <c r="F38" i="21" s="1"/>
  <c r="E38" i="21"/>
  <c r="F19" i="21"/>
  <c r="F22" i="21" s="1"/>
  <c r="F8" i="21"/>
  <c r="F15" i="21" s="1"/>
  <c r="C30" i="21"/>
  <c r="E30" i="21" s="1"/>
  <c r="F30" i="21" s="1"/>
  <c r="C25" i="21"/>
  <c r="E25" i="21" s="1"/>
  <c r="C29" i="21"/>
  <c r="E29" i="21" s="1"/>
  <c r="F29" i="21" s="1"/>
  <c r="E31" i="21" l="1"/>
  <c r="J20" i="21" s="1"/>
  <c r="F25" i="21"/>
  <c r="F31" i="21" s="1"/>
  <c r="J21" i="21"/>
  <c r="E41" i="21" l="1"/>
  <c r="B4" i="19"/>
  <c r="B3" i="19"/>
  <c r="M6" i="13"/>
  <c r="M4" i="13"/>
  <c r="T9" i="11"/>
  <c r="T14" i="11"/>
  <c r="T18" i="11"/>
  <c r="T13" i="11"/>
  <c r="C2" i="14"/>
  <c r="B2" i="14"/>
  <c r="B3" i="14"/>
  <c r="F6" i="14" s="1"/>
  <c r="I3" i="13"/>
  <c r="C3" i="14"/>
  <c r="G6" i="14" s="1"/>
  <c r="C4" i="14"/>
  <c r="C5" i="14"/>
  <c r="C6" i="14"/>
  <c r="C7" i="14"/>
  <c r="C8" i="14"/>
  <c r="C9" i="14"/>
  <c r="C10" i="14"/>
  <c r="C11" i="14"/>
  <c r="C12" i="14"/>
  <c r="C13" i="14"/>
  <c r="C14" i="14"/>
  <c r="C15" i="14"/>
  <c r="C16" i="14"/>
  <c r="B4" i="14"/>
  <c r="B5" i="14"/>
  <c r="B6" i="14"/>
  <c r="B7" i="14"/>
  <c r="B8" i="14"/>
  <c r="B9" i="14"/>
  <c r="B10" i="14"/>
  <c r="B11" i="14"/>
  <c r="B12" i="14"/>
  <c r="B13" i="14"/>
  <c r="B14" i="14"/>
  <c r="B15" i="14"/>
  <c r="B16" i="14"/>
  <c r="I4" i="13"/>
  <c r="I5" i="13"/>
  <c r="I6" i="13"/>
  <c r="I7" i="13"/>
  <c r="I8" i="13"/>
  <c r="I9" i="13"/>
  <c r="I10" i="13"/>
  <c r="I11" i="13"/>
  <c r="I12" i="13"/>
  <c r="I13" i="13"/>
  <c r="I14" i="13"/>
  <c r="I15" i="13"/>
  <c r="I16" i="13"/>
  <c r="D15" i="14" l="1"/>
  <c r="D7" i="14"/>
  <c r="F41" i="21"/>
  <c r="J4" i="21"/>
  <c r="D14" i="14"/>
  <c r="D6" i="14"/>
  <c r="G12" i="14"/>
  <c r="F12" i="14"/>
  <c r="D9" i="14"/>
  <c r="D16" i="14"/>
  <c r="D8" i="14"/>
  <c r="F7" i="14"/>
  <c r="B5" i="19"/>
  <c r="C4" i="22" s="1"/>
  <c r="C5" i="22" s="1"/>
  <c r="T19" i="11"/>
  <c r="D11" i="14"/>
  <c r="D10" i="14"/>
  <c r="D13" i="14"/>
  <c r="D5" i="14"/>
  <c r="D12" i="14"/>
  <c r="D4" i="14"/>
  <c r="D2" i="14"/>
  <c r="D3" i="14"/>
  <c r="J6" i="1"/>
  <c r="J3" i="1"/>
  <c r="C3" i="22" l="1"/>
  <c r="C6" i="22" s="1"/>
  <c r="B5" i="10"/>
  <c r="D18" i="9"/>
  <c r="D19" i="9" s="1"/>
  <c r="D20" i="9" s="1"/>
  <c r="J5" i="21"/>
  <c r="F13" i="14"/>
  <c r="B4" i="10"/>
  <c r="B7" i="10" s="1"/>
  <c r="B10" i="10" s="1"/>
  <c r="D14" i="9"/>
  <c r="E93" i="1"/>
  <c r="D93" i="1"/>
  <c r="BM93" i="1" s="1"/>
  <c r="BS93" i="1" l="1"/>
  <c r="BP93" i="1"/>
  <c r="F3" i="6"/>
  <c r="C3" i="6"/>
  <c r="M3" i="1"/>
  <c r="P3" i="1"/>
  <c r="S3" i="1"/>
  <c r="V3" i="1"/>
  <c r="Y3" i="1"/>
  <c r="AB3" i="1"/>
  <c r="AE3" i="1"/>
  <c r="AH3" i="1"/>
  <c r="AK3" i="1"/>
  <c r="AN3" i="1"/>
  <c r="AQ3" i="1"/>
  <c r="AT3" i="1"/>
  <c r="AW3" i="1"/>
  <c r="AZ3" i="1"/>
  <c r="BC3" i="1"/>
  <c r="BF3" i="1"/>
  <c r="BI3" i="1"/>
  <c r="BL3" i="1"/>
  <c r="BO3" i="1"/>
  <c r="BR3" i="1"/>
  <c r="BU3" i="1"/>
  <c r="BX3" i="1"/>
  <c r="CA3" i="1"/>
  <c r="CD3" i="1"/>
  <c r="CG3" i="1"/>
  <c r="CJ3" i="1"/>
  <c r="CM3" i="1"/>
  <c r="CP3" i="1"/>
  <c r="C17" i="6"/>
  <c r="J15" i="2"/>
  <c r="J11" i="2"/>
  <c r="J7" i="2"/>
  <c r="J4" i="2"/>
  <c r="J16" i="2"/>
  <c r="J12" i="2"/>
  <c r="J8" i="2"/>
  <c r="J5" i="2"/>
  <c r="J17" i="2"/>
  <c r="J13" i="2"/>
  <c r="J9" i="2"/>
  <c r="J6" i="2"/>
  <c r="J18" i="2"/>
  <c r="J14" i="2"/>
  <c r="J10" i="2"/>
  <c r="J3" i="2"/>
  <c r="G15" i="2"/>
  <c r="G11" i="2"/>
  <c r="G7" i="2"/>
  <c r="G4" i="2"/>
  <c r="G16" i="2"/>
  <c r="G12" i="2"/>
  <c r="G8" i="2"/>
  <c r="G5" i="2"/>
  <c r="G17" i="2"/>
  <c r="G13" i="2"/>
  <c r="G9" i="2"/>
  <c r="G6" i="2"/>
  <c r="G18" i="2"/>
  <c r="G14" i="2"/>
  <c r="G10" i="2"/>
  <c r="G3" i="2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7" i="7"/>
  <c r="G17" i="7"/>
  <c r="F17" i="7"/>
  <c r="H17" i="7" s="1"/>
  <c r="J17" i="7" s="1"/>
  <c r="D17" i="7"/>
  <c r="C17" i="7"/>
  <c r="K17" i="7" s="1"/>
  <c r="L17" i="7" s="1"/>
  <c r="G16" i="7"/>
  <c r="F16" i="7"/>
  <c r="H16" i="7" s="1"/>
  <c r="J16" i="7" s="1"/>
  <c r="D16" i="7"/>
  <c r="C16" i="7"/>
  <c r="G15" i="7"/>
  <c r="F15" i="7"/>
  <c r="H15" i="7" s="1"/>
  <c r="J15" i="7" s="1"/>
  <c r="D15" i="7"/>
  <c r="C15" i="7"/>
  <c r="K15" i="7" s="1"/>
  <c r="L15" i="7" s="1"/>
  <c r="G14" i="7"/>
  <c r="F14" i="7"/>
  <c r="H14" i="7" s="1"/>
  <c r="J14" i="7" s="1"/>
  <c r="D14" i="7"/>
  <c r="C14" i="7"/>
  <c r="G13" i="7"/>
  <c r="F13" i="7"/>
  <c r="H13" i="7" s="1"/>
  <c r="J13" i="7" s="1"/>
  <c r="D13" i="7"/>
  <c r="C13" i="7"/>
  <c r="K13" i="7" s="1"/>
  <c r="L13" i="7" s="1"/>
  <c r="G12" i="7"/>
  <c r="F12" i="7"/>
  <c r="H12" i="7" s="1"/>
  <c r="J12" i="7" s="1"/>
  <c r="D12" i="7"/>
  <c r="C12" i="7"/>
  <c r="G11" i="7"/>
  <c r="F11" i="7"/>
  <c r="H11" i="7" s="1"/>
  <c r="J11" i="7" s="1"/>
  <c r="D11" i="7"/>
  <c r="C11" i="7"/>
  <c r="K11" i="7" s="1"/>
  <c r="L11" i="7" s="1"/>
  <c r="G10" i="7"/>
  <c r="F10" i="7"/>
  <c r="H10" i="7" s="1"/>
  <c r="J10" i="7" s="1"/>
  <c r="D10" i="7"/>
  <c r="C10" i="7"/>
  <c r="G9" i="7"/>
  <c r="F9" i="7"/>
  <c r="H9" i="7" s="1"/>
  <c r="J9" i="7" s="1"/>
  <c r="D9" i="7"/>
  <c r="C9" i="7"/>
  <c r="K9" i="7" s="1"/>
  <c r="L9" i="7" s="1"/>
  <c r="G8" i="7"/>
  <c r="F8" i="7"/>
  <c r="H8" i="7" s="1"/>
  <c r="J8" i="7" s="1"/>
  <c r="D8" i="7"/>
  <c r="C8" i="7"/>
  <c r="G7" i="7"/>
  <c r="F7" i="7"/>
  <c r="H7" i="7" s="1"/>
  <c r="J7" i="7" s="1"/>
  <c r="D7" i="7"/>
  <c r="K7" i="7"/>
  <c r="L7" i="7" s="1"/>
  <c r="K8" i="7" l="1"/>
  <c r="L8" i="7" s="1"/>
  <c r="K10" i="7"/>
  <c r="L10" i="7" s="1"/>
  <c r="K12" i="7"/>
  <c r="L12" i="7" s="1"/>
  <c r="K14" i="7"/>
  <c r="L14" i="7" s="1"/>
  <c r="K16" i="7"/>
  <c r="L16" i="7" s="1"/>
  <c r="E6" i="1"/>
  <c r="D98" i="1"/>
  <c r="DL98" i="1" s="1"/>
  <c r="DL96" i="1"/>
  <c r="DL133" i="1"/>
  <c r="DL136" i="1"/>
  <c r="DL137" i="1"/>
  <c r="DK6" i="1"/>
  <c r="D142" i="1"/>
  <c r="CW142" i="1" s="1"/>
  <c r="E138" i="1"/>
  <c r="D138" i="1" s="1"/>
  <c r="DL138" i="1" s="1"/>
  <c r="E132" i="1"/>
  <c r="CW96" i="1"/>
  <c r="CW133" i="1"/>
  <c r="CW136" i="1"/>
  <c r="CW137" i="1"/>
  <c r="D139" i="1"/>
  <c r="DC139" i="1" s="1"/>
  <c r="D126" i="1"/>
  <c r="CW126" i="1" s="1"/>
  <c r="DC143" i="1"/>
  <c r="CZ143" i="1"/>
  <c r="CT143" i="1"/>
  <c r="DI96" i="1"/>
  <c r="DI136" i="1"/>
  <c r="DI137" i="1"/>
  <c r="CT140" i="1"/>
  <c r="CZ140" i="1"/>
  <c r="CT141" i="1"/>
  <c r="CZ141" i="1"/>
  <c r="CT142" i="1"/>
  <c r="CZ142" i="1"/>
  <c r="E140" i="1"/>
  <c r="D140" i="1" s="1"/>
  <c r="DI140" i="1" s="1"/>
  <c r="DH117" i="1"/>
  <c r="DH94" i="1"/>
  <c r="DH86" i="1"/>
  <c r="DH38" i="1"/>
  <c r="DH30" i="1"/>
  <c r="DH6" i="1"/>
  <c r="DF136" i="1"/>
  <c r="DF137" i="1"/>
  <c r="DE25" i="1"/>
  <c r="DE110" i="1"/>
  <c r="DE76" i="1"/>
  <c r="DE81" i="1"/>
  <c r="DE84" i="1"/>
  <c r="CS55" i="1"/>
  <c r="DE6" i="1"/>
  <c r="DC138" i="1"/>
  <c r="DC137" i="1"/>
  <c r="DC136" i="1"/>
  <c r="DC135" i="1"/>
  <c r="DC134" i="1"/>
  <c r="DC133" i="1"/>
  <c r="DC132" i="1"/>
  <c r="DC131" i="1"/>
  <c r="DC130" i="1"/>
  <c r="DC129" i="1"/>
  <c r="DC128" i="1"/>
  <c r="DC127" i="1"/>
  <c r="DC126" i="1"/>
  <c r="DC125" i="1"/>
  <c r="DC124" i="1"/>
  <c r="DC123" i="1"/>
  <c r="DC122" i="1"/>
  <c r="DC121" i="1"/>
  <c r="DC120" i="1"/>
  <c r="DC119" i="1"/>
  <c r="DC118" i="1"/>
  <c r="DC116" i="1"/>
  <c r="DC115" i="1"/>
  <c r="DC114" i="1"/>
  <c r="DC113" i="1"/>
  <c r="DC112" i="1"/>
  <c r="DC111" i="1"/>
  <c r="DC110" i="1"/>
  <c r="DC109" i="1"/>
  <c r="DC108" i="1"/>
  <c r="DC107" i="1"/>
  <c r="DC106" i="1"/>
  <c r="DC105" i="1"/>
  <c r="DC104" i="1"/>
  <c r="DC103" i="1"/>
  <c r="DC102" i="1"/>
  <c r="DC101" i="1"/>
  <c r="DC100" i="1"/>
  <c r="DC99" i="1"/>
  <c r="DC98" i="1"/>
  <c r="DC97" i="1"/>
  <c r="DC96" i="1"/>
  <c r="DC95" i="1"/>
  <c r="DC94" i="1"/>
  <c r="DC93" i="1"/>
  <c r="DC92" i="1"/>
  <c r="DC91" i="1"/>
  <c r="DC90" i="1"/>
  <c r="DC89" i="1"/>
  <c r="DC88" i="1"/>
  <c r="DC87" i="1"/>
  <c r="DC85" i="1"/>
  <c r="DC84" i="1"/>
  <c r="DC83" i="1"/>
  <c r="DC82" i="1"/>
  <c r="DC81" i="1"/>
  <c r="DC80" i="1"/>
  <c r="DC79" i="1"/>
  <c r="DC78" i="1"/>
  <c r="DC77" i="1"/>
  <c r="DC76" i="1"/>
  <c r="DC75" i="1"/>
  <c r="DC74" i="1"/>
  <c r="DC73" i="1"/>
  <c r="DC72" i="1"/>
  <c r="DC71" i="1"/>
  <c r="DC69" i="1"/>
  <c r="DC68" i="1"/>
  <c r="DC67" i="1"/>
  <c r="DC66" i="1"/>
  <c r="DC65" i="1"/>
  <c r="DC64" i="1"/>
  <c r="DC63" i="1"/>
  <c r="DC62" i="1"/>
  <c r="DC61" i="1"/>
  <c r="DC60" i="1"/>
  <c r="DC59" i="1"/>
  <c r="DC58" i="1"/>
  <c r="DC57" i="1"/>
  <c r="DC56" i="1"/>
  <c r="DC54" i="1"/>
  <c r="DC53" i="1"/>
  <c r="DC52" i="1"/>
  <c r="DC51" i="1"/>
  <c r="DC50" i="1"/>
  <c r="DC49" i="1"/>
  <c r="DC48" i="1"/>
  <c r="DC47" i="1"/>
  <c r="DC46" i="1"/>
  <c r="DC45" i="1"/>
  <c r="DC44" i="1"/>
  <c r="DC43" i="1"/>
  <c r="DC42" i="1"/>
  <c r="DC41" i="1"/>
  <c r="DC40" i="1"/>
  <c r="DC39" i="1"/>
  <c r="DC38" i="1"/>
  <c r="DC37" i="1"/>
  <c r="DC36" i="1"/>
  <c r="DC35" i="1"/>
  <c r="DC34" i="1"/>
  <c r="DC33" i="1"/>
  <c r="DC32" i="1"/>
  <c r="DC31" i="1"/>
  <c r="DC30" i="1"/>
  <c r="DC29" i="1"/>
  <c r="DC28" i="1"/>
  <c r="DC27" i="1"/>
  <c r="DC26" i="1"/>
  <c r="DC25" i="1"/>
  <c r="DC24" i="1"/>
  <c r="DC23" i="1"/>
  <c r="DC22" i="1"/>
  <c r="DC21" i="1"/>
  <c r="DC20" i="1"/>
  <c r="DC19" i="1"/>
  <c r="DC18" i="1"/>
  <c r="DC17" i="1"/>
  <c r="DC16" i="1"/>
  <c r="DC15" i="1"/>
  <c r="DC14" i="1"/>
  <c r="DC13" i="1"/>
  <c r="DC12" i="1"/>
  <c r="DC11" i="1"/>
  <c r="DC10" i="1"/>
  <c r="DB6" i="1"/>
  <c r="CZ139" i="1"/>
  <c r="CZ137" i="1"/>
  <c r="CZ136" i="1"/>
  <c r="CZ135" i="1"/>
  <c r="CZ133" i="1"/>
  <c r="CZ132" i="1"/>
  <c r="CZ131" i="1"/>
  <c r="CZ130" i="1"/>
  <c r="CZ129" i="1"/>
  <c r="CZ128" i="1"/>
  <c r="CZ127" i="1"/>
  <c r="CZ126" i="1"/>
  <c r="CZ125" i="1"/>
  <c r="CZ124" i="1"/>
  <c r="CZ123" i="1"/>
  <c r="CZ122" i="1"/>
  <c r="CZ121" i="1"/>
  <c r="CZ120" i="1"/>
  <c r="CZ119" i="1"/>
  <c r="CZ118" i="1"/>
  <c r="CZ117" i="1"/>
  <c r="CZ116" i="1"/>
  <c r="CZ115" i="1"/>
  <c r="CZ114" i="1"/>
  <c r="CZ113" i="1"/>
  <c r="CZ111" i="1"/>
  <c r="CZ110" i="1"/>
  <c r="CZ109" i="1"/>
  <c r="CZ108" i="1"/>
  <c r="CZ106" i="1"/>
  <c r="CZ105" i="1"/>
  <c r="CZ104" i="1"/>
  <c r="CZ103" i="1"/>
  <c r="CZ102" i="1"/>
  <c r="CZ101" i="1"/>
  <c r="CZ100" i="1"/>
  <c r="CZ99" i="1"/>
  <c r="CZ98" i="1"/>
  <c r="CZ97" i="1"/>
  <c r="CZ96" i="1"/>
  <c r="CZ95" i="1"/>
  <c r="CZ94" i="1"/>
  <c r="CZ93" i="1"/>
  <c r="CZ92" i="1"/>
  <c r="CZ91" i="1"/>
  <c r="CZ90" i="1"/>
  <c r="CZ89" i="1"/>
  <c r="CZ88" i="1"/>
  <c r="CZ87" i="1"/>
  <c r="CZ86" i="1"/>
  <c r="CZ85" i="1"/>
  <c r="CZ83" i="1"/>
  <c r="CZ82" i="1"/>
  <c r="CZ81" i="1"/>
  <c r="CZ80" i="1"/>
  <c r="CZ79" i="1"/>
  <c r="CZ78" i="1"/>
  <c r="CZ77" i="1"/>
  <c r="CZ76" i="1"/>
  <c r="CZ75" i="1"/>
  <c r="CZ74" i="1"/>
  <c r="CZ73" i="1"/>
  <c r="CZ71" i="1"/>
  <c r="CZ70" i="1"/>
  <c r="CZ69" i="1"/>
  <c r="CZ68" i="1"/>
  <c r="CZ67" i="1"/>
  <c r="CZ66" i="1"/>
  <c r="CZ65" i="1"/>
  <c r="CZ63" i="1"/>
  <c r="CZ62" i="1"/>
  <c r="CZ61" i="1"/>
  <c r="CZ60" i="1"/>
  <c r="CZ59" i="1"/>
  <c r="CZ58" i="1"/>
  <c r="CZ57" i="1"/>
  <c r="CZ56" i="1"/>
  <c r="CZ55" i="1"/>
  <c r="CZ54" i="1"/>
  <c r="CZ53" i="1"/>
  <c r="CZ52" i="1"/>
  <c r="CZ51" i="1"/>
  <c r="CZ50" i="1"/>
  <c r="CZ49" i="1"/>
  <c r="CZ48" i="1"/>
  <c r="CZ47" i="1"/>
  <c r="CZ46" i="1"/>
  <c r="CZ45" i="1"/>
  <c r="CZ44" i="1"/>
  <c r="CZ43" i="1"/>
  <c r="CZ42" i="1"/>
  <c r="CZ41" i="1"/>
  <c r="CZ40" i="1"/>
  <c r="CZ39" i="1"/>
  <c r="CZ38" i="1"/>
  <c r="CZ37" i="1"/>
  <c r="CZ36" i="1"/>
  <c r="CZ35" i="1"/>
  <c r="CZ34" i="1"/>
  <c r="CZ33" i="1"/>
  <c r="CZ32" i="1"/>
  <c r="CZ31" i="1"/>
  <c r="CZ30" i="1"/>
  <c r="CZ29" i="1"/>
  <c r="CZ28" i="1"/>
  <c r="CZ27" i="1"/>
  <c r="CZ26" i="1"/>
  <c r="CZ25" i="1"/>
  <c r="CZ24" i="1"/>
  <c r="CZ23" i="1"/>
  <c r="CZ22" i="1"/>
  <c r="CZ21" i="1"/>
  <c r="CZ20" i="1"/>
  <c r="CZ19" i="1"/>
  <c r="CZ18" i="1"/>
  <c r="CZ17" i="1"/>
  <c r="CZ16" i="1"/>
  <c r="CZ15" i="1"/>
  <c r="CZ14" i="1"/>
  <c r="CZ13" i="1"/>
  <c r="CZ12" i="1"/>
  <c r="CZ11" i="1"/>
  <c r="CZ10" i="1"/>
  <c r="CY6" i="1"/>
  <c r="CV6" i="1"/>
  <c r="CT139" i="1"/>
  <c r="CT138" i="1"/>
  <c r="CT137" i="1"/>
  <c r="CT136" i="1"/>
  <c r="CT135" i="1"/>
  <c r="CT133" i="1"/>
  <c r="CT132" i="1"/>
  <c r="CT131" i="1"/>
  <c r="CT130" i="1"/>
  <c r="CT129" i="1"/>
  <c r="CT128" i="1"/>
  <c r="CT127" i="1"/>
  <c r="CT126" i="1"/>
  <c r="CT125" i="1"/>
  <c r="CT124" i="1"/>
  <c r="CT122" i="1"/>
  <c r="CT121" i="1"/>
  <c r="CT120" i="1"/>
  <c r="CT119" i="1"/>
  <c r="CT118" i="1"/>
  <c r="CT117" i="1"/>
  <c r="CT116" i="1"/>
  <c r="CT115" i="1"/>
  <c r="CT114" i="1"/>
  <c r="CT113" i="1"/>
  <c r="CT111" i="1"/>
  <c r="CT110" i="1"/>
  <c r="CT109" i="1"/>
  <c r="CT108" i="1"/>
  <c r="CT106" i="1"/>
  <c r="CT105" i="1"/>
  <c r="CT104" i="1"/>
  <c r="CT103" i="1"/>
  <c r="CT102" i="1"/>
  <c r="CT101" i="1"/>
  <c r="CT100" i="1"/>
  <c r="CT99" i="1"/>
  <c r="CT98" i="1"/>
  <c r="CT97" i="1"/>
  <c r="CT96" i="1"/>
  <c r="CT95" i="1"/>
  <c r="CT94" i="1"/>
  <c r="CT93" i="1"/>
  <c r="CT92" i="1"/>
  <c r="CT91" i="1"/>
  <c r="CT90" i="1"/>
  <c r="CT89" i="1"/>
  <c r="CT88" i="1"/>
  <c r="CT87" i="1"/>
  <c r="CT86" i="1"/>
  <c r="CT85" i="1"/>
  <c r="CT83" i="1"/>
  <c r="CT82" i="1"/>
  <c r="CT81" i="1"/>
  <c r="CT80" i="1"/>
  <c r="CT79" i="1"/>
  <c r="CT78" i="1"/>
  <c r="CT77" i="1"/>
  <c r="CT76" i="1"/>
  <c r="CT75" i="1"/>
  <c r="CT74" i="1"/>
  <c r="CT73" i="1"/>
  <c r="CT72" i="1"/>
  <c r="CT71" i="1"/>
  <c r="CT70" i="1"/>
  <c r="CT69" i="1"/>
  <c r="CT68" i="1"/>
  <c r="CT67" i="1"/>
  <c r="CT66" i="1"/>
  <c r="CT65" i="1"/>
  <c r="CT63" i="1"/>
  <c r="CT62" i="1"/>
  <c r="CT61" i="1"/>
  <c r="CT60" i="1"/>
  <c r="CT59" i="1"/>
  <c r="CT58" i="1"/>
  <c r="CT57" i="1"/>
  <c r="CT56" i="1"/>
  <c r="CT54" i="1"/>
  <c r="CT53" i="1"/>
  <c r="CT52" i="1"/>
  <c r="CT51" i="1"/>
  <c r="CT50" i="1"/>
  <c r="CT49" i="1"/>
  <c r="CT48" i="1"/>
  <c r="CT47" i="1"/>
  <c r="CT46" i="1"/>
  <c r="CT45" i="1"/>
  <c r="CT44" i="1"/>
  <c r="CT43" i="1"/>
  <c r="CT42" i="1"/>
  <c r="CT41" i="1"/>
  <c r="CT40" i="1"/>
  <c r="CT39" i="1"/>
  <c r="CT38" i="1"/>
  <c r="CT37" i="1"/>
  <c r="CT36" i="1"/>
  <c r="CT35" i="1"/>
  <c r="CT34" i="1"/>
  <c r="CT33" i="1"/>
  <c r="CT32" i="1"/>
  <c r="CT31" i="1"/>
  <c r="CT30" i="1"/>
  <c r="CT29" i="1"/>
  <c r="CT28" i="1"/>
  <c r="CT27" i="1"/>
  <c r="CT26" i="1"/>
  <c r="CT25" i="1"/>
  <c r="CT24" i="1"/>
  <c r="CT23" i="1"/>
  <c r="CT22" i="1"/>
  <c r="CT21" i="1"/>
  <c r="CT20" i="1"/>
  <c r="CT19" i="1"/>
  <c r="CT18" i="1"/>
  <c r="CT17" i="1"/>
  <c r="CT16" i="1"/>
  <c r="CT15" i="1"/>
  <c r="CT14" i="1"/>
  <c r="CT13" i="1"/>
  <c r="CT12" i="1"/>
  <c r="CT11" i="1"/>
  <c r="CT10" i="1"/>
  <c r="CS6" i="1"/>
  <c r="D11" i="1"/>
  <c r="D12" i="1"/>
  <c r="DF12" i="1" s="1"/>
  <c r="D13" i="1"/>
  <c r="DF13" i="1" s="1"/>
  <c r="D14" i="1"/>
  <c r="DF14" i="1" s="1"/>
  <c r="D15" i="1"/>
  <c r="DF15" i="1" s="1"/>
  <c r="D16" i="1"/>
  <c r="DF16" i="1" s="1"/>
  <c r="D17" i="1"/>
  <c r="DF17" i="1" s="1"/>
  <c r="D18" i="1"/>
  <c r="DF18" i="1" s="1"/>
  <c r="D22" i="1"/>
  <c r="DF22" i="1" s="1"/>
  <c r="D25" i="1"/>
  <c r="CW25" i="1" s="1"/>
  <c r="D29" i="1"/>
  <c r="DF29" i="1" s="1"/>
  <c r="D31" i="1"/>
  <c r="DF31" i="1" s="1"/>
  <c r="D32" i="1"/>
  <c r="DF32" i="1" s="1"/>
  <c r="D34" i="1"/>
  <c r="DF34" i="1" s="1"/>
  <c r="D35" i="1"/>
  <c r="DF35" i="1" s="1"/>
  <c r="D36" i="1"/>
  <c r="DF36" i="1" s="1"/>
  <c r="D37" i="1"/>
  <c r="DF37" i="1" s="1"/>
  <c r="D41" i="1"/>
  <c r="DF41" i="1" s="1"/>
  <c r="D42" i="1"/>
  <c r="DF42" i="1" s="1"/>
  <c r="D43" i="1"/>
  <c r="DF43" i="1" s="1"/>
  <c r="D45" i="1"/>
  <c r="DF45" i="1" s="1"/>
  <c r="D49" i="1"/>
  <c r="DF49" i="1" s="1"/>
  <c r="D57" i="1"/>
  <c r="DF57" i="1" s="1"/>
  <c r="D62" i="1"/>
  <c r="DF62" i="1" s="1"/>
  <c r="D65" i="1"/>
  <c r="DF65" i="1" s="1"/>
  <c r="D66" i="1"/>
  <c r="DF66" i="1" s="1"/>
  <c r="D68" i="1"/>
  <c r="DF68" i="1" s="1"/>
  <c r="D70" i="1"/>
  <c r="DF70" i="1" s="1"/>
  <c r="D77" i="1"/>
  <c r="DF77" i="1" s="1"/>
  <c r="D82" i="1"/>
  <c r="DF82" i="1" s="1"/>
  <c r="DF93" i="1"/>
  <c r="D95" i="1"/>
  <c r="DF95" i="1" s="1"/>
  <c r="DF96" i="1"/>
  <c r="D104" i="1"/>
  <c r="DF104" i="1" s="1"/>
  <c r="D110" i="1"/>
  <c r="CW110" i="1" s="1"/>
  <c r="D113" i="1"/>
  <c r="DF113" i="1" s="1"/>
  <c r="D116" i="1"/>
  <c r="DF116" i="1" s="1"/>
  <c r="D117" i="1"/>
  <c r="DF117" i="1" s="1"/>
  <c r="D119" i="1"/>
  <c r="DF119" i="1" s="1"/>
  <c r="D121" i="1"/>
  <c r="DF121" i="1" s="1"/>
  <c r="D123" i="1"/>
  <c r="CT123" i="1" s="1"/>
  <c r="D124" i="1"/>
  <c r="DF124" i="1" s="1"/>
  <c r="D125" i="1"/>
  <c r="DF125" i="1" s="1"/>
  <c r="D127" i="1"/>
  <c r="DF127" i="1" s="1"/>
  <c r="D128" i="1"/>
  <c r="DF128" i="1" s="1"/>
  <c r="D129" i="1"/>
  <c r="DF129" i="1" s="1"/>
  <c r="D130" i="1"/>
  <c r="DF130" i="1" s="1"/>
  <c r="D131" i="1"/>
  <c r="DF131" i="1" s="1"/>
  <c r="D134" i="1"/>
  <c r="CT134" i="1" s="1"/>
  <c r="D10" i="1"/>
  <c r="DF10" i="1" s="1"/>
  <c r="DF11" i="1" l="1"/>
  <c r="K11" i="1"/>
  <c r="DF98" i="1"/>
  <c r="DL126" i="1"/>
  <c r="DL62" i="1"/>
  <c r="DL31" i="1"/>
  <c r="DL15" i="1"/>
  <c r="DL45" i="1"/>
  <c r="DL127" i="1"/>
  <c r="DL125" i="1"/>
  <c r="DL116" i="1"/>
  <c r="DL14" i="1"/>
  <c r="DL110" i="1"/>
  <c r="DL22" i="1"/>
  <c r="DL95" i="1"/>
  <c r="DL93" i="1"/>
  <c r="DL119" i="1"/>
  <c r="DL77" i="1"/>
  <c r="DL142" i="1"/>
  <c r="DL117" i="1"/>
  <c r="DL70" i="1"/>
  <c r="DL10" i="1"/>
  <c r="DL140" i="1"/>
  <c r="DL124" i="1"/>
  <c r="DL68" i="1"/>
  <c r="DL36" i="1"/>
  <c r="DL139" i="1"/>
  <c r="DL131" i="1"/>
  <c r="DL123" i="1"/>
  <c r="DL43" i="1"/>
  <c r="DL35" i="1"/>
  <c r="DL11" i="1"/>
  <c r="DL37" i="1"/>
  <c r="DL130" i="1"/>
  <c r="DL82" i="1"/>
  <c r="DL66" i="1"/>
  <c r="DL42" i="1"/>
  <c r="DL34" i="1"/>
  <c r="DL18" i="1"/>
  <c r="DL29" i="1"/>
  <c r="DL129" i="1"/>
  <c r="DL121" i="1"/>
  <c r="DL113" i="1"/>
  <c r="DL65" i="1"/>
  <c r="DL57" i="1"/>
  <c r="DL49" i="1"/>
  <c r="DL41" i="1"/>
  <c r="DL25" i="1"/>
  <c r="DL17" i="1"/>
  <c r="DL134" i="1"/>
  <c r="DL13" i="1"/>
  <c r="DL12" i="1"/>
  <c r="DL128" i="1"/>
  <c r="DL104" i="1"/>
  <c r="DL32" i="1"/>
  <c r="DL16" i="1"/>
  <c r="CQ142" i="1"/>
  <c r="AU142" i="1"/>
  <c r="CN142" i="1"/>
  <c r="AO142" i="1"/>
  <c r="AL142" i="1"/>
  <c r="BP142" i="1"/>
  <c r="BS142" i="1"/>
  <c r="BM142" i="1"/>
  <c r="AR142" i="1"/>
  <c r="CK142" i="1"/>
  <c r="CH142" i="1"/>
  <c r="N142" i="1"/>
  <c r="BJ142" i="1"/>
  <c r="DF138" i="1"/>
  <c r="CW138" i="1"/>
  <c r="DI138" i="1"/>
  <c r="CZ138" i="1"/>
  <c r="BG142" i="1"/>
  <c r="DC142" i="1"/>
  <c r="CB142" i="1"/>
  <c r="BD142" i="1"/>
  <c r="AC142" i="1"/>
  <c r="CE142" i="1"/>
  <c r="BY142" i="1"/>
  <c r="BA142" i="1"/>
  <c r="W142" i="1"/>
  <c r="DF142" i="1"/>
  <c r="AF142" i="1"/>
  <c r="BV142" i="1"/>
  <c r="AX142" i="1"/>
  <c r="Q142" i="1"/>
  <c r="Z142" i="1"/>
  <c r="T142" i="1"/>
  <c r="DI142" i="1"/>
  <c r="AI142" i="1"/>
  <c r="K142" i="1"/>
  <c r="H142" i="1"/>
  <c r="I142" i="1" s="1"/>
  <c r="CW104" i="1"/>
  <c r="CW10" i="1"/>
  <c r="CW41" i="1"/>
  <c r="CW37" i="1"/>
  <c r="CW95" i="1"/>
  <c r="CW36" i="1"/>
  <c r="CW119" i="1"/>
  <c r="CW117" i="1"/>
  <c r="CW134" i="1"/>
  <c r="CW93" i="1"/>
  <c r="CW22" i="1"/>
  <c r="CW57" i="1"/>
  <c r="CW65" i="1"/>
  <c r="CW17" i="1"/>
  <c r="CW62" i="1"/>
  <c r="CW128" i="1"/>
  <c r="CW49" i="1"/>
  <c r="CW127" i="1"/>
  <c r="CW32" i="1"/>
  <c r="CW16" i="1"/>
  <c r="CW70" i="1"/>
  <c r="CW124" i="1"/>
  <c r="CW77" i="1"/>
  <c r="CW45" i="1"/>
  <c r="CW29" i="1"/>
  <c r="CW13" i="1"/>
  <c r="CW131" i="1"/>
  <c r="CW68" i="1"/>
  <c r="CW12" i="1"/>
  <c r="K139" i="1"/>
  <c r="CW139" i="1"/>
  <c r="CW130" i="1"/>
  <c r="CW98" i="1"/>
  <c r="CW43" i="1"/>
  <c r="CW35" i="1"/>
  <c r="CW11" i="1"/>
  <c r="CW31" i="1"/>
  <c r="CW15" i="1"/>
  <c r="DF139" i="1"/>
  <c r="CW125" i="1"/>
  <c r="CW14" i="1"/>
  <c r="CW116" i="1"/>
  <c r="CW140" i="1"/>
  <c r="CW123" i="1"/>
  <c r="DI139" i="1"/>
  <c r="CW129" i="1"/>
  <c r="CW121" i="1"/>
  <c r="CW113" i="1"/>
  <c r="CW82" i="1"/>
  <c r="CW66" i="1"/>
  <c r="CW42" i="1"/>
  <c r="CW34" i="1"/>
  <c r="CW18" i="1"/>
  <c r="DI127" i="1"/>
  <c r="DI125" i="1"/>
  <c r="DI121" i="1"/>
  <c r="DI82" i="1"/>
  <c r="DI34" i="1"/>
  <c r="DI128" i="1"/>
  <c r="DI32" i="1"/>
  <c r="DI113" i="1"/>
  <c r="DI18" i="1"/>
  <c r="DI57" i="1"/>
  <c r="DI130" i="1"/>
  <c r="DI104" i="1"/>
  <c r="DI49" i="1"/>
  <c r="DI16" i="1"/>
  <c r="DI41" i="1"/>
  <c r="DI66" i="1"/>
  <c r="DI25" i="1"/>
  <c r="DI65" i="1"/>
  <c r="DI134" i="1"/>
  <c r="DI110" i="1"/>
  <c r="DI17" i="1"/>
  <c r="DI10" i="1"/>
  <c r="DI129" i="1"/>
  <c r="DI42" i="1"/>
  <c r="DI15" i="1"/>
  <c r="DI117" i="1"/>
  <c r="DI62" i="1"/>
  <c r="DI14" i="1"/>
  <c r="DI133" i="1"/>
  <c r="DI124" i="1"/>
  <c r="DI116" i="1"/>
  <c r="DI93" i="1"/>
  <c r="DI77" i="1"/>
  <c r="DI45" i="1"/>
  <c r="DI37" i="1"/>
  <c r="DI29" i="1"/>
  <c r="DI13" i="1"/>
  <c r="DI22" i="1"/>
  <c r="DI123" i="1"/>
  <c r="DI68" i="1"/>
  <c r="DI36" i="1"/>
  <c r="DI12" i="1"/>
  <c r="DI119" i="1"/>
  <c r="DI95" i="1"/>
  <c r="DI31" i="1"/>
  <c r="DI70" i="1"/>
  <c r="DI131" i="1"/>
  <c r="DI98" i="1"/>
  <c r="DI43" i="1"/>
  <c r="DI35" i="1"/>
  <c r="DI11" i="1"/>
  <c r="H140" i="1"/>
  <c r="I140" i="1" s="1"/>
  <c r="AC140" i="1"/>
  <c r="BA140" i="1"/>
  <c r="BY140" i="1"/>
  <c r="AI140" i="1"/>
  <c r="N140" i="1"/>
  <c r="BJ140" i="1"/>
  <c r="CH140" i="1"/>
  <c r="DF140" i="1"/>
  <c r="AO140" i="1"/>
  <c r="T140" i="1"/>
  <c r="BP140" i="1"/>
  <c r="CN140" i="1"/>
  <c r="W140" i="1"/>
  <c r="BS140" i="1"/>
  <c r="CQ140" i="1"/>
  <c r="AX140" i="1"/>
  <c r="AF140" i="1"/>
  <c r="BD140" i="1"/>
  <c r="CB140" i="1"/>
  <c r="K140" i="1"/>
  <c r="BG140" i="1"/>
  <c r="CE140" i="1"/>
  <c r="DC140" i="1"/>
  <c r="AL140" i="1"/>
  <c r="Q140" i="1"/>
  <c r="BM140" i="1"/>
  <c r="CK140" i="1"/>
  <c r="AR140" i="1"/>
  <c r="AU140" i="1"/>
  <c r="Z140" i="1"/>
  <c r="BV140" i="1"/>
  <c r="DF110" i="1"/>
  <c r="DF134" i="1"/>
  <c r="DF25" i="1"/>
  <c r="DF133" i="1"/>
  <c r="DF123" i="1"/>
  <c r="CZ134" i="1"/>
  <c r="DC117" i="1"/>
  <c r="DC70" i="1"/>
  <c r="CQ11" i="1"/>
  <c r="CE12" i="1"/>
  <c r="CQ13" i="1"/>
  <c r="CQ14" i="1"/>
  <c r="AO15" i="1"/>
  <c r="AL16" i="1"/>
  <c r="AL17" i="1"/>
  <c r="BM22" i="1"/>
  <c r="AO25" i="1"/>
  <c r="CK29" i="1"/>
  <c r="BJ31" i="1"/>
  <c r="AR32" i="1"/>
  <c r="BP35" i="1"/>
  <c r="CH36" i="1"/>
  <c r="CN37" i="1"/>
  <c r="AU41" i="1"/>
  <c r="AX42" i="1"/>
  <c r="BD43" i="1"/>
  <c r="CE49" i="1"/>
  <c r="AF57" i="1"/>
  <c r="CQ62" i="1"/>
  <c r="BJ65" i="1"/>
  <c r="BD66" i="1"/>
  <c r="BS68" i="1"/>
  <c r="CH70" i="1"/>
  <c r="BJ77" i="1"/>
  <c r="BY82" i="1"/>
  <c r="BV95" i="1"/>
  <c r="CQ96" i="1"/>
  <c r="BJ98" i="1"/>
  <c r="AR104" i="1"/>
  <c r="CQ110" i="1"/>
  <c r="CN113" i="1"/>
  <c r="CQ116" i="1"/>
  <c r="CQ117" i="1"/>
  <c r="CQ119" i="1"/>
  <c r="CK121" i="1"/>
  <c r="CQ124" i="1"/>
  <c r="CK125" i="1"/>
  <c r="CN127" i="1"/>
  <c r="AO128" i="1"/>
  <c r="AI129" i="1"/>
  <c r="BG130" i="1"/>
  <c r="AL131" i="1"/>
  <c r="CN133" i="1"/>
  <c r="H134" i="1"/>
  <c r="I134" i="1" s="1"/>
  <c r="CK10" i="1"/>
  <c r="E122" i="1"/>
  <c r="D122" i="1" s="1"/>
  <c r="E120" i="1"/>
  <c r="E118" i="1"/>
  <c r="D118" i="1" s="1"/>
  <c r="E115" i="1"/>
  <c r="D115" i="1" s="1"/>
  <c r="E114" i="1"/>
  <c r="D114" i="1" s="1"/>
  <c r="E112" i="1"/>
  <c r="D112" i="1" s="1"/>
  <c r="E111" i="1"/>
  <c r="D111" i="1" s="1"/>
  <c r="E109" i="1"/>
  <c r="D109" i="1" s="1"/>
  <c r="E108" i="1"/>
  <c r="D108" i="1" s="1"/>
  <c r="E107" i="1"/>
  <c r="D107" i="1" s="1"/>
  <c r="E106" i="1"/>
  <c r="D106" i="1" s="1"/>
  <c r="E105" i="1"/>
  <c r="D105" i="1" s="1"/>
  <c r="E103" i="1"/>
  <c r="D103" i="1" s="1"/>
  <c r="E102" i="1"/>
  <c r="D102" i="1" s="1"/>
  <c r="E101" i="1"/>
  <c r="D101" i="1" s="1"/>
  <c r="E100" i="1"/>
  <c r="D100" i="1" s="1"/>
  <c r="E99" i="1"/>
  <c r="D99" i="1" s="1"/>
  <c r="E94" i="1"/>
  <c r="D94" i="1" s="1"/>
  <c r="E92" i="1"/>
  <c r="D92" i="1" s="1"/>
  <c r="E91" i="1"/>
  <c r="D91" i="1" s="1"/>
  <c r="E90" i="1"/>
  <c r="D90" i="1" s="1"/>
  <c r="E89" i="1"/>
  <c r="D89" i="1" s="1"/>
  <c r="E88" i="1"/>
  <c r="D88" i="1" s="1"/>
  <c r="E87" i="1"/>
  <c r="D87" i="1" s="1"/>
  <c r="E86" i="1"/>
  <c r="D86" i="1" s="1"/>
  <c r="E85" i="1"/>
  <c r="D85" i="1" s="1"/>
  <c r="E84" i="1"/>
  <c r="D84" i="1" s="1"/>
  <c r="E83" i="1"/>
  <c r="D83" i="1" s="1"/>
  <c r="E81" i="1"/>
  <c r="D81" i="1" s="1"/>
  <c r="E80" i="1"/>
  <c r="D80" i="1" s="1"/>
  <c r="E79" i="1"/>
  <c r="D79" i="1" s="1"/>
  <c r="E78" i="1"/>
  <c r="D78" i="1" s="1"/>
  <c r="E76" i="1"/>
  <c r="D76" i="1" s="1"/>
  <c r="E75" i="1"/>
  <c r="D75" i="1" s="1"/>
  <c r="E74" i="1"/>
  <c r="D74" i="1" s="1"/>
  <c r="E73" i="1"/>
  <c r="D73" i="1" s="1"/>
  <c r="E72" i="1"/>
  <c r="D72" i="1" s="1"/>
  <c r="E69" i="1"/>
  <c r="D69" i="1" s="1"/>
  <c r="E67" i="1"/>
  <c r="D67" i="1" s="1"/>
  <c r="E64" i="1"/>
  <c r="D64" i="1" s="1"/>
  <c r="E63" i="1"/>
  <c r="D63" i="1" s="1"/>
  <c r="E61" i="1"/>
  <c r="D61" i="1" s="1"/>
  <c r="E60" i="1"/>
  <c r="D60" i="1" s="1"/>
  <c r="E59" i="1"/>
  <c r="D59" i="1" s="1"/>
  <c r="E58" i="1"/>
  <c r="D58" i="1" s="1"/>
  <c r="E56" i="1"/>
  <c r="D56" i="1" s="1"/>
  <c r="E55" i="1"/>
  <c r="D55" i="1" s="1"/>
  <c r="E54" i="1"/>
  <c r="D54" i="1" s="1"/>
  <c r="E53" i="1"/>
  <c r="D53" i="1" s="1"/>
  <c r="E52" i="1"/>
  <c r="D52" i="1" s="1"/>
  <c r="E51" i="1"/>
  <c r="D51" i="1" s="1"/>
  <c r="E50" i="1"/>
  <c r="D50" i="1" s="1"/>
  <c r="E48" i="1"/>
  <c r="D48" i="1" s="1"/>
  <c r="E47" i="1"/>
  <c r="D47" i="1" s="1"/>
  <c r="E46" i="1"/>
  <c r="D46" i="1" s="1"/>
  <c r="E44" i="1"/>
  <c r="D44" i="1" s="1"/>
  <c r="E40" i="1"/>
  <c r="D40" i="1" s="1"/>
  <c r="E39" i="1"/>
  <c r="D39" i="1" s="1"/>
  <c r="E38" i="1"/>
  <c r="D38" i="1" s="1"/>
  <c r="E33" i="1"/>
  <c r="D33" i="1" s="1"/>
  <c r="E30" i="1"/>
  <c r="D30" i="1" s="1"/>
  <c r="E28" i="1"/>
  <c r="D28" i="1" s="1"/>
  <c r="E27" i="1"/>
  <c r="D27" i="1" s="1"/>
  <c r="E26" i="1"/>
  <c r="D26" i="1" s="1"/>
  <c r="E24" i="1"/>
  <c r="D24" i="1" s="1"/>
  <c r="E23" i="1"/>
  <c r="D23" i="1" s="1"/>
  <c r="E21" i="1"/>
  <c r="D21" i="1" s="1"/>
  <c r="E20" i="1"/>
  <c r="D20" i="1" s="1"/>
  <c r="E19" i="1"/>
  <c r="D19" i="1" s="1"/>
  <c r="AB6" i="1"/>
  <c r="AE6" i="1"/>
  <c r="AH6" i="1"/>
  <c r="AK6" i="1"/>
  <c r="AN6" i="1"/>
  <c r="AQ6" i="1"/>
  <c r="AT6" i="1"/>
  <c r="AW6" i="1"/>
  <c r="AZ6" i="1"/>
  <c r="BC6" i="1"/>
  <c r="BF6" i="1"/>
  <c r="BI6" i="1"/>
  <c r="BL6" i="1"/>
  <c r="BO6" i="1"/>
  <c r="BR6" i="1"/>
  <c r="BU6" i="1"/>
  <c r="BX6" i="1"/>
  <c r="CA6" i="1"/>
  <c r="CD6" i="1"/>
  <c r="CG6" i="1"/>
  <c r="CJ6" i="1"/>
  <c r="CM6" i="1"/>
  <c r="CP6" i="1"/>
  <c r="Y6" i="1"/>
  <c r="S6" i="1"/>
  <c r="V6" i="1"/>
  <c r="P6" i="1"/>
  <c r="M6" i="1"/>
  <c r="CQ136" i="1"/>
  <c r="CQ137" i="1"/>
  <c r="CQ138" i="1"/>
  <c r="CQ139" i="1"/>
  <c r="CN12" i="1"/>
  <c r="CN136" i="1"/>
  <c r="CN137" i="1"/>
  <c r="CN138" i="1"/>
  <c r="CN139" i="1"/>
  <c r="CK12" i="1"/>
  <c r="CK136" i="1"/>
  <c r="CK137" i="1"/>
  <c r="CK138" i="1"/>
  <c r="CK139" i="1"/>
  <c r="CH130" i="1"/>
  <c r="CH136" i="1"/>
  <c r="CH137" i="1"/>
  <c r="CH138" i="1"/>
  <c r="CH139" i="1"/>
  <c r="CE11" i="1"/>
  <c r="CE136" i="1"/>
  <c r="CE137" i="1"/>
  <c r="CE138" i="1"/>
  <c r="CE139" i="1"/>
  <c r="CB43" i="1"/>
  <c r="CB136" i="1"/>
  <c r="CB137" i="1"/>
  <c r="CB138" i="1"/>
  <c r="CB139" i="1"/>
  <c r="BY136" i="1"/>
  <c r="BY137" i="1"/>
  <c r="BY138" i="1"/>
  <c r="BY139" i="1"/>
  <c r="BV12" i="1"/>
  <c r="BV136" i="1"/>
  <c r="BV137" i="1"/>
  <c r="BV138" i="1"/>
  <c r="BV139" i="1"/>
  <c r="BS43" i="1"/>
  <c r="BS136" i="1"/>
  <c r="BS137" i="1"/>
  <c r="BS138" i="1"/>
  <c r="BS139" i="1"/>
  <c r="BP136" i="1"/>
  <c r="BP137" i="1"/>
  <c r="BP138" i="1"/>
  <c r="BP139" i="1"/>
  <c r="BM11" i="1"/>
  <c r="BM12" i="1"/>
  <c r="BM123" i="1"/>
  <c r="BM130" i="1"/>
  <c r="BM136" i="1"/>
  <c r="BM137" i="1"/>
  <c r="BM138" i="1"/>
  <c r="BM139" i="1"/>
  <c r="BJ130" i="1"/>
  <c r="BJ136" i="1"/>
  <c r="BJ137" i="1"/>
  <c r="BJ138" i="1"/>
  <c r="BJ139" i="1"/>
  <c r="BG11" i="1"/>
  <c r="BG136" i="1"/>
  <c r="BG137" i="1"/>
  <c r="BG138" i="1"/>
  <c r="BG139" i="1"/>
  <c r="BD11" i="1"/>
  <c r="BD12" i="1"/>
  <c r="BD130" i="1"/>
  <c r="BD136" i="1"/>
  <c r="BD137" i="1"/>
  <c r="BD138" i="1"/>
  <c r="BD139" i="1"/>
  <c r="BA11" i="1"/>
  <c r="BA12" i="1"/>
  <c r="BA136" i="1"/>
  <c r="BA137" i="1"/>
  <c r="BA138" i="1"/>
  <c r="BA139" i="1"/>
  <c r="AX130" i="1"/>
  <c r="AX136" i="1"/>
  <c r="AX137" i="1"/>
  <c r="AX138" i="1"/>
  <c r="AX139" i="1"/>
  <c r="AU43" i="1"/>
  <c r="AU136" i="1"/>
  <c r="AU137" i="1"/>
  <c r="AU138" i="1"/>
  <c r="AU139" i="1"/>
  <c r="AR136" i="1"/>
  <c r="AR137" i="1"/>
  <c r="AR138" i="1"/>
  <c r="AR139" i="1"/>
  <c r="AO130" i="1"/>
  <c r="AO136" i="1"/>
  <c r="AO137" i="1"/>
  <c r="AO138" i="1"/>
  <c r="AO139" i="1"/>
  <c r="AL14" i="1"/>
  <c r="AL98" i="1"/>
  <c r="AL136" i="1"/>
  <c r="AL137" i="1"/>
  <c r="AL138" i="1"/>
  <c r="AL139" i="1"/>
  <c r="AI130" i="1"/>
  <c r="AI136" i="1"/>
  <c r="AI137" i="1"/>
  <c r="AI138" i="1"/>
  <c r="AI139" i="1"/>
  <c r="AF130" i="1"/>
  <c r="AF136" i="1"/>
  <c r="AF137" i="1"/>
  <c r="AF138" i="1"/>
  <c r="AF139" i="1"/>
  <c r="AC124" i="1"/>
  <c r="AC136" i="1"/>
  <c r="AC137" i="1"/>
  <c r="AC138" i="1"/>
  <c r="AC139" i="1"/>
  <c r="Z98" i="1"/>
  <c r="Z136" i="1"/>
  <c r="Z137" i="1"/>
  <c r="Z138" i="1"/>
  <c r="Z139" i="1"/>
  <c r="W136" i="1"/>
  <c r="W137" i="1"/>
  <c r="W138" i="1"/>
  <c r="W139" i="1"/>
  <c r="T14" i="1"/>
  <c r="T43" i="1"/>
  <c r="T130" i="1"/>
  <c r="T136" i="1"/>
  <c r="T137" i="1"/>
  <c r="T138" i="1"/>
  <c r="T139" i="1"/>
  <c r="Q130" i="1"/>
  <c r="Q131" i="1"/>
  <c r="Q136" i="1"/>
  <c r="Q137" i="1"/>
  <c r="Q138" i="1"/>
  <c r="Q139" i="1"/>
  <c r="N136" i="1"/>
  <c r="N137" i="1"/>
  <c r="N138" i="1"/>
  <c r="N139" i="1"/>
  <c r="H130" i="1"/>
  <c r="I130" i="1" s="1"/>
  <c r="CW47" i="1" l="1"/>
  <c r="DL47" i="1"/>
  <c r="CW89" i="1"/>
  <c r="DL89" i="1"/>
  <c r="CW48" i="1"/>
  <c r="DL48" i="1"/>
  <c r="CW81" i="1"/>
  <c r="DL81" i="1"/>
  <c r="CW114" i="1"/>
  <c r="DL114" i="1"/>
  <c r="CW33" i="1"/>
  <c r="DL33" i="1"/>
  <c r="CW73" i="1"/>
  <c r="DL73" i="1"/>
  <c r="CW115" i="1"/>
  <c r="DL115" i="1"/>
  <c r="CW21" i="1"/>
  <c r="DL21" i="1"/>
  <c r="CW38" i="1"/>
  <c r="DL38" i="1"/>
  <c r="CW51" i="1"/>
  <c r="DL51" i="1"/>
  <c r="CW60" i="1"/>
  <c r="DL60" i="1"/>
  <c r="CW74" i="1"/>
  <c r="DL74" i="1"/>
  <c r="CW84" i="1"/>
  <c r="DL84" i="1"/>
  <c r="CW92" i="1"/>
  <c r="DL92" i="1"/>
  <c r="CW106" i="1"/>
  <c r="DL106" i="1"/>
  <c r="CW118" i="1"/>
  <c r="DL118" i="1"/>
  <c r="CW28" i="1"/>
  <c r="DL28" i="1"/>
  <c r="CW80" i="1"/>
  <c r="DL80" i="1"/>
  <c r="CW30" i="1"/>
  <c r="DL30" i="1"/>
  <c r="CW72" i="1"/>
  <c r="DL72" i="1"/>
  <c r="CW103" i="1"/>
  <c r="DL103" i="1"/>
  <c r="CW20" i="1"/>
  <c r="DL20" i="1"/>
  <c r="CW50" i="1"/>
  <c r="DL50" i="1"/>
  <c r="CW59" i="1"/>
  <c r="DL59" i="1"/>
  <c r="CW83" i="1"/>
  <c r="DL83" i="1"/>
  <c r="CW91" i="1"/>
  <c r="DL91" i="1"/>
  <c r="CW105" i="1"/>
  <c r="DL105" i="1"/>
  <c r="CW23" i="1"/>
  <c r="DL23" i="1"/>
  <c r="CW39" i="1"/>
  <c r="DL39" i="1"/>
  <c r="CW52" i="1"/>
  <c r="DL52" i="1"/>
  <c r="CW61" i="1"/>
  <c r="DL61" i="1"/>
  <c r="CW75" i="1"/>
  <c r="DL75" i="1"/>
  <c r="CW85" i="1"/>
  <c r="DL85" i="1"/>
  <c r="CW94" i="1"/>
  <c r="DL94" i="1"/>
  <c r="CW107" i="1"/>
  <c r="DL107" i="1"/>
  <c r="CW56" i="1"/>
  <c r="DL56" i="1"/>
  <c r="CW102" i="1"/>
  <c r="DL102" i="1"/>
  <c r="CW26" i="1"/>
  <c r="DL26" i="1"/>
  <c r="CW44" i="1"/>
  <c r="DL44" i="1"/>
  <c r="CW54" i="1"/>
  <c r="DL54" i="1"/>
  <c r="CW64" i="1"/>
  <c r="DL64" i="1"/>
  <c r="CW78" i="1"/>
  <c r="DL78" i="1"/>
  <c r="CW87" i="1"/>
  <c r="DL87" i="1"/>
  <c r="CW100" i="1"/>
  <c r="DL100" i="1"/>
  <c r="CW109" i="1"/>
  <c r="DL109" i="1"/>
  <c r="CW69" i="1"/>
  <c r="DL69" i="1"/>
  <c r="CW112" i="1"/>
  <c r="DL112" i="1"/>
  <c r="CW19" i="1"/>
  <c r="DL19" i="1"/>
  <c r="CW58" i="1"/>
  <c r="DL58" i="1"/>
  <c r="CW90" i="1"/>
  <c r="DL90" i="1"/>
  <c r="CW24" i="1"/>
  <c r="DL24" i="1"/>
  <c r="CW40" i="1"/>
  <c r="DL40" i="1"/>
  <c r="CW53" i="1"/>
  <c r="DL53" i="1"/>
  <c r="CW63" i="1"/>
  <c r="DL63" i="1"/>
  <c r="CW76" i="1"/>
  <c r="DL76" i="1"/>
  <c r="CW86" i="1"/>
  <c r="DL86" i="1"/>
  <c r="CW99" i="1"/>
  <c r="DL99" i="1"/>
  <c r="CW108" i="1"/>
  <c r="DL108" i="1"/>
  <c r="CW122" i="1"/>
  <c r="DL122" i="1"/>
  <c r="CW27" i="1"/>
  <c r="DL27" i="1"/>
  <c r="CW46" i="1"/>
  <c r="DL46" i="1"/>
  <c r="CW55" i="1"/>
  <c r="DL55" i="1"/>
  <c r="CW67" i="1"/>
  <c r="DL67" i="1"/>
  <c r="CW79" i="1"/>
  <c r="DL79" i="1"/>
  <c r="CW88" i="1"/>
  <c r="DL88" i="1"/>
  <c r="CW101" i="1"/>
  <c r="DL101" i="1"/>
  <c r="CW111" i="1"/>
  <c r="DL111" i="1"/>
  <c r="DF24" i="1"/>
  <c r="DI24" i="1"/>
  <c r="DF40" i="1"/>
  <c r="DI40" i="1"/>
  <c r="DF53" i="1"/>
  <c r="DI53" i="1"/>
  <c r="DF63" i="1"/>
  <c r="DI63" i="1"/>
  <c r="DI76" i="1"/>
  <c r="DI86" i="1"/>
  <c r="DI107" i="1"/>
  <c r="DF26" i="1"/>
  <c r="DI26" i="1"/>
  <c r="DF44" i="1"/>
  <c r="DI44" i="1"/>
  <c r="DF54" i="1"/>
  <c r="DI54" i="1"/>
  <c r="DF64" i="1"/>
  <c r="DI64" i="1"/>
  <c r="DF78" i="1"/>
  <c r="DI78" i="1"/>
  <c r="DF87" i="1"/>
  <c r="DI87" i="1"/>
  <c r="DI99" i="1"/>
  <c r="DF108" i="1"/>
  <c r="DI108" i="1"/>
  <c r="DF122" i="1"/>
  <c r="DI122" i="1"/>
  <c r="DF27" i="1"/>
  <c r="DI27" i="1"/>
  <c r="DF46" i="1"/>
  <c r="DI46" i="1"/>
  <c r="DI55" i="1"/>
  <c r="DF67" i="1"/>
  <c r="DI67" i="1"/>
  <c r="DF79" i="1"/>
  <c r="DI79" i="1"/>
  <c r="DF88" i="1"/>
  <c r="DI88" i="1"/>
  <c r="DF100" i="1"/>
  <c r="DI100" i="1"/>
  <c r="DF109" i="1"/>
  <c r="DI109" i="1"/>
  <c r="DF28" i="1"/>
  <c r="DI28" i="1"/>
  <c r="DF47" i="1"/>
  <c r="DI47" i="1"/>
  <c r="DF56" i="1"/>
  <c r="DI56" i="1"/>
  <c r="DF69" i="1"/>
  <c r="DI69" i="1"/>
  <c r="DF80" i="1"/>
  <c r="DI80" i="1"/>
  <c r="DF89" i="1"/>
  <c r="DI89" i="1"/>
  <c r="DF101" i="1"/>
  <c r="DI101" i="1"/>
  <c r="DF111" i="1"/>
  <c r="DI111" i="1"/>
  <c r="DF19" i="1"/>
  <c r="DI19" i="1"/>
  <c r="DF30" i="1"/>
  <c r="DI30" i="1"/>
  <c r="DF48" i="1"/>
  <c r="DI48" i="1"/>
  <c r="DF58" i="1"/>
  <c r="DI58" i="1"/>
  <c r="DI72" i="1"/>
  <c r="DF81" i="1"/>
  <c r="DI81" i="1"/>
  <c r="DF90" i="1"/>
  <c r="DI90" i="1"/>
  <c r="DF102" i="1"/>
  <c r="DI102" i="1"/>
  <c r="DF112" i="1"/>
  <c r="DI112" i="1"/>
  <c r="DF20" i="1"/>
  <c r="DI20" i="1"/>
  <c r="DF33" i="1"/>
  <c r="DI33" i="1"/>
  <c r="DF50" i="1"/>
  <c r="DI50" i="1"/>
  <c r="DF59" i="1"/>
  <c r="DI59" i="1"/>
  <c r="DF73" i="1"/>
  <c r="DI73" i="1"/>
  <c r="DF83" i="1"/>
  <c r="DI83" i="1"/>
  <c r="DF91" i="1"/>
  <c r="DI91" i="1"/>
  <c r="DF103" i="1"/>
  <c r="DI103" i="1"/>
  <c r="DF114" i="1"/>
  <c r="DI114" i="1"/>
  <c r="DF21" i="1"/>
  <c r="DI21" i="1"/>
  <c r="DF38" i="1"/>
  <c r="DI38" i="1"/>
  <c r="DF51" i="1"/>
  <c r="DI51" i="1"/>
  <c r="DF60" i="1"/>
  <c r="DI60" i="1"/>
  <c r="DF74" i="1"/>
  <c r="DI74" i="1"/>
  <c r="DF84" i="1"/>
  <c r="DI84" i="1"/>
  <c r="DF92" i="1"/>
  <c r="DI92" i="1"/>
  <c r="DF105" i="1"/>
  <c r="DI105" i="1"/>
  <c r="DF115" i="1"/>
  <c r="DI115" i="1"/>
  <c r="DF23" i="1"/>
  <c r="DI23" i="1"/>
  <c r="DF39" i="1"/>
  <c r="DI39" i="1"/>
  <c r="DF52" i="1"/>
  <c r="DI52" i="1"/>
  <c r="DF61" i="1"/>
  <c r="DI61" i="1"/>
  <c r="DF75" i="1"/>
  <c r="DI75" i="1"/>
  <c r="DF85" i="1"/>
  <c r="DI85" i="1"/>
  <c r="DF94" i="1"/>
  <c r="DI94" i="1"/>
  <c r="DF106" i="1"/>
  <c r="DI106" i="1"/>
  <c r="DF118" i="1"/>
  <c r="DI118" i="1"/>
  <c r="DC55" i="1"/>
  <c r="DF55" i="1"/>
  <c r="CZ72" i="1"/>
  <c r="DF72" i="1"/>
  <c r="DC86" i="1"/>
  <c r="DF86" i="1"/>
  <c r="DF76" i="1"/>
  <c r="DF107" i="1"/>
  <c r="AI99" i="1"/>
  <c r="DF99" i="1"/>
  <c r="CT55" i="1"/>
  <c r="Z99" i="1"/>
  <c r="AC99" i="1"/>
  <c r="CT84" i="1"/>
  <c r="CZ84" i="1"/>
  <c r="CT64" i="1"/>
  <c r="CZ64" i="1"/>
  <c r="CT112" i="1"/>
  <c r="CZ112" i="1"/>
  <c r="CT107" i="1"/>
  <c r="CZ107" i="1"/>
  <c r="D120" i="1"/>
  <c r="N43" i="1"/>
  <c r="AC43" i="1"/>
  <c r="AX98" i="1"/>
  <c r="Q98" i="1"/>
  <c r="BM98" i="1"/>
  <c r="W98" i="1"/>
  <c r="W43" i="1"/>
  <c r="AC98" i="1"/>
  <c r="AO98" i="1"/>
  <c r="T98" i="1"/>
  <c r="AX36" i="1"/>
  <c r="CK36" i="1"/>
  <c r="AO68" i="1"/>
  <c r="CQ68" i="1"/>
  <c r="AF99" i="1"/>
  <c r="AL43" i="1"/>
  <c r="AO43" i="1"/>
  <c r="BA35" i="1"/>
  <c r="AX35" i="1"/>
  <c r="AU36" i="1"/>
  <c r="CQ70" i="1"/>
  <c r="Z43" i="1"/>
  <c r="AU35" i="1"/>
  <c r="BV36" i="1"/>
  <c r="N124" i="1"/>
  <c r="W68" i="1"/>
  <c r="AL35" i="1"/>
  <c r="BP130" i="1"/>
  <c r="AF37" i="1"/>
  <c r="T36" i="1"/>
  <c r="N12" i="1"/>
  <c r="W35" i="1"/>
  <c r="AF35" i="1"/>
  <c r="AR35" i="1"/>
  <c r="AX12" i="1"/>
  <c r="BS36" i="1"/>
  <c r="CB36" i="1"/>
  <c r="Q13" i="1"/>
  <c r="W13" i="1"/>
  <c r="Z12" i="1"/>
  <c r="AC35" i="1"/>
  <c r="AF12" i="1"/>
  <c r="AL13" i="1"/>
  <c r="AR12" i="1"/>
  <c r="AX11" i="1"/>
  <c r="BJ37" i="1"/>
  <c r="BS12" i="1"/>
  <c r="Q12" i="1"/>
  <c r="T12" i="1"/>
  <c r="W12" i="1"/>
  <c r="Z11" i="1"/>
  <c r="BJ36" i="1"/>
  <c r="CQ43" i="1"/>
  <c r="Q11" i="1"/>
  <c r="T131" i="1"/>
  <c r="W11" i="1"/>
  <c r="AL11" i="1"/>
  <c r="AO35" i="1"/>
  <c r="BD98" i="1"/>
  <c r="BG43" i="1"/>
  <c r="BJ35" i="1"/>
  <c r="BM36" i="1"/>
  <c r="BP12" i="1"/>
  <c r="BY36" i="1"/>
  <c r="CN36" i="1"/>
  <c r="CQ36" i="1"/>
  <c r="N36" i="1"/>
  <c r="AF36" i="1"/>
  <c r="AI36" i="1"/>
  <c r="AR36" i="1"/>
  <c r="AC36" i="1"/>
  <c r="AI12" i="1"/>
  <c r="AU12" i="1"/>
  <c r="T13" i="1"/>
  <c r="AU11" i="1"/>
  <c r="BY116" i="1"/>
  <c r="CH12" i="1"/>
  <c r="AF11" i="1"/>
  <c r="AL12" i="1"/>
  <c r="AO36" i="1"/>
  <c r="BG98" i="1"/>
  <c r="BM43" i="1"/>
  <c r="BP98" i="1"/>
  <c r="BY43" i="1"/>
  <c r="AL99" i="1"/>
  <c r="AO11" i="1"/>
  <c r="AU98" i="1"/>
  <c r="BA36" i="1"/>
  <c r="BD36" i="1"/>
  <c r="BG12" i="1"/>
  <c r="BM35" i="1"/>
  <c r="BP11" i="1"/>
  <c r="BV43" i="1"/>
  <c r="BY12" i="1"/>
  <c r="CE43" i="1"/>
  <c r="CK124" i="1"/>
  <c r="CN13" i="1"/>
  <c r="CB131" i="1"/>
  <c r="AO131" i="1"/>
  <c r="AI131" i="1"/>
  <c r="K131" i="1"/>
  <c r="CQ131" i="1"/>
  <c r="BY131" i="1"/>
  <c r="BV131" i="1"/>
  <c r="BG131" i="1"/>
  <c r="BA131" i="1"/>
  <c r="AU131" i="1"/>
  <c r="Z131" i="1"/>
  <c r="H131" i="1"/>
  <c r="I131" i="1" s="1"/>
  <c r="CQ123" i="1"/>
  <c r="BY123" i="1"/>
  <c r="BV123" i="1"/>
  <c r="AU123" i="1"/>
  <c r="Z123" i="1"/>
  <c r="CN123" i="1"/>
  <c r="BJ123" i="1"/>
  <c r="AC123" i="1"/>
  <c r="CN93" i="1"/>
  <c r="T93" i="1"/>
  <c r="AR93" i="1"/>
  <c r="AL123" i="1"/>
  <c r="BD93" i="1"/>
  <c r="CB123" i="1"/>
  <c r="CH131" i="1"/>
  <c r="Q123" i="1"/>
  <c r="AU68" i="1"/>
  <c r="BD68" i="1"/>
  <c r="BM68" i="1"/>
  <c r="CB93" i="1"/>
  <c r="CQ45" i="1"/>
  <c r="AF45" i="1"/>
  <c r="N45" i="1"/>
  <c r="BD45" i="1"/>
  <c r="Q99" i="1"/>
  <c r="T99" i="1"/>
  <c r="AC131" i="1"/>
  <c r="AI68" i="1"/>
  <c r="BM45" i="1"/>
  <c r="BY68" i="1"/>
  <c r="CE123" i="1"/>
  <c r="CH123" i="1"/>
  <c r="N131" i="1"/>
  <c r="Z77" i="1"/>
  <c r="AL93" i="1"/>
  <c r="BG77" i="1"/>
  <c r="BS131" i="1"/>
  <c r="BV68" i="1"/>
  <c r="Q68" i="1"/>
  <c r="W131" i="1"/>
  <c r="AF131" i="1"/>
  <c r="AL68" i="1"/>
  <c r="BA123" i="1"/>
  <c r="BP123" i="1"/>
  <c r="AC68" i="1"/>
  <c r="BJ68" i="1"/>
  <c r="BM131" i="1"/>
  <c r="CQ93" i="1"/>
  <c r="AI123" i="1"/>
  <c r="AR131" i="1"/>
  <c r="BG123" i="1"/>
  <c r="CK123" i="1"/>
  <c r="CN68" i="1"/>
  <c r="CK68" i="1"/>
  <c r="CH68" i="1"/>
  <c r="AX68" i="1"/>
  <c r="AF68" i="1"/>
  <c r="N68" i="1"/>
  <c r="T123" i="1"/>
  <c r="AR123" i="1"/>
  <c r="AX131" i="1"/>
  <c r="CE131" i="1"/>
  <c r="CQ37" i="1"/>
  <c r="CK37" i="1"/>
  <c r="W37" i="1"/>
  <c r="Z93" i="1"/>
  <c r="AR68" i="1"/>
  <c r="BG93" i="1"/>
  <c r="BJ131" i="1"/>
  <c r="BP131" i="1"/>
  <c r="CB68" i="1"/>
  <c r="CQ77" i="1"/>
  <c r="BS77" i="1"/>
  <c r="BM77" i="1"/>
  <c r="AR77" i="1"/>
  <c r="AX123" i="1"/>
  <c r="CE68" i="1"/>
  <c r="T68" i="1"/>
  <c r="Z68" i="1"/>
  <c r="BD131" i="1"/>
  <c r="BG68" i="1"/>
  <c r="BS123" i="1"/>
  <c r="CB37" i="1"/>
  <c r="N123" i="1"/>
  <c r="W123" i="1"/>
  <c r="BG99" i="1"/>
  <c r="AX93" i="1"/>
  <c r="BA68" i="1"/>
  <c r="N99" i="1"/>
  <c r="W99" i="1"/>
  <c r="AC45" i="1"/>
  <c r="AF123" i="1"/>
  <c r="AO123" i="1"/>
  <c r="BD123" i="1"/>
  <c r="BJ45" i="1"/>
  <c r="BP68" i="1"/>
  <c r="CK131" i="1"/>
  <c r="CN131" i="1"/>
  <c r="Q36" i="1"/>
  <c r="Z36" i="1"/>
  <c r="AC12" i="1"/>
  <c r="BG36" i="1"/>
  <c r="BJ12" i="1"/>
  <c r="BP36" i="1"/>
  <c r="CB12" i="1"/>
  <c r="CE36" i="1"/>
  <c r="CQ12" i="1"/>
  <c r="Q35" i="1"/>
  <c r="W36" i="1"/>
  <c r="Z35" i="1"/>
  <c r="AC11" i="1"/>
  <c r="AL36" i="1"/>
  <c r="AO12" i="1"/>
  <c r="AX43" i="1"/>
  <c r="BA130" i="1"/>
  <c r="BG35" i="1"/>
  <c r="BJ11" i="1"/>
  <c r="W10" i="1"/>
  <c r="AX22" i="1"/>
  <c r="BA125" i="1"/>
  <c r="T77" i="1"/>
  <c r="AC29" i="1"/>
  <c r="AL77" i="1"/>
  <c r="AX116" i="1"/>
  <c r="AX13" i="1"/>
  <c r="BA124" i="1"/>
  <c r="BG37" i="1"/>
  <c r="BS29" i="1"/>
  <c r="BV37" i="1"/>
  <c r="BY93" i="1"/>
  <c r="CE29" i="1"/>
  <c r="Z13" i="1"/>
  <c r="BD37" i="1"/>
  <c r="BP37" i="1"/>
  <c r="BS124" i="1"/>
  <c r="CB116" i="1"/>
  <c r="CH45" i="1"/>
  <c r="AR14" i="1"/>
  <c r="AU70" i="1"/>
  <c r="Q93" i="1"/>
  <c r="AO133" i="1"/>
  <c r="AO37" i="1"/>
  <c r="AR13" i="1"/>
  <c r="BA37" i="1"/>
  <c r="BM29" i="1"/>
  <c r="BV116" i="1"/>
  <c r="BY13" i="1"/>
  <c r="CH37" i="1"/>
  <c r="CK77" i="1"/>
  <c r="T70" i="1"/>
  <c r="Q70" i="1"/>
  <c r="T124" i="1"/>
  <c r="T45" i="1"/>
  <c r="Z29" i="1"/>
  <c r="AC125" i="1"/>
  <c r="AL29" i="1"/>
  <c r="AU45" i="1"/>
  <c r="BG13" i="1"/>
  <c r="BV93" i="1"/>
  <c r="CE124" i="1"/>
  <c r="BV125" i="1"/>
  <c r="Z124" i="1"/>
  <c r="AC93" i="1"/>
  <c r="AC22" i="1"/>
  <c r="AI116" i="1"/>
  <c r="AO93" i="1"/>
  <c r="BS14" i="1"/>
  <c r="BV124" i="1"/>
  <c r="BV29" i="1"/>
  <c r="BY77" i="1"/>
  <c r="AL133" i="1"/>
  <c r="N37" i="1"/>
  <c r="W116" i="1"/>
  <c r="W14" i="1"/>
  <c r="AC127" i="1"/>
  <c r="AC77" i="1"/>
  <c r="AC13" i="1"/>
  <c r="AF124" i="1"/>
  <c r="AO77" i="1"/>
  <c r="AR37" i="1"/>
  <c r="AX124" i="1"/>
  <c r="BD116" i="1"/>
  <c r="BD13" i="1"/>
  <c r="BM116" i="1"/>
  <c r="BP124" i="1"/>
  <c r="BP13" i="1"/>
  <c r="BS110" i="1"/>
  <c r="BS13" i="1"/>
  <c r="CB124" i="1"/>
  <c r="CE45" i="1"/>
  <c r="CK45" i="1"/>
  <c r="Q117" i="1"/>
  <c r="AL70" i="1"/>
  <c r="BG117" i="1"/>
  <c r="CE22" i="1"/>
  <c r="N77" i="1"/>
  <c r="Q116" i="1"/>
  <c r="Q29" i="1"/>
  <c r="AF77" i="1"/>
  <c r="AI45" i="1"/>
  <c r="AO116" i="1"/>
  <c r="AR125" i="1"/>
  <c r="AU125" i="1"/>
  <c r="AU37" i="1"/>
  <c r="BD77" i="1"/>
  <c r="BG116" i="1"/>
  <c r="BP133" i="1"/>
  <c r="BY29" i="1"/>
  <c r="CB29" i="1"/>
  <c r="CE93" i="1"/>
  <c r="CH93" i="1"/>
  <c r="CN116" i="1"/>
  <c r="T29" i="1"/>
  <c r="W117" i="1"/>
  <c r="Z125" i="1"/>
  <c r="Z45" i="1"/>
  <c r="AF133" i="1"/>
  <c r="AI37" i="1"/>
  <c r="AL124" i="1"/>
  <c r="AO13" i="1"/>
  <c r="AR124" i="1"/>
  <c r="AR29" i="1"/>
  <c r="AU124" i="1"/>
  <c r="AX37" i="1"/>
  <c r="BA45" i="1"/>
  <c r="BG29" i="1"/>
  <c r="BJ124" i="1"/>
  <c r="BP45" i="1"/>
  <c r="BY14" i="1"/>
  <c r="CB117" i="1"/>
  <c r="CE77" i="1"/>
  <c r="CH77" i="1"/>
  <c r="CK13" i="1"/>
  <c r="CN77" i="1"/>
  <c r="N134" i="1"/>
  <c r="AC95" i="1"/>
  <c r="Q31" i="1"/>
  <c r="BY70" i="1"/>
  <c r="CE14" i="1"/>
  <c r="N116" i="1"/>
  <c r="N13" i="1"/>
  <c r="Q77" i="1"/>
  <c r="Q22" i="1"/>
  <c r="T116" i="1"/>
  <c r="AC116" i="1"/>
  <c r="AF14" i="1"/>
  <c r="AI124" i="1"/>
  <c r="AI29" i="1"/>
  <c r="AL37" i="1"/>
  <c r="AR62" i="1"/>
  <c r="AU116" i="1"/>
  <c r="AX45" i="1"/>
  <c r="BD110" i="1"/>
  <c r="BJ117" i="1"/>
  <c r="BM124" i="1"/>
  <c r="BP117" i="1"/>
  <c r="BS45" i="1"/>
  <c r="CE13" i="1"/>
  <c r="CK116" i="1"/>
  <c r="CQ133" i="1"/>
  <c r="BS10" i="1"/>
  <c r="W70" i="1"/>
  <c r="Q124" i="1"/>
  <c r="W124" i="1"/>
  <c r="W45" i="1"/>
  <c r="Z116" i="1"/>
  <c r="Z37" i="1"/>
  <c r="AF93" i="1"/>
  <c r="AF13" i="1"/>
  <c r="AO95" i="1"/>
  <c r="AO29" i="1"/>
  <c r="AR45" i="1"/>
  <c r="AU13" i="1"/>
  <c r="AX125" i="1"/>
  <c r="BA77" i="1"/>
  <c r="BD29" i="1"/>
  <c r="BG45" i="1"/>
  <c r="BJ116" i="1"/>
  <c r="BM37" i="1"/>
  <c r="BP134" i="1"/>
  <c r="BP116" i="1"/>
  <c r="BP29" i="1"/>
  <c r="BV45" i="1"/>
  <c r="BY45" i="1"/>
  <c r="CB45" i="1"/>
  <c r="CE133" i="1"/>
  <c r="CE62" i="1"/>
  <c r="CH124" i="1"/>
  <c r="CH13" i="1"/>
  <c r="CK93" i="1"/>
  <c r="CN45" i="1"/>
  <c r="AI110" i="1"/>
  <c r="CB31" i="1"/>
  <c r="BJ134" i="1"/>
  <c r="N29" i="1"/>
  <c r="Q45" i="1"/>
  <c r="T37" i="1"/>
  <c r="W93" i="1"/>
  <c r="AC37" i="1"/>
  <c r="AF116" i="1"/>
  <c r="AI93" i="1"/>
  <c r="AI13" i="1"/>
  <c r="AL45" i="1"/>
  <c r="AO124" i="1"/>
  <c r="AO45" i="1"/>
  <c r="AU93" i="1"/>
  <c r="AX77" i="1"/>
  <c r="AX32" i="1"/>
  <c r="BA134" i="1"/>
  <c r="BA116" i="1"/>
  <c r="BA29" i="1"/>
  <c r="BD70" i="1"/>
  <c r="BG124" i="1"/>
  <c r="BG70" i="1"/>
  <c r="BG15" i="1"/>
  <c r="BJ133" i="1"/>
  <c r="BJ29" i="1"/>
  <c r="BM70" i="1"/>
  <c r="BM13" i="1"/>
  <c r="BP77" i="1"/>
  <c r="BS37" i="1"/>
  <c r="BV77" i="1"/>
  <c r="BV14" i="1"/>
  <c r="BY124" i="1"/>
  <c r="CB77" i="1"/>
  <c r="CB13" i="1"/>
  <c r="CE37" i="1"/>
  <c r="CH116" i="1"/>
  <c r="CH29" i="1"/>
  <c r="CN124" i="1"/>
  <c r="CN29" i="1"/>
  <c r="CQ29" i="1"/>
  <c r="AI31" i="1"/>
  <c r="Q62" i="1"/>
  <c r="BG125" i="1"/>
  <c r="BY125" i="1"/>
  <c r="N93" i="1"/>
  <c r="N16" i="1"/>
  <c r="Q37" i="1"/>
  <c r="W77" i="1"/>
  <c r="W29" i="1"/>
  <c r="Z95" i="1"/>
  <c r="AF29" i="1"/>
  <c r="AI77" i="1"/>
  <c r="AL116" i="1"/>
  <c r="AR116" i="1"/>
  <c r="AU77" i="1"/>
  <c r="AU29" i="1"/>
  <c r="AX70" i="1"/>
  <c r="AX29" i="1"/>
  <c r="BA133" i="1"/>
  <c r="BA93" i="1"/>
  <c r="BA13" i="1"/>
  <c r="BD124" i="1"/>
  <c r="BG14" i="1"/>
  <c r="BJ93" i="1"/>
  <c r="BJ13" i="1"/>
  <c r="BM125" i="1"/>
  <c r="BS116" i="1"/>
  <c r="BV70" i="1"/>
  <c r="BV13" i="1"/>
  <c r="BY37" i="1"/>
  <c r="CE116" i="1"/>
  <c r="CH110" i="1"/>
  <c r="CH22" i="1"/>
  <c r="CK117" i="1"/>
  <c r="CN22" i="1"/>
  <c r="CE16" i="1"/>
  <c r="Q134" i="1"/>
  <c r="AX10" i="1"/>
  <c r="BD25" i="1"/>
  <c r="BG134" i="1"/>
  <c r="BM15" i="1"/>
  <c r="CN110" i="1"/>
  <c r="Q14" i="1"/>
  <c r="Q133" i="1"/>
  <c r="AF62" i="1"/>
  <c r="AL10" i="1"/>
  <c r="AL117" i="1"/>
  <c r="AX117" i="1"/>
  <c r="AX14" i="1"/>
  <c r="BD15" i="1"/>
  <c r="BG133" i="1"/>
  <c r="BM14" i="1"/>
  <c r="BS62" i="1"/>
  <c r="BY95" i="1"/>
  <c r="CB133" i="1"/>
  <c r="CN14" i="1"/>
  <c r="CQ125" i="1"/>
  <c r="Q15" i="1"/>
  <c r="AX15" i="1"/>
  <c r="BP31" i="1"/>
  <c r="CN15" i="1"/>
  <c r="W133" i="1"/>
  <c r="AI41" i="1"/>
  <c r="AU95" i="1"/>
  <c r="BD62" i="1"/>
  <c r="BD14" i="1"/>
  <c r="BM10" i="1"/>
  <c r="BY133" i="1"/>
  <c r="CK62" i="1"/>
  <c r="N110" i="1"/>
  <c r="AF117" i="1"/>
  <c r="AO119" i="1"/>
  <c r="BA62" i="1"/>
  <c r="BM117" i="1"/>
  <c r="BV31" i="1"/>
  <c r="BY22" i="1"/>
  <c r="CE10" i="1"/>
  <c r="CE117" i="1"/>
  <c r="BV10" i="1"/>
  <c r="AI10" i="1"/>
  <c r="BJ15" i="1"/>
  <c r="BM134" i="1"/>
  <c r="H133" i="1"/>
  <c r="I133" i="1" s="1"/>
  <c r="N31" i="1"/>
  <c r="T117" i="1"/>
  <c r="T62" i="1"/>
  <c r="W95" i="1"/>
  <c r="Z117" i="1"/>
  <c r="Z70" i="1"/>
  <c r="AC117" i="1"/>
  <c r="AC62" i="1"/>
  <c r="AC14" i="1"/>
  <c r="AF32" i="1"/>
  <c r="AI14" i="1"/>
  <c r="AO10" i="1"/>
  <c r="AO125" i="1"/>
  <c r="AU119" i="1"/>
  <c r="AU14" i="1"/>
  <c r="AX133" i="1"/>
  <c r="BD96" i="1"/>
  <c r="BJ70" i="1"/>
  <c r="BJ14" i="1"/>
  <c r="BM133" i="1"/>
  <c r="BP70" i="1"/>
  <c r="BP16" i="1"/>
  <c r="BV117" i="1"/>
  <c r="BY10" i="1"/>
  <c r="BY62" i="1"/>
  <c r="CB70" i="1"/>
  <c r="CB14" i="1"/>
  <c r="CH127" i="1"/>
  <c r="CK110" i="1"/>
  <c r="CN62" i="1"/>
  <c r="Z31" i="1"/>
  <c r="AU15" i="1"/>
  <c r="AX134" i="1"/>
  <c r="CE95" i="1"/>
  <c r="N125" i="1"/>
  <c r="T133" i="1"/>
  <c r="T57" i="1"/>
  <c r="W125" i="1"/>
  <c r="Z133" i="1"/>
  <c r="Z14" i="1"/>
  <c r="AF31" i="1"/>
  <c r="AI119" i="1"/>
  <c r="AI62" i="1"/>
  <c r="AL125" i="1"/>
  <c r="AO22" i="1"/>
  <c r="AR31" i="1"/>
  <c r="AU133" i="1"/>
  <c r="AU117" i="1"/>
  <c r="BA22" i="1"/>
  <c r="BJ10" i="1"/>
  <c r="BP10" i="1"/>
  <c r="BV133" i="1"/>
  <c r="BY117" i="1"/>
  <c r="CB125" i="1"/>
  <c r="CE31" i="1"/>
  <c r="CH10" i="1"/>
  <c r="CH125" i="1"/>
  <c r="CH62" i="1"/>
  <c r="CK96" i="1"/>
  <c r="CN125" i="1"/>
  <c r="CQ22" i="1"/>
  <c r="Z10" i="1"/>
  <c r="T10" i="1"/>
  <c r="AU10" i="1"/>
  <c r="N95" i="1"/>
  <c r="BA110" i="1"/>
  <c r="BS96" i="1"/>
  <c r="N70" i="1"/>
  <c r="N17" i="1"/>
  <c r="AI133" i="1"/>
  <c r="AI117" i="1"/>
  <c r="AL31" i="1"/>
  <c r="AO62" i="1"/>
  <c r="AO14" i="1"/>
  <c r="BA127" i="1"/>
  <c r="BD125" i="1"/>
  <c r="BD31" i="1"/>
  <c r="BG10" i="1"/>
  <c r="BS125" i="1"/>
  <c r="BS70" i="1"/>
  <c r="BS22" i="1"/>
  <c r="CB10" i="1"/>
  <c r="CE125" i="1"/>
  <c r="CE70" i="1"/>
  <c r="CK22" i="1"/>
  <c r="CE134" i="1"/>
  <c r="BY134" i="1"/>
  <c r="AU134" i="1"/>
  <c r="AL134" i="1"/>
  <c r="W134" i="1"/>
  <c r="CN134" i="1"/>
  <c r="BS134" i="1"/>
  <c r="BD134" i="1"/>
  <c r="CH134" i="1"/>
  <c r="CB134" i="1"/>
  <c r="BV134" i="1"/>
  <c r="Z134" i="1"/>
  <c r="CK134" i="1"/>
  <c r="CK95" i="1"/>
  <c r="BA95" i="1"/>
  <c r="AR95" i="1"/>
  <c r="AI95" i="1"/>
  <c r="AF95" i="1"/>
  <c r="BP95" i="1"/>
  <c r="T95" i="1"/>
  <c r="Q95" i="1"/>
  <c r="BJ95" i="1"/>
  <c r="CN95" i="1"/>
  <c r="CH95" i="1"/>
  <c r="CQ95" i="1"/>
  <c r="W31" i="1"/>
  <c r="AF15" i="1"/>
  <c r="AI134" i="1"/>
  <c r="AR110" i="1"/>
  <c r="BY31" i="1"/>
  <c r="T134" i="1"/>
  <c r="W110" i="1"/>
  <c r="W15" i="1"/>
  <c r="AC134" i="1"/>
  <c r="AF134" i="1"/>
  <c r="AR134" i="1"/>
  <c r="AU31" i="1"/>
  <c r="BD95" i="1"/>
  <c r="AR34" i="1"/>
  <c r="AF34" i="1"/>
  <c r="CH18" i="1"/>
  <c r="N18" i="1"/>
  <c r="BM110" i="1"/>
  <c r="BG110" i="1"/>
  <c r="AX110" i="1"/>
  <c r="AC110" i="1"/>
  <c r="CB110" i="1"/>
  <c r="BV110" i="1"/>
  <c r="Z110" i="1"/>
  <c r="BP110" i="1"/>
  <c r="BJ110" i="1"/>
  <c r="AU110" i="1"/>
  <c r="T110" i="1"/>
  <c r="Q110" i="1"/>
  <c r="CE110" i="1"/>
  <c r="BY110" i="1"/>
  <c r="CH31" i="1"/>
  <c r="BM31" i="1"/>
  <c r="BG31" i="1"/>
  <c r="CN31" i="1"/>
  <c r="AX31" i="1"/>
  <c r="AO31" i="1"/>
  <c r="AC31" i="1"/>
  <c r="CQ31" i="1"/>
  <c r="CK31" i="1"/>
  <c r="BA31" i="1"/>
  <c r="CB15" i="1"/>
  <c r="BV15" i="1"/>
  <c r="AR15" i="1"/>
  <c r="AI15" i="1"/>
  <c r="T15" i="1"/>
  <c r="BP15" i="1"/>
  <c r="CQ15" i="1"/>
  <c r="CK15" i="1"/>
  <c r="BA15" i="1"/>
  <c r="BY15" i="1"/>
  <c r="BS15" i="1"/>
  <c r="CH15" i="1"/>
  <c r="K134" i="1"/>
  <c r="AL110" i="1"/>
  <c r="AL15" i="1"/>
  <c r="AO134" i="1"/>
  <c r="AX95" i="1"/>
  <c r="BM95" i="1"/>
  <c r="T31" i="1"/>
  <c r="Z15" i="1"/>
  <c r="BS95" i="1"/>
  <c r="N15" i="1"/>
  <c r="AC15" i="1"/>
  <c r="AF110" i="1"/>
  <c r="AL95" i="1"/>
  <c r="AO110" i="1"/>
  <c r="BG95" i="1"/>
  <c r="BS31" i="1"/>
  <c r="CB95" i="1"/>
  <c r="CE15" i="1"/>
  <c r="CQ134" i="1"/>
  <c r="CB130" i="1"/>
  <c r="BV130" i="1"/>
  <c r="Z130" i="1"/>
  <c r="CK130" i="1"/>
  <c r="AR130" i="1"/>
  <c r="AC130" i="1"/>
  <c r="N130" i="1"/>
  <c r="K130" i="1"/>
  <c r="CQ130" i="1"/>
  <c r="CE130" i="1"/>
  <c r="BY130" i="1"/>
  <c r="AU130" i="1"/>
  <c r="AL130" i="1"/>
  <c r="W130" i="1"/>
  <c r="CN130" i="1"/>
  <c r="BS130" i="1"/>
  <c r="CQ98" i="1"/>
  <c r="CB98" i="1"/>
  <c r="BV98" i="1"/>
  <c r="N98" i="1"/>
  <c r="BA98" i="1"/>
  <c r="AR98" i="1"/>
  <c r="AI98" i="1"/>
  <c r="AF98" i="1"/>
  <c r="CK98" i="1"/>
  <c r="CE98" i="1"/>
  <c r="BY98" i="1"/>
  <c r="CN98" i="1"/>
  <c r="CH98" i="1"/>
  <c r="BS98" i="1"/>
  <c r="CK43" i="1"/>
  <c r="BA43" i="1"/>
  <c r="AR43" i="1"/>
  <c r="AI43" i="1"/>
  <c r="AF43" i="1"/>
  <c r="BJ43" i="1"/>
  <c r="Q43" i="1"/>
  <c r="BP43" i="1"/>
  <c r="CH43" i="1"/>
  <c r="CN43" i="1"/>
  <c r="CE35" i="1"/>
  <c r="BY35" i="1"/>
  <c r="BS35" i="1"/>
  <c r="BD35" i="1"/>
  <c r="CH35" i="1"/>
  <c r="CN35" i="1"/>
  <c r="CB35" i="1"/>
  <c r="BV35" i="1"/>
  <c r="AI35" i="1"/>
  <c r="T35" i="1"/>
  <c r="N35" i="1"/>
  <c r="CQ35" i="1"/>
  <c r="CK35" i="1"/>
  <c r="BY11" i="1"/>
  <c r="BS11" i="1"/>
  <c r="CN11" i="1"/>
  <c r="CH11" i="1"/>
  <c r="N11" i="1"/>
  <c r="CB11" i="1"/>
  <c r="BV11" i="1"/>
  <c r="AR11" i="1"/>
  <c r="AI11" i="1"/>
  <c r="T11" i="1"/>
  <c r="CK11" i="1"/>
  <c r="K133" i="1"/>
  <c r="N133" i="1"/>
  <c r="N117" i="1"/>
  <c r="N14" i="1"/>
  <c r="W62" i="1"/>
  <c r="W22" i="1"/>
  <c r="AC133" i="1"/>
  <c r="AF70" i="1"/>
  <c r="AI70" i="1"/>
  <c r="AL62" i="1"/>
  <c r="AL22" i="1"/>
  <c r="AR133" i="1"/>
  <c r="AR117" i="1"/>
  <c r="AR70" i="1"/>
  <c r="AU62" i="1"/>
  <c r="AU22" i="1"/>
  <c r="BA117" i="1"/>
  <c r="BA70" i="1"/>
  <c r="BD10" i="1"/>
  <c r="BD22" i="1"/>
  <c r="BJ62" i="1"/>
  <c r="BJ22" i="1"/>
  <c r="BP62" i="1"/>
  <c r="BP22" i="1"/>
  <c r="CH14" i="1"/>
  <c r="CK133" i="1"/>
  <c r="CK70" i="1"/>
  <c r="CN10" i="1"/>
  <c r="N62" i="1"/>
  <c r="N22" i="1"/>
  <c r="Q125" i="1"/>
  <c r="T125" i="1"/>
  <c r="T49" i="1"/>
  <c r="T22" i="1"/>
  <c r="AC10" i="1"/>
  <c r="AC70" i="1"/>
  <c r="AF10" i="1"/>
  <c r="AI125" i="1"/>
  <c r="AI22" i="1"/>
  <c r="AO117" i="1"/>
  <c r="AO70" i="1"/>
  <c r="AR22" i="1"/>
  <c r="BA10" i="1"/>
  <c r="BJ125" i="1"/>
  <c r="BP125" i="1"/>
  <c r="BP14" i="1"/>
  <c r="BV62" i="1"/>
  <c r="BV22" i="1"/>
  <c r="CB62" i="1"/>
  <c r="CB22" i="1"/>
  <c r="CH133" i="1"/>
  <c r="CN70" i="1"/>
  <c r="N10" i="1"/>
  <c r="Q10" i="1"/>
  <c r="Z62" i="1"/>
  <c r="Z22" i="1"/>
  <c r="AC128" i="1"/>
  <c r="AF125" i="1"/>
  <c r="AF22" i="1"/>
  <c r="AR10" i="1"/>
  <c r="AX62" i="1"/>
  <c r="BA14" i="1"/>
  <c r="BD133" i="1"/>
  <c r="BD117" i="1"/>
  <c r="BG62" i="1"/>
  <c r="BG22" i="1"/>
  <c r="BM62" i="1"/>
  <c r="BS133" i="1"/>
  <c r="BS117" i="1"/>
  <c r="CH117" i="1"/>
  <c r="CK14" i="1"/>
  <c r="CN117" i="1"/>
  <c r="W96" i="1"/>
  <c r="W65" i="1"/>
  <c r="AC25" i="1"/>
  <c r="AI127" i="1"/>
  <c r="AO127" i="1"/>
  <c r="BS41" i="1"/>
  <c r="BY113" i="1"/>
  <c r="CK119" i="1"/>
  <c r="CQ127" i="1"/>
  <c r="CQ65" i="1"/>
  <c r="W119" i="1"/>
  <c r="AC96" i="1"/>
  <c r="AL49" i="1"/>
  <c r="AU127" i="1"/>
  <c r="BD119" i="1"/>
  <c r="BM96" i="1"/>
  <c r="BS119" i="1"/>
  <c r="BY127" i="1"/>
  <c r="CB96" i="1"/>
  <c r="CN49" i="1"/>
  <c r="AO96" i="1"/>
  <c r="AU65" i="1"/>
  <c r="BA82" i="1"/>
  <c r="BJ127" i="1"/>
  <c r="BJ17" i="1"/>
  <c r="BY16" i="1"/>
  <c r="W66" i="1"/>
  <c r="CQ128" i="1"/>
  <c r="N113" i="1"/>
  <c r="Q127" i="1"/>
  <c r="Q65" i="1"/>
  <c r="AC119" i="1"/>
  <c r="AI96" i="1"/>
  <c r="AU96" i="1"/>
  <c r="BG49" i="1"/>
  <c r="CB41" i="1"/>
  <c r="W127" i="1"/>
  <c r="BM119" i="1"/>
  <c r="BS127" i="1"/>
  <c r="CB119" i="1"/>
  <c r="CH65" i="1"/>
  <c r="BS121" i="1"/>
  <c r="AU121" i="1"/>
  <c r="AO121" i="1"/>
  <c r="AI121" i="1"/>
  <c r="AC121" i="1"/>
  <c r="W121" i="1"/>
  <c r="CQ121" i="1"/>
  <c r="CH121" i="1"/>
  <c r="BJ121" i="1"/>
  <c r="BY121" i="1"/>
  <c r="BA121" i="1"/>
  <c r="Q121" i="1"/>
  <c r="CN121" i="1"/>
  <c r="BP121" i="1"/>
  <c r="T121" i="1"/>
  <c r="N121" i="1"/>
  <c r="CE121" i="1"/>
  <c r="BG121" i="1"/>
  <c r="AR121" i="1"/>
  <c r="AL121" i="1"/>
  <c r="AF121" i="1"/>
  <c r="BV34" i="1"/>
  <c r="AX34" i="1"/>
  <c r="CK34" i="1"/>
  <c r="BM34" i="1"/>
  <c r="CB34" i="1"/>
  <c r="BD34" i="1"/>
  <c r="AI34" i="1"/>
  <c r="AC34" i="1"/>
  <c r="W34" i="1"/>
  <c r="BS34" i="1"/>
  <c r="AU34" i="1"/>
  <c r="AO34" i="1"/>
  <c r="CQ34" i="1"/>
  <c r="CH34" i="1"/>
  <c r="BJ34" i="1"/>
  <c r="Q34" i="1"/>
  <c r="AC42" i="1"/>
  <c r="BD129" i="1"/>
  <c r="CK104" i="1"/>
  <c r="BM104" i="1"/>
  <c r="CB104" i="1"/>
  <c r="BD104" i="1"/>
  <c r="CN104" i="1"/>
  <c r="BS104" i="1"/>
  <c r="AU104" i="1"/>
  <c r="AO104" i="1"/>
  <c r="AI104" i="1"/>
  <c r="AC104" i="1"/>
  <c r="W104" i="1"/>
  <c r="CQ104" i="1"/>
  <c r="CH104" i="1"/>
  <c r="BJ104" i="1"/>
  <c r="BY104" i="1"/>
  <c r="BA104" i="1"/>
  <c r="Q104" i="1"/>
  <c r="CE57" i="1"/>
  <c r="BG57" i="1"/>
  <c r="AR57" i="1"/>
  <c r="Z57" i="1"/>
  <c r="BV57" i="1"/>
  <c r="AX57" i="1"/>
  <c r="CQ57" i="1"/>
  <c r="CK57" i="1"/>
  <c r="BM57" i="1"/>
  <c r="CB57" i="1"/>
  <c r="BD57" i="1"/>
  <c r="AI57" i="1"/>
  <c r="AC57" i="1"/>
  <c r="W57" i="1"/>
  <c r="BS57" i="1"/>
  <c r="AU57" i="1"/>
  <c r="AO57" i="1"/>
  <c r="CQ25" i="1"/>
  <c r="CH25" i="1"/>
  <c r="BJ25" i="1"/>
  <c r="Q25" i="1"/>
  <c r="BY25" i="1"/>
  <c r="BA25" i="1"/>
  <c r="T25" i="1"/>
  <c r="N25" i="1"/>
  <c r="CK25" i="1"/>
  <c r="CN25" i="1"/>
  <c r="BP25" i="1"/>
  <c r="AL25" i="1"/>
  <c r="AF25" i="1"/>
  <c r="CE25" i="1"/>
  <c r="BG25" i="1"/>
  <c r="AR25" i="1"/>
  <c r="Z25" i="1"/>
  <c r="BV25" i="1"/>
  <c r="AX25" i="1"/>
  <c r="N104" i="1"/>
  <c r="Q57" i="1"/>
  <c r="Z34" i="1"/>
  <c r="AF49" i="1"/>
  <c r="AI66" i="1"/>
  <c r="BD42" i="1"/>
  <c r="CB66" i="1"/>
  <c r="CN17" i="1"/>
  <c r="CK32" i="1"/>
  <c r="BM32" i="1"/>
  <c r="CB32" i="1"/>
  <c r="BD32" i="1"/>
  <c r="AI32" i="1"/>
  <c r="AC32" i="1"/>
  <c r="W32" i="1"/>
  <c r="CN32" i="1"/>
  <c r="BS32" i="1"/>
  <c r="AU32" i="1"/>
  <c r="AO32" i="1"/>
  <c r="CQ32" i="1"/>
  <c r="CH32" i="1"/>
  <c r="BJ32" i="1"/>
  <c r="Q32" i="1"/>
  <c r="BY32" i="1"/>
  <c r="BA32" i="1"/>
  <c r="T32" i="1"/>
  <c r="N32" i="1"/>
  <c r="Q18" i="1"/>
  <c r="AF82" i="1"/>
  <c r="AO41" i="1"/>
  <c r="BA113" i="1"/>
  <c r="BA16" i="1"/>
  <c r="BP104" i="1"/>
  <c r="CH57" i="1"/>
  <c r="CK129" i="1"/>
  <c r="CN16" i="1"/>
  <c r="CQ18" i="1"/>
  <c r="N34" i="1"/>
  <c r="Q17" i="1"/>
  <c r="T17" i="1"/>
  <c r="W128" i="1"/>
  <c r="W25" i="1"/>
  <c r="Z49" i="1"/>
  <c r="AC66" i="1"/>
  <c r="AL104" i="1"/>
  <c r="AU129" i="1"/>
  <c r="AU18" i="1"/>
  <c r="BM25" i="1"/>
  <c r="BP34" i="1"/>
  <c r="BS66" i="1"/>
  <c r="BY49" i="1"/>
  <c r="CB121" i="1"/>
  <c r="CE104" i="1"/>
  <c r="CE32" i="1"/>
  <c r="CH82" i="1"/>
  <c r="CE113" i="1"/>
  <c r="BG113" i="1"/>
  <c r="AR113" i="1"/>
  <c r="AL113" i="1"/>
  <c r="AF113" i="1"/>
  <c r="BV113" i="1"/>
  <c r="AX113" i="1"/>
  <c r="Z113" i="1"/>
  <c r="CQ113" i="1"/>
  <c r="CK113" i="1"/>
  <c r="BM113" i="1"/>
  <c r="CB113" i="1"/>
  <c r="BD113" i="1"/>
  <c r="BS113" i="1"/>
  <c r="AU113" i="1"/>
  <c r="AO113" i="1"/>
  <c r="AI113" i="1"/>
  <c r="AC113" i="1"/>
  <c r="W113" i="1"/>
  <c r="CN18" i="1"/>
  <c r="BP18" i="1"/>
  <c r="AL18" i="1"/>
  <c r="AF18" i="1"/>
  <c r="CE18" i="1"/>
  <c r="BG18" i="1"/>
  <c r="AR18" i="1"/>
  <c r="Z18" i="1"/>
  <c r="BV18" i="1"/>
  <c r="AX18" i="1"/>
  <c r="CK18" i="1"/>
  <c r="BM18" i="1"/>
  <c r="CB18" i="1"/>
  <c r="BD18" i="1"/>
  <c r="AI18" i="1"/>
  <c r="AC18" i="1"/>
  <c r="W18" i="1"/>
  <c r="AL82" i="1"/>
  <c r="BA18" i="1"/>
  <c r="BM66" i="1"/>
  <c r="BP17" i="1"/>
  <c r="CN82" i="1"/>
  <c r="BY128" i="1"/>
  <c r="BA128" i="1"/>
  <c r="Q128" i="1"/>
  <c r="N128" i="1"/>
  <c r="CN128" i="1"/>
  <c r="BP128" i="1"/>
  <c r="T128" i="1"/>
  <c r="CE128" i="1"/>
  <c r="BG128" i="1"/>
  <c r="AR128" i="1"/>
  <c r="AL128" i="1"/>
  <c r="AF128" i="1"/>
  <c r="BV128" i="1"/>
  <c r="AX128" i="1"/>
  <c r="Z128" i="1"/>
  <c r="CK128" i="1"/>
  <c r="BM128" i="1"/>
  <c r="BY65" i="1"/>
  <c r="BA65" i="1"/>
  <c r="T65" i="1"/>
  <c r="N65" i="1"/>
  <c r="CN65" i="1"/>
  <c r="BP65" i="1"/>
  <c r="AL65" i="1"/>
  <c r="AF65" i="1"/>
  <c r="CE65" i="1"/>
  <c r="BG65" i="1"/>
  <c r="AR65" i="1"/>
  <c r="Z65" i="1"/>
  <c r="BV65" i="1"/>
  <c r="AX65" i="1"/>
  <c r="CK65" i="1"/>
  <c r="BM65" i="1"/>
  <c r="CQ41" i="1"/>
  <c r="CH41" i="1"/>
  <c r="BJ41" i="1"/>
  <c r="Q41" i="1"/>
  <c r="BY41" i="1"/>
  <c r="BA41" i="1"/>
  <c r="T41" i="1"/>
  <c r="N41" i="1"/>
  <c r="CK41" i="1"/>
  <c r="CN41" i="1"/>
  <c r="BP41" i="1"/>
  <c r="AL41" i="1"/>
  <c r="AF41" i="1"/>
  <c r="CE41" i="1"/>
  <c r="BG41" i="1"/>
  <c r="AR41" i="1"/>
  <c r="Z41" i="1"/>
  <c r="BV41" i="1"/>
  <c r="AX41" i="1"/>
  <c r="AC41" i="1"/>
  <c r="AR49" i="1"/>
  <c r="AU25" i="1"/>
  <c r="BD128" i="1"/>
  <c r="BJ113" i="1"/>
  <c r="BS128" i="1"/>
  <c r="CK42" i="1"/>
  <c r="BV16" i="1"/>
  <c r="AX16" i="1"/>
  <c r="CK16" i="1"/>
  <c r="BM16" i="1"/>
  <c r="CB16" i="1"/>
  <c r="BD16" i="1"/>
  <c r="AI16" i="1"/>
  <c r="AC16" i="1"/>
  <c r="W16" i="1"/>
  <c r="BS16" i="1"/>
  <c r="AU16" i="1"/>
  <c r="AO16" i="1"/>
  <c r="CQ16" i="1"/>
  <c r="CH16" i="1"/>
  <c r="BJ16" i="1"/>
  <c r="Q16" i="1"/>
  <c r="T113" i="1"/>
  <c r="W129" i="1"/>
  <c r="AO18" i="1"/>
  <c r="BD41" i="1"/>
  <c r="BG16" i="1"/>
  <c r="BV121" i="1"/>
  <c r="BY57" i="1"/>
  <c r="CB65" i="1"/>
  <c r="N57" i="1"/>
  <c r="Q113" i="1"/>
  <c r="T104" i="1"/>
  <c r="T16" i="1"/>
  <c r="W42" i="1"/>
  <c r="AC65" i="1"/>
  <c r="AF17" i="1"/>
  <c r="AR16" i="1"/>
  <c r="AU128" i="1"/>
  <c r="BA34" i="1"/>
  <c r="BM42" i="1"/>
  <c r="BP57" i="1"/>
  <c r="BP32" i="1"/>
  <c r="BS65" i="1"/>
  <c r="CH17" i="1"/>
  <c r="CQ129" i="1"/>
  <c r="CH129" i="1"/>
  <c r="BJ129" i="1"/>
  <c r="BY129" i="1"/>
  <c r="BA129" i="1"/>
  <c r="Q129" i="1"/>
  <c r="CN129" i="1"/>
  <c r="BP129" i="1"/>
  <c r="T129" i="1"/>
  <c r="N129" i="1"/>
  <c r="CE129" i="1"/>
  <c r="BG129" i="1"/>
  <c r="AR129" i="1"/>
  <c r="AL129" i="1"/>
  <c r="AF129" i="1"/>
  <c r="BV129" i="1"/>
  <c r="AX129" i="1"/>
  <c r="Z129" i="1"/>
  <c r="CE82" i="1"/>
  <c r="BG82" i="1"/>
  <c r="AR82" i="1"/>
  <c r="Z82" i="1"/>
  <c r="BV82" i="1"/>
  <c r="AX82" i="1"/>
  <c r="CQ82" i="1"/>
  <c r="CK82" i="1"/>
  <c r="BM82" i="1"/>
  <c r="CB82" i="1"/>
  <c r="BD82" i="1"/>
  <c r="AI82" i="1"/>
  <c r="AC82" i="1"/>
  <c r="W82" i="1"/>
  <c r="BS82" i="1"/>
  <c r="AU82" i="1"/>
  <c r="AO82" i="1"/>
  <c r="CQ66" i="1"/>
  <c r="CH66" i="1"/>
  <c r="BJ66" i="1"/>
  <c r="Q66" i="1"/>
  <c r="BY66" i="1"/>
  <c r="BA66" i="1"/>
  <c r="T66" i="1"/>
  <c r="N66" i="1"/>
  <c r="CN66" i="1"/>
  <c r="BP66" i="1"/>
  <c r="AL66" i="1"/>
  <c r="AF66" i="1"/>
  <c r="CE66" i="1"/>
  <c r="BG66" i="1"/>
  <c r="AR66" i="1"/>
  <c r="Z66" i="1"/>
  <c r="BV66" i="1"/>
  <c r="AX66" i="1"/>
  <c r="BP113" i="1"/>
  <c r="BS129" i="1"/>
  <c r="BS18" i="1"/>
  <c r="BV49" i="1"/>
  <c r="AX49" i="1"/>
  <c r="CK49" i="1"/>
  <c r="BM49" i="1"/>
  <c r="CB49" i="1"/>
  <c r="BD49" i="1"/>
  <c r="AI49" i="1"/>
  <c r="AC49" i="1"/>
  <c r="W49" i="1"/>
  <c r="BS49" i="1"/>
  <c r="AU49" i="1"/>
  <c r="AO49" i="1"/>
  <c r="CQ49" i="1"/>
  <c r="CH49" i="1"/>
  <c r="BJ49" i="1"/>
  <c r="Q49" i="1"/>
  <c r="T82" i="1"/>
  <c r="Z104" i="1"/>
  <c r="AX104" i="1"/>
  <c r="BA17" i="1"/>
  <c r="BJ128" i="1"/>
  <c r="BY34" i="1"/>
  <c r="Q82" i="1"/>
  <c r="T18" i="1"/>
  <c r="Z32" i="1"/>
  <c r="AI65" i="1"/>
  <c r="AO129" i="1"/>
  <c r="BM121" i="1"/>
  <c r="BV42" i="1"/>
  <c r="CE34" i="1"/>
  <c r="N49" i="1"/>
  <c r="W41" i="1"/>
  <c r="Z121" i="1"/>
  <c r="AF104" i="1"/>
  <c r="AF16" i="1"/>
  <c r="AI128" i="1"/>
  <c r="AI25" i="1"/>
  <c r="AL34" i="1"/>
  <c r="AO66" i="1"/>
  <c r="AX121" i="1"/>
  <c r="BA57" i="1"/>
  <c r="BD65" i="1"/>
  <c r="BG34" i="1"/>
  <c r="BJ57" i="1"/>
  <c r="BM129" i="1"/>
  <c r="BM41" i="1"/>
  <c r="BP49" i="1"/>
  <c r="BY18" i="1"/>
  <c r="CB129" i="1"/>
  <c r="CB25" i="1"/>
  <c r="CK66" i="1"/>
  <c r="CN34" i="1"/>
  <c r="BS42" i="1"/>
  <c r="AU42" i="1"/>
  <c r="AO42" i="1"/>
  <c r="CQ42" i="1"/>
  <c r="CH42" i="1"/>
  <c r="BJ42" i="1"/>
  <c r="Q42" i="1"/>
  <c r="BY42" i="1"/>
  <c r="BA42" i="1"/>
  <c r="T42" i="1"/>
  <c r="N42" i="1"/>
  <c r="CN42" i="1"/>
  <c r="BP42" i="1"/>
  <c r="AL42" i="1"/>
  <c r="AF42" i="1"/>
  <c r="CE42" i="1"/>
  <c r="BG42" i="1"/>
  <c r="AR42" i="1"/>
  <c r="Z42" i="1"/>
  <c r="CE17" i="1"/>
  <c r="BG17" i="1"/>
  <c r="AR17" i="1"/>
  <c r="Z17" i="1"/>
  <c r="BV17" i="1"/>
  <c r="AX17" i="1"/>
  <c r="CQ17" i="1"/>
  <c r="CK17" i="1"/>
  <c r="BM17" i="1"/>
  <c r="CB17" i="1"/>
  <c r="BD17" i="1"/>
  <c r="AI17" i="1"/>
  <c r="AC17" i="1"/>
  <c r="W17" i="1"/>
  <c r="BS17" i="1"/>
  <c r="AU17" i="1"/>
  <c r="AO17" i="1"/>
  <c r="N82" i="1"/>
  <c r="T34" i="1"/>
  <c r="Z16" i="1"/>
  <c r="AC129" i="1"/>
  <c r="AI42" i="1"/>
  <c r="AL57" i="1"/>
  <c r="AL32" i="1"/>
  <c r="AO65" i="1"/>
  <c r="AU66" i="1"/>
  <c r="BA49" i="1"/>
  <c r="BD121" i="1"/>
  <c r="BG104" i="1"/>
  <c r="BG32" i="1"/>
  <c r="BJ82" i="1"/>
  <c r="BJ18" i="1"/>
  <c r="BP82" i="1"/>
  <c r="BS25" i="1"/>
  <c r="BV104" i="1"/>
  <c r="BV32" i="1"/>
  <c r="BY17" i="1"/>
  <c r="CB128" i="1"/>
  <c r="CB42" i="1"/>
  <c r="CH128" i="1"/>
  <c r="CH113" i="1"/>
  <c r="CN57" i="1"/>
  <c r="Z119" i="1"/>
  <c r="AX119" i="1"/>
  <c r="AX96" i="1"/>
  <c r="BD127" i="1"/>
  <c r="BV119" i="1"/>
  <c r="BV96" i="1"/>
  <c r="CB127" i="1"/>
  <c r="Z96" i="1"/>
  <c r="AF119" i="1"/>
  <c r="AL119" i="1"/>
  <c r="AR119" i="1"/>
  <c r="AR96" i="1"/>
  <c r="BG119" i="1"/>
  <c r="BG96" i="1"/>
  <c r="BM127" i="1"/>
  <c r="CE119" i="1"/>
  <c r="CE96" i="1"/>
  <c r="CK127" i="1"/>
  <c r="N119" i="1"/>
  <c r="T119" i="1"/>
  <c r="Z127" i="1"/>
  <c r="AF96" i="1"/>
  <c r="AL96" i="1"/>
  <c r="AX127" i="1"/>
  <c r="BP119" i="1"/>
  <c r="BP96" i="1"/>
  <c r="BV127" i="1"/>
  <c r="CN119" i="1"/>
  <c r="CN96" i="1"/>
  <c r="N96" i="1"/>
  <c r="Q119" i="1"/>
  <c r="T96" i="1"/>
  <c r="AF127" i="1"/>
  <c r="AL127" i="1"/>
  <c r="AR127" i="1"/>
  <c r="BA119" i="1"/>
  <c r="BA96" i="1"/>
  <c r="BG127" i="1"/>
  <c r="BY119" i="1"/>
  <c r="BY96" i="1"/>
  <c r="CE127" i="1"/>
  <c r="N127" i="1"/>
  <c r="Q96" i="1"/>
  <c r="T127" i="1"/>
  <c r="BJ119" i="1"/>
  <c r="BJ96" i="1"/>
  <c r="BP127" i="1"/>
  <c r="CH119" i="1"/>
  <c r="CH96" i="1"/>
  <c r="CQ10" i="1"/>
  <c r="CN99" i="1"/>
  <c r="CH99" i="1"/>
  <c r="AR99" i="1"/>
  <c r="CQ99" i="1"/>
  <c r="AO99" i="1"/>
  <c r="AX99" i="1"/>
  <c r="BP99" i="1"/>
  <c r="CE99" i="1"/>
  <c r="BV99" i="1"/>
  <c r="CK99" i="1"/>
  <c r="CB99" i="1"/>
  <c r="BS99" i="1"/>
  <c r="AU99" i="1"/>
  <c r="BY99" i="1"/>
  <c r="BJ99" i="1"/>
  <c r="BM99" i="1"/>
  <c r="BA99" i="1"/>
  <c r="BD99" i="1"/>
  <c r="CW120" i="1" l="1"/>
  <c r="DL120" i="1"/>
  <c r="W120" i="1"/>
  <c r="DI120" i="1"/>
  <c r="AF120" i="1"/>
  <c r="CS2" i="1"/>
  <c r="E135" i="1" s="1"/>
  <c r="AO120" i="1"/>
  <c r="DF120" i="1"/>
  <c r="CY2" i="1"/>
  <c r="CE120" i="1"/>
  <c r="CB120" i="1"/>
  <c r="CK120" i="1"/>
  <c r="Q120" i="1"/>
  <c r="AR120" i="1"/>
  <c r="BM120" i="1"/>
  <c r="AL120" i="1"/>
  <c r="AI120" i="1"/>
  <c r="BJ120" i="1"/>
  <c r="AU120" i="1"/>
  <c r="BG120" i="1"/>
  <c r="BD120" i="1"/>
  <c r="BY120" i="1"/>
  <c r="AX120" i="1"/>
  <c r="CN120" i="1"/>
  <c r="CQ120" i="1"/>
  <c r="T120" i="1"/>
  <c r="BA120" i="1"/>
  <c r="BV120" i="1"/>
  <c r="CH120" i="1"/>
  <c r="AC120" i="1"/>
  <c r="Z120" i="1"/>
  <c r="BP120" i="1"/>
  <c r="BS120" i="1"/>
  <c r="N120" i="1"/>
  <c r="K10" i="1"/>
  <c r="K13" i="1"/>
  <c r="K14" i="1"/>
  <c r="K15" i="1"/>
  <c r="K16" i="1"/>
  <c r="K17" i="1"/>
  <c r="K18" i="1"/>
  <c r="K22" i="1"/>
  <c r="K25" i="1"/>
  <c r="K29" i="1"/>
  <c r="K31" i="1"/>
  <c r="K32" i="1"/>
  <c r="K34" i="1"/>
  <c r="K35" i="1"/>
  <c r="K36" i="1"/>
  <c r="K37" i="1"/>
  <c r="K41" i="1"/>
  <c r="K42" i="1"/>
  <c r="K43" i="1"/>
  <c r="K45" i="1"/>
  <c r="K49" i="1"/>
  <c r="K57" i="1"/>
  <c r="K62" i="1"/>
  <c r="K65" i="1"/>
  <c r="K66" i="1"/>
  <c r="K68" i="1"/>
  <c r="K70" i="1"/>
  <c r="K77" i="1"/>
  <c r="K82" i="1"/>
  <c r="K93" i="1"/>
  <c r="K95" i="1"/>
  <c r="K96" i="1"/>
  <c r="K98" i="1"/>
  <c r="K104" i="1"/>
  <c r="K110" i="1"/>
  <c r="K113" i="1"/>
  <c r="K116" i="1"/>
  <c r="K117" i="1"/>
  <c r="K119" i="1"/>
  <c r="K120" i="1"/>
  <c r="K121" i="1"/>
  <c r="K123" i="1"/>
  <c r="K124" i="1"/>
  <c r="K125" i="1"/>
  <c r="K127" i="1"/>
  <c r="K128" i="1"/>
  <c r="K129" i="1"/>
  <c r="K136" i="1"/>
  <c r="K137" i="1"/>
  <c r="K138" i="1"/>
  <c r="K12" i="1"/>
  <c r="K102" i="1"/>
  <c r="K99" i="1"/>
  <c r="K79" i="1"/>
  <c r="K47" i="1"/>
  <c r="E97" i="1" l="1"/>
  <c r="D97" i="1"/>
  <c r="CS3" i="1"/>
  <c r="CS4" i="1" s="1"/>
  <c r="CS7" i="1" s="1"/>
  <c r="D135" i="1"/>
  <c r="CY3" i="1"/>
  <c r="CY4" i="1" s="1"/>
  <c r="CY8" i="1" s="1"/>
  <c r="CQ50" i="1"/>
  <c r="CN50" i="1"/>
  <c r="K73" i="1"/>
  <c r="CN73" i="1"/>
  <c r="CQ73" i="1"/>
  <c r="K103" i="1"/>
  <c r="CN103" i="1"/>
  <c r="CQ103" i="1"/>
  <c r="CQ51" i="1"/>
  <c r="CN51" i="1"/>
  <c r="CQ92" i="1"/>
  <c r="CN92" i="1"/>
  <c r="CQ52" i="1"/>
  <c r="CN52" i="1"/>
  <c r="CN118" i="1"/>
  <c r="CQ118" i="1"/>
  <c r="CQ53" i="1"/>
  <c r="CN53" i="1"/>
  <c r="CQ27" i="1"/>
  <c r="CN27" i="1"/>
  <c r="CQ44" i="1"/>
  <c r="CN44" i="1"/>
  <c r="CQ54" i="1"/>
  <c r="CN54" i="1"/>
  <c r="K64" i="1"/>
  <c r="CN64" i="1"/>
  <c r="CQ64" i="1"/>
  <c r="CQ78" i="1"/>
  <c r="CN78" i="1"/>
  <c r="CN87" i="1"/>
  <c r="CQ87" i="1"/>
  <c r="CQ108" i="1"/>
  <c r="CN108" i="1"/>
  <c r="CQ38" i="1"/>
  <c r="CN38" i="1"/>
  <c r="CQ91" i="1"/>
  <c r="CN91" i="1"/>
  <c r="CQ23" i="1"/>
  <c r="CN23" i="1"/>
  <c r="CQ60" i="1"/>
  <c r="CN60" i="1"/>
  <c r="CQ115" i="1"/>
  <c r="CN115" i="1"/>
  <c r="CQ40" i="1"/>
  <c r="CN40" i="1"/>
  <c r="CQ106" i="1"/>
  <c r="CN106" i="1"/>
  <c r="CN26" i="1"/>
  <c r="CQ26" i="1"/>
  <c r="CQ76" i="1"/>
  <c r="CN76" i="1"/>
  <c r="CQ107" i="1"/>
  <c r="CN107" i="1"/>
  <c r="CQ28" i="1"/>
  <c r="CN28" i="1"/>
  <c r="CQ46" i="1"/>
  <c r="CN46" i="1"/>
  <c r="CN55" i="1"/>
  <c r="CQ55" i="1"/>
  <c r="CQ67" i="1"/>
  <c r="CN67" i="1"/>
  <c r="CQ79" i="1"/>
  <c r="CN79" i="1"/>
  <c r="K88" i="1"/>
  <c r="CN88" i="1"/>
  <c r="CQ88" i="1"/>
  <c r="CQ100" i="1"/>
  <c r="CN100" i="1"/>
  <c r="CQ109" i="1"/>
  <c r="CN109" i="1"/>
  <c r="K115" i="1"/>
  <c r="CQ83" i="1"/>
  <c r="CN83" i="1"/>
  <c r="CQ74" i="1"/>
  <c r="CN74" i="1"/>
  <c r="CQ105" i="1"/>
  <c r="CN105" i="1"/>
  <c r="CQ75" i="1"/>
  <c r="CN75" i="1"/>
  <c r="CQ86" i="1"/>
  <c r="CN86" i="1"/>
  <c r="K19" i="1"/>
  <c r="CQ19" i="1"/>
  <c r="CN19" i="1"/>
  <c r="CQ30" i="1"/>
  <c r="CN30" i="1"/>
  <c r="CN47" i="1"/>
  <c r="CQ47" i="1"/>
  <c r="K56" i="1"/>
  <c r="CN56" i="1"/>
  <c r="CQ56" i="1"/>
  <c r="CQ69" i="1"/>
  <c r="CN69" i="1"/>
  <c r="CN80" i="1"/>
  <c r="CQ80" i="1"/>
  <c r="K89" i="1"/>
  <c r="CN89" i="1"/>
  <c r="CQ89" i="1"/>
  <c r="CQ101" i="1"/>
  <c r="CN101" i="1"/>
  <c r="CN111" i="1"/>
  <c r="CQ111" i="1"/>
  <c r="CQ21" i="1"/>
  <c r="CN21" i="1"/>
  <c r="CQ59" i="1"/>
  <c r="CN59" i="1"/>
  <c r="CQ114" i="1"/>
  <c r="CN114" i="1"/>
  <c r="CQ39" i="1"/>
  <c r="CN39" i="1"/>
  <c r="CQ84" i="1"/>
  <c r="CN84" i="1"/>
  <c r="CQ24" i="1"/>
  <c r="CN24" i="1"/>
  <c r="CQ61" i="1"/>
  <c r="CN61" i="1"/>
  <c r="CQ85" i="1"/>
  <c r="CN85" i="1"/>
  <c r="CQ94" i="1"/>
  <c r="CN94" i="1"/>
  <c r="CN63" i="1"/>
  <c r="CQ63" i="1"/>
  <c r="CQ122" i="1"/>
  <c r="CN122" i="1"/>
  <c r="CQ20" i="1"/>
  <c r="CN20" i="1"/>
  <c r="K33" i="1"/>
  <c r="CN33" i="1"/>
  <c r="CQ33" i="1"/>
  <c r="CN48" i="1"/>
  <c r="CQ48" i="1"/>
  <c r="CQ58" i="1"/>
  <c r="CN58" i="1"/>
  <c r="K72" i="1"/>
  <c r="CN72" i="1"/>
  <c r="CQ72" i="1"/>
  <c r="K81" i="1"/>
  <c r="CN81" i="1"/>
  <c r="CQ81" i="1"/>
  <c r="CQ90" i="1"/>
  <c r="CN90" i="1"/>
  <c r="CQ102" i="1"/>
  <c r="CN102" i="1"/>
  <c r="CN112" i="1"/>
  <c r="CQ112" i="1"/>
  <c r="K111" i="1"/>
  <c r="K59" i="1"/>
  <c r="CE59" i="1"/>
  <c r="BV59" i="1"/>
  <c r="CK59" i="1"/>
  <c r="BM59" i="1"/>
  <c r="CB59" i="1"/>
  <c r="BS59" i="1"/>
  <c r="CH59" i="1"/>
  <c r="BD59" i="1"/>
  <c r="BP59" i="1"/>
  <c r="BJ59" i="1"/>
  <c r="BY59" i="1"/>
  <c r="BG59" i="1"/>
  <c r="AR59" i="1"/>
  <c r="AL59" i="1"/>
  <c r="AU59" i="1"/>
  <c r="BA59" i="1"/>
  <c r="AX59" i="1"/>
  <c r="AO59" i="1"/>
  <c r="Z59" i="1"/>
  <c r="AF59" i="1"/>
  <c r="Q59" i="1"/>
  <c r="N59" i="1"/>
  <c r="AI59" i="1"/>
  <c r="T59" i="1"/>
  <c r="AC59" i="1"/>
  <c r="W59" i="1"/>
  <c r="K83" i="1"/>
  <c r="CE83" i="1"/>
  <c r="BV83" i="1"/>
  <c r="CK83" i="1"/>
  <c r="BM83" i="1"/>
  <c r="CB83" i="1"/>
  <c r="BS83" i="1"/>
  <c r="CH83" i="1"/>
  <c r="BD83" i="1"/>
  <c r="BY83" i="1"/>
  <c r="BJ83" i="1"/>
  <c r="BP83" i="1"/>
  <c r="BG83" i="1"/>
  <c r="AX83" i="1"/>
  <c r="AL83" i="1"/>
  <c r="AR83" i="1"/>
  <c r="AU83" i="1"/>
  <c r="BA83" i="1"/>
  <c r="AO83" i="1"/>
  <c r="Z83" i="1"/>
  <c r="AF83" i="1"/>
  <c r="Q83" i="1"/>
  <c r="N83" i="1"/>
  <c r="AC83" i="1"/>
  <c r="T83" i="1"/>
  <c r="AI83" i="1"/>
  <c r="W83" i="1"/>
  <c r="K24" i="1"/>
  <c r="CH24" i="1"/>
  <c r="BY24" i="1"/>
  <c r="BP24" i="1"/>
  <c r="CE24" i="1"/>
  <c r="BV24" i="1"/>
  <c r="CK24" i="1"/>
  <c r="BM24" i="1"/>
  <c r="BJ24" i="1"/>
  <c r="BG24" i="1"/>
  <c r="BD24" i="1"/>
  <c r="AU24" i="1"/>
  <c r="CB24" i="1"/>
  <c r="AO24" i="1"/>
  <c r="BS24" i="1"/>
  <c r="AL24" i="1"/>
  <c r="BA24" i="1"/>
  <c r="AR24" i="1"/>
  <c r="AI24" i="1"/>
  <c r="AF24" i="1"/>
  <c r="AC24" i="1"/>
  <c r="W24" i="1"/>
  <c r="Q24" i="1"/>
  <c r="N24" i="1"/>
  <c r="Z24" i="1"/>
  <c r="AX24" i="1"/>
  <c r="T24" i="1"/>
  <c r="K39" i="1"/>
  <c r="CH39" i="1"/>
  <c r="BY39" i="1"/>
  <c r="BP39" i="1"/>
  <c r="CE39" i="1"/>
  <c r="BV39" i="1"/>
  <c r="CK39" i="1"/>
  <c r="BM39" i="1"/>
  <c r="BG39" i="1"/>
  <c r="BS39" i="1"/>
  <c r="BD39" i="1"/>
  <c r="AU39" i="1"/>
  <c r="BJ39" i="1"/>
  <c r="AO39" i="1"/>
  <c r="CB39" i="1"/>
  <c r="AR39" i="1"/>
  <c r="BA39" i="1"/>
  <c r="AL39" i="1"/>
  <c r="AX39" i="1"/>
  <c r="AI39" i="1"/>
  <c r="AC39" i="1"/>
  <c r="Z39" i="1"/>
  <c r="W39" i="1"/>
  <c r="Q39" i="1"/>
  <c r="N39" i="1"/>
  <c r="T39" i="1"/>
  <c r="AF39" i="1"/>
  <c r="K51" i="1"/>
  <c r="CE51" i="1"/>
  <c r="BV51" i="1"/>
  <c r="CK51" i="1"/>
  <c r="BM51" i="1"/>
  <c r="CB51" i="1"/>
  <c r="BS51" i="1"/>
  <c r="CH51" i="1"/>
  <c r="BD51" i="1"/>
  <c r="BY51" i="1"/>
  <c r="BJ51" i="1"/>
  <c r="BG51" i="1"/>
  <c r="AR51" i="1"/>
  <c r="AL51" i="1"/>
  <c r="BP51" i="1"/>
  <c r="AU51" i="1"/>
  <c r="BA51" i="1"/>
  <c r="AO51" i="1"/>
  <c r="Z51" i="1"/>
  <c r="AF51" i="1"/>
  <c r="Q51" i="1"/>
  <c r="N51" i="1"/>
  <c r="AC51" i="1"/>
  <c r="W51" i="1"/>
  <c r="T51" i="1"/>
  <c r="AX51" i="1"/>
  <c r="AI51" i="1"/>
  <c r="K60" i="1"/>
  <c r="BP60" i="1"/>
  <c r="CE60" i="1"/>
  <c r="BV60" i="1"/>
  <c r="CK60" i="1"/>
  <c r="CB60" i="1"/>
  <c r="BS60" i="1"/>
  <c r="BD60" i="1"/>
  <c r="CH60" i="1"/>
  <c r="AU60" i="1"/>
  <c r="BJ60" i="1"/>
  <c r="BA60" i="1"/>
  <c r="AR60" i="1"/>
  <c r="BY60" i="1"/>
  <c r="BG60" i="1"/>
  <c r="AL60" i="1"/>
  <c r="AC60" i="1"/>
  <c r="BM60" i="1"/>
  <c r="AX60" i="1"/>
  <c r="AO60" i="1"/>
  <c r="Z60" i="1"/>
  <c r="W60" i="1"/>
  <c r="Q60" i="1"/>
  <c r="N60" i="1"/>
  <c r="AI60" i="1"/>
  <c r="T60" i="1"/>
  <c r="AF60" i="1"/>
  <c r="K74" i="1"/>
  <c r="BV74" i="1"/>
  <c r="CK74" i="1"/>
  <c r="CB74" i="1"/>
  <c r="BS74" i="1"/>
  <c r="CH74" i="1"/>
  <c r="BY74" i="1"/>
  <c r="BP74" i="1"/>
  <c r="BM74" i="1"/>
  <c r="BJ74" i="1"/>
  <c r="BA74" i="1"/>
  <c r="BG74" i="1"/>
  <c r="AR74" i="1"/>
  <c r="AX74" i="1"/>
  <c r="CE74" i="1"/>
  <c r="AI74" i="1"/>
  <c r="AO74" i="1"/>
  <c r="BD74" i="1"/>
  <c r="AF74" i="1"/>
  <c r="AU74" i="1"/>
  <c r="AL74" i="1"/>
  <c r="AC74" i="1"/>
  <c r="T74" i="1"/>
  <c r="Z74" i="1"/>
  <c r="Q74" i="1"/>
  <c r="N74" i="1"/>
  <c r="W74" i="1"/>
  <c r="K84" i="1"/>
  <c r="BP84" i="1"/>
  <c r="CE84" i="1"/>
  <c r="BV84" i="1"/>
  <c r="CK84" i="1"/>
  <c r="CB84" i="1"/>
  <c r="BS84" i="1"/>
  <c r="BM84" i="1"/>
  <c r="BD84" i="1"/>
  <c r="AU84" i="1"/>
  <c r="BY84" i="1"/>
  <c r="BJ84" i="1"/>
  <c r="BA84" i="1"/>
  <c r="CH84" i="1"/>
  <c r="AX84" i="1"/>
  <c r="AL84" i="1"/>
  <c r="AC84" i="1"/>
  <c r="AR84" i="1"/>
  <c r="BG84" i="1"/>
  <c r="AO84" i="1"/>
  <c r="W84" i="1"/>
  <c r="Q84" i="1"/>
  <c r="N84" i="1"/>
  <c r="Z84" i="1"/>
  <c r="T84" i="1"/>
  <c r="AI84" i="1"/>
  <c r="AF84" i="1"/>
  <c r="K92" i="1"/>
  <c r="BP92" i="1"/>
  <c r="CE92" i="1"/>
  <c r="BV92" i="1"/>
  <c r="CK92" i="1"/>
  <c r="CB92" i="1"/>
  <c r="BS92" i="1"/>
  <c r="CH92" i="1"/>
  <c r="BD92" i="1"/>
  <c r="AU92" i="1"/>
  <c r="BJ92" i="1"/>
  <c r="BA92" i="1"/>
  <c r="BY92" i="1"/>
  <c r="BM92" i="1"/>
  <c r="AL92" i="1"/>
  <c r="AC92" i="1"/>
  <c r="AR92" i="1"/>
  <c r="AX92" i="1"/>
  <c r="AO92" i="1"/>
  <c r="W92" i="1"/>
  <c r="Z92" i="1"/>
  <c r="Q92" i="1"/>
  <c r="N92" i="1"/>
  <c r="T92" i="1"/>
  <c r="AI92" i="1"/>
  <c r="AF92" i="1"/>
  <c r="BG92" i="1"/>
  <c r="K105" i="1"/>
  <c r="BV105" i="1"/>
  <c r="CK105" i="1"/>
  <c r="CB105" i="1"/>
  <c r="BS105" i="1"/>
  <c r="CH105" i="1"/>
  <c r="BY105" i="1"/>
  <c r="BM105" i="1"/>
  <c r="BJ105" i="1"/>
  <c r="BA105" i="1"/>
  <c r="CE105" i="1"/>
  <c r="BG105" i="1"/>
  <c r="AX105" i="1"/>
  <c r="AR105" i="1"/>
  <c r="AI105" i="1"/>
  <c r="BP105" i="1"/>
  <c r="BD105" i="1"/>
  <c r="AU105" i="1"/>
  <c r="AO105" i="1"/>
  <c r="AF105" i="1"/>
  <c r="AC105" i="1"/>
  <c r="T105" i="1"/>
  <c r="AL105" i="1"/>
  <c r="Q105" i="1"/>
  <c r="Z105" i="1"/>
  <c r="N105" i="1"/>
  <c r="W105" i="1"/>
  <c r="BP115" i="1"/>
  <c r="CE115" i="1"/>
  <c r="BV115" i="1"/>
  <c r="CK115" i="1"/>
  <c r="CB115" i="1"/>
  <c r="BS115" i="1"/>
  <c r="BY115" i="1"/>
  <c r="AU115" i="1"/>
  <c r="BJ115" i="1"/>
  <c r="BA115" i="1"/>
  <c r="CH115" i="1"/>
  <c r="AL115" i="1"/>
  <c r="BM115" i="1"/>
  <c r="AX115" i="1"/>
  <c r="AC115" i="1"/>
  <c r="BD115" i="1"/>
  <c r="AR115" i="1"/>
  <c r="BG115" i="1"/>
  <c r="AO115" i="1"/>
  <c r="W115" i="1"/>
  <c r="Q115" i="1"/>
  <c r="N115" i="1"/>
  <c r="T115" i="1"/>
  <c r="Z115" i="1"/>
  <c r="AI115" i="1"/>
  <c r="AF115" i="1"/>
  <c r="K38" i="1"/>
  <c r="BY38" i="1"/>
  <c r="BP38" i="1"/>
  <c r="CE38" i="1"/>
  <c r="BV38" i="1"/>
  <c r="CK38" i="1"/>
  <c r="BM38" i="1"/>
  <c r="CB38" i="1"/>
  <c r="CH38" i="1"/>
  <c r="BS38" i="1"/>
  <c r="BD38" i="1"/>
  <c r="BJ38" i="1"/>
  <c r="BA38" i="1"/>
  <c r="AR38" i="1"/>
  <c r="AL38" i="1"/>
  <c r="AU38" i="1"/>
  <c r="AX38" i="1"/>
  <c r="AI38" i="1"/>
  <c r="W38" i="1"/>
  <c r="Q38" i="1"/>
  <c r="N38" i="1"/>
  <c r="T38" i="1"/>
  <c r="BG38" i="1"/>
  <c r="AF38" i="1"/>
  <c r="AC38" i="1"/>
  <c r="Z38" i="1"/>
  <c r="AO38" i="1"/>
  <c r="K91" i="1"/>
  <c r="CE91" i="1"/>
  <c r="BV91" i="1"/>
  <c r="CK91" i="1"/>
  <c r="BM91" i="1"/>
  <c r="CB91" i="1"/>
  <c r="BS91" i="1"/>
  <c r="CH91" i="1"/>
  <c r="BD91" i="1"/>
  <c r="BJ91" i="1"/>
  <c r="BY91" i="1"/>
  <c r="BG91" i="1"/>
  <c r="AL91" i="1"/>
  <c r="AU91" i="1"/>
  <c r="BA91" i="1"/>
  <c r="AR91" i="1"/>
  <c r="BP91" i="1"/>
  <c r="AX91" i="1"/>
  <c r="AO91" i="1"/>
  <c r="Z91" i="1"/>
  <c r="AF91" i="1"/>
  <c r="Q91" i="1"/>
  <c r="N91" i="1"/>
  <c r="AI91" i="1"/>
  <c r="T91" i="1"/>
  <c r="AC91" i="1"/>
  <c r="W91" i="1"/>
  <c r="K26" i="1"/>
  <c r="CB26" i="1"/>
  <c r="BS26" i="1"/>
  <c r="CH26" i="1"/>
  <c r="BJ26" i="1"/>
  <c r="BY26" i="1"/>
  <c r="BP26" i="1"/>
  <c r="CE26" i="1"/>
  <c r="CK26" i="1"/>
  <c r="BG26" i="1"/>
  <c r="AR26" i="1"/>
  <c r="BV26" i="1"/>
  <c r="BM26" i="1"/>
  <c r="BD26" i="1"/>
  <c r="AI26" i="1"/>
  <c r="AX26" i="1"/>
  <c r="AO26" i="1"/>
  <c r="Z26" i="1"/>
  <c r="AL26" i="1"/>
  <c r="AU26" i="1"/>
  <c r="AC26" i="1"/>
  <c r="T26" i="1"/>
  <c r="BA26" i="1"/>
  <c r="AF26" i="1"/>
  <c r="W26" i="1"/>
  <c r="Q26" i="1"/>
  <c r="N26" i="1"/>
  <c r="K40" i="1"/>
  <c r="BS40" i="1"/>
  <c r="CH40" i="1"/>
  <c r="BY40" i="1"/>
  <c r="BP40" i="1"/>
  <c r="CE40" i="1"/>
  <c r="BV40" i="1"/>
  <c r="BG40" i="1"/>
  <c r="AX40" i="1"/>
  <c r="CK40" i="1"/>
  <c r="BD40" i="1"/>
  <c r="AU40" i="1"/>
  <c r="AO40" i="1"/>
  <c r="CB40" i="1"/>
  <c r="BJ40" i="1"/>
  <c r="AR40" i="1"/>
  <c r="AF40" i="1"/>
  <c r="BA40" i="1"/>
  <c r="AL40" i="1"/>
  <c r="AC40" i="1"/>
  <c r="BM40" i="1"/>
  <c r="Z40" i="1"/>
  <c r="W40" i="1"/>
  <c r="Q40" i="1"/>
  <c r="N40" i="1"/>
  <c r="AI40" i="1"/>
  <c r="T40" i="1"/>
  <c r="K52" i="1"/>
  <c r="BP52" i="1"/>
  <c r="CE52" i="1"/>
  <c r="BV52" i="1"/>
  <c r="CK52" i="1"/>
  <c r="CB52" i="1"/>
  <c r="BS52" i="1"/>
  <c r="BM52" i="1"/>
  <c r="BD52" i="1"/>
  <c r="AU52" i="1"/>
  <c r="BY52" i="1"/>
  <c r="BJ52" i="1"/>
  <c r="BA52" i="1"/>
  <c r="AX52" i="1"/>
  <c r="AL52" i="1"/>
  <c r="AC52" i="1"/>
  <c r="AR52" i="1"/>
  <c r="CH52" i="1"/>
  <c r="BG52" i="1"/>
  <c r="AO52" i="1"/>
  <c r="Z52" i="1"/>
  <c r="W52" i="1"/>
  <c r="Q52" i="1"/>
  <c r="N52" i="1"/>
  <c r="T52" i="1"/>
  <c r="AI52" i="1"/>
  <c r="AF52" i="1"/>
  <c r="K61" i="1"/>
  <c r="BY61" i="1"/>
  <c r="BP61" i="1"/>
  <c r="CE61" i="1"/>
  <c r="BV61" i="1"/>
  <c r="CK61" i="1"/>
  <c r="BM61" i="1"/>
  <c r="CB61" i="1"/>
  <c r="BD61" i="1"/>
  <c r="CH61" i="1"/>
  <c r="BS61" i="1"/>
  <c r="BJ61" i="1"/>
  <c r="BA61" i="1"/>
  <c r="AR61" i="1"/>
  <c r="BG61" i="1"/>
  <c r="AU61" i="1"/>
  <c r="AL61" i="1"/>
  <c r="AI61" i="1"/>
  <c r="W61" i="1"/>
  <c r="Q61" i="1"/>
  <c r="N61" i="1"/>
  <c r="T61" i="1"/>
  <c r="AX61" i="1"/>
  <c r="AF61" i="1"/>
  <c r="AC61" i="1"/>
  <c r="Z61" i="1"/>
  <c r="AO61" i="1"/>
  <c r="K75" i="1"/>
  <c r="CE75" i="1"/>
  <c r="BV75" i="1"/>
  <c r="CK75" i="1"/>
  <c r="BM75" i="1"/>
  <c r="CB75" i="1"/>
  <c r="BS75" i="1"/>
  <c r="CH75" i="1"/>
  <c r="BD75" i="1"/>
  <c r="BP75" i="1"/>
  <c r="BJ75" i="1"/>
  <c r="BG75" i="1"/>
  <c r="AR75" i="1"/>
  <c r="BY75" i="1"/>
  <c r="AL75" i="1"/>
  <c r="AX75" i="1"/>
  <c r="AO75" i="1"/>
  <c r="Z75" i="1"/>
  <c r="BA75" i="1"/>
  <c r="AF75" i="1"/>
  <c r="Q75" i="1"/>
  <c r="N75" i="1"/>
  <c r="AC75" i="1"/>
  <c r="T75" i="1"/>
  <c r="AU75" i="1"/>
  <c r="AI75" i="1"/>
  <c r="W75" i="1"/>
  <c r="K85" i="1"/>
  <c r="BY85" i="1"/>
  <c r="BP85" i="1"/>
  <c r="CE85" i="1"/>
  <c r="BV85" i="1"/>
  <c r="CK85" i="1"/>
  <c r="BM85" i="1"/>
  <c r="CB85" i="1"/>
  <c r="BD85" i="1"/>
  <c r="BJ85" i="1"/>
  <c r="BA85" i="1"/>
  <c r="CH85" i="1"/>
  <c r="AX85" i="1"/>
  <c r="AL85" i="1"/>
  <c r="BS85" i="1"/>
  <c r="AR85" i="1"/>
  <c r="AU85" i="1"/>
  <c r="AI85" i="1"/>
  <c r="BG85" i="1"/>
  <c r="AO85" i="1"/>
  <c r="AC85" i="1"/>
  <c r="W85" i="1"/>
  <c r="Q85" i="1"/>
  <c r="N85" i="1"/>
  <c r="Z85" i="1"/>
  <c r="T85" i="1"/>
  <c r="AF85" i="1"/>
  <c r="K94" i="1"/>
  <c r="CH94" i="1"/>
  <c r="BY94" i="1"/>
  <c r="BP94" i="1"/>
  <c r="CE94" i="1"/>
  <c r="BV94" i="1"/>
  <c r="CK94" i="1"/>
  <c r="BM94" i="1"/>
  <c r="CB94" i="1"/>
  <c r="BG94" i="1"/>
  <c r="BS94" i="1"/>
  <c r="BD94" i="1"/>
  <c r="AU94" i="1"/>
  <c r="BJ94" i="1"/>
  <c r="AX94" i="1"/>
  <c r="AO94" i="1"/>
  <c r="AL94" i="1"/>
  <c r="BA94" i="1"/>
  <c r="AR94" i="1"/>
  <c r="AI94" i="1"/>
  <c r="W94" i="1"/>
  <c r="Q94" i="1"/>
  <c r="Z94" i="1"/>
  <c r="N94" i="1"/>
  <c r="AF94" i="1"/>
  <c r="T94" i="1"/>
  <c r="AC94" i="1"/>
  <c r="K106" i="1"/>
  <c r="CE106" i="1"/>
  <c r="BV106" i="1"/>
  <c r="CK106" i="1"/>
  <c r="BM106" i="1"/>
  <c r="CB106" i="1"/>
  <c r="BS106" i="1"/>
  <c r="CH106" i="1"/>
  <c r="BJ106" i="1"/>
  <c r="BY106" i="1"/>
  <c r="BG106" i="1"/>
  <c r="AL106" i="1"/>
  <c r="AX106" i="1"/>
  <c r="AR106" i="1"/>
  <c r="BP106" i="1"/>
  <c r="BD106" i="1"/>
  <c r="AU106" i="1"/>
  <c r="AO106" i="1"/>
  <c r="Z106" i="1"/>
  <c r="BA106" i="1"/>
  <c r="AF106" i="1"/>
  <c r="Q106" i="1"/>
  <c r="N106" i="1"/>
  <c r="AC106" i="1"/>
  <c r="T106" i="1"/>
  <c r="W106" i="1"/>
  <c r="AI106" i="1"/>
  <c r="K118" i="1"/>
  <c r="BS118" i="1"/>
  <c r="CH118" i="1"/>
  <c r="BY118" i="1"/>
  <c r="BP118" i="1"/>
  <c r="CE118" i="1"/>
  <c r="BV118" i="1"/>
  <c r="BM118" i="1"/>
  <c r="BG118" i="1"/>
  <c r="CK118" i="1"/>
  <c r="AX118" i="1"/>
  <c r="BD118" i="1"/>
  <c r="CB118" i="1"/>
  <c r="AU118" i="1"/>
  <c r="BJ118" i="1"/>
  <c r="AO118" i="1"/>
  <c r="AF118" i="1"/>
  <c r="AL118" i="1"/>
  <c r="AC118" i="1"/>
  <c r="AR118" i="1"/>
  <c r="AI118" i="1"/>
  <c r="Z118" i="1"/>
  <c r="W118" i="1"/>
  <c r="Q118" i="1"/>
  <c r="N118" i="1"/>
  <c r="BA118" i="1"/>
  <c r="T118" i="1"/>
  <c r="CK73" i="1"/>
  <c r="CB73" i="1"/>
  <c r="BS73" i="1"/>
  <c r="CH73" i="1"/>
  <c r="BY73" i="1"/>
  <c r="BP73" i="1"/>
  <c r="BM73" i="1"/>
  <c r="BJ73" i="1"/>
  <c r="BG73" i="1"/>
  <c r="AX73" i="1"/>
  <c r="CE73" i="1"/>
  <c r="BV73" i="1"/>
  <c r="AR73" i="1"/>
  <c r="AO73" i="1"/>
  <c r="BD73" i="1"/>
  <c r="BA73" i="1"/>
  <c r="AU73" i="1"/>
  <c r="AL73" i="1"/>
  <c r="AC73" i="1"/>
  <c r="T73" i="1"/>
  <c r="Z73" i="1"/>
  <c r="AI73" i="1"/>
  <c r="W73" i="1"/>
  <c r="Q73" i="1"/>
  <c r="N73" i="1"/>
  <c r="AF73" i="1"/>
  <c r="K53" i="1"/>
  <c r="BY53" i="1"/>
  <c r="BP53" i="1"/>
  <c r="CE53" i="1"/>
  <c r="BV53" i="1"/>
  <c r="CK53" i="1"/>
  <c r="BM53" i="1"/>
  <c r="CB53" i="1"/>
  <c r="CH53" i="1"/>
  <c r="BS53" i="1"/>
  <c r="BD53" i="1"/>
  <c r="BJ53" i="1"/>
  <c r="BA53" i="1"/>
  <c r="AX53" i="1"/>
  <c r="AL53" i="1"/>
  <c r="AR53" i="1"/>
  <c r="AU53" i="1"/>
  <c r="AI53" i="1"/>
  <c r="AF53" i="1"/>
  <c r="W53" i="1"/>
  <c r="AC53" i="1"/>
  <c r="Z53" i="1"/>
  <c r="Q53" i="1"/>
  <c r="N53" i="1"/>
  <c r="BG53" i="1"/>
  <c r="AO53" i="1"/>
  <c r="T53" i="1"/>
  <c r="K63" i="1"/>
  <c r="BS63" i="1"/>
  <c r="CH63" i="1"/>
  <c r="BY63" i="1"/>
  <c r="BP63" i="1"/>
  <c r="CE63" i="1"/>
  <c r="BV63" i="1"/>
  <c r="BM63" i="1"/>
  <c r="BG63" i="1"/>
  <c r="AX63" i="1"/>
  <c r="CB63" i="1"/>
  <c r="BD63" i="1"/>
  <c r="AU63" i="1"/>
  <c r="CK63" i="1"/>
  <c r="AO63" i="1"/>
  <c r="AF63" i="1"/>
  <c r="AR63" i="1"/>
  <c r="BA63" i="1"/>
  <c r="AL63" i="1"/>
  <c r="AC63" i="1"/>
  <c r="BJ63" i="1"/>
  <c r="Z63" i="1"/>
  <c r="W63" i="1"/>
  <c r="AI63" i="1"/>
  <c r="Q63" i="1"/>
  <c r="N63" i="1"/>
  <c r="T63" i="1"/>
  <c r="K76" i="1"/>
  <c r="BP76" i="1"/>
  <c r="CE76" i="1"/>
  <c r="BV76" i="1"/>
  <c r="CK76" i="1"/>
  <c r="CB76" i="1"/>
  <c r="BS76" i="1"/>
  <c r="BD76" i="1"/>
  <c r="BM76" i="1"/>
  <c r="AU76" i="1"/>
  <c r="CH76" i="1"/>
  <c r="BJ76" i="1"/>
  <c r="BA76" i="1"/>
  <c r="BY76" i="1"/>
  <c r="AL76" i="1"/>
  <c r="BG76" i="1"/>
  <c r="AC76" i="1"/>
  <c r="AX76" i="1"/>
  <c r="AR76" i="1"/>
  <c r="AO76" i="1"/>
  <c r="AF76" i="1"/>
  <c r="W76" i="1"/>
  <c r="Q76" i="1"/>
  <c r="N76" i="1"/>
  <c r="T76" i="1"/>
  <c r="Z76" i="1"/>
  <c r="AI76" i="1"/>
  <c r="K86" i="1"/>
  <c r="CH86" i="1"/>
  <c r="BY86" i="1"/>
  <c r="BP86" i="1"/>
  <c r="CE86" i="1"/>
  <c r="BV86" i="1"/>
  <c r="CK86" i="1"/>
  <c r="BM86" i="1"/>
  <c r="BS86" i="1"/>
  <c r="BG86" i="1"/>
  <c r="BD86" i="1"/>
  <c r="AU86" i="1"/>
  <c r="CB86" i="1"/>
  <c r="BJ86" i="1"/>
  <c r="AO86" i="1"/>
  <c r="AX86" i="1"/>
  <c r="AL86" i="1"/>
  <c r="AR86" i="1"/>
  <c r="BA86" i="1"/>
  <c r="AI86" i="1"/>
  <c r="AF86" i="1"/>
  <c r="AC86" i="1"/>
  <c r="W86" i="1"/>
  <c r="N86" i="1"/>
  <c r="Q86" i="1"/>
  <c r="Z86" i="1"/>
  <c r="T86" i="1"/>
  <c r="K107" i="1"/>
  <c r="BP107" i="1"/>
  <c r="CE107" i="1"/>
  <c r="BV107" i="1"/>
  <c r="CK107" i="1"/>
  <c r="CB107" i="1"/>
  <c r="BS107" i="1"/>
  <c r="CH107" i="1"/>
  <c r="BM107" i="1"/>
  <c r="AU107" i="1"/>
  <c r="BJ107" i="1"/>
  <c r="BA107" i="1"/>
  <c r="BG107" i="1"/>
  <c r="AL107" i="1"/>
  <c r="BY107" i="1"/>
  <c r="AC107" i="1"/>
  <c r="AX107" i="1"/>
  <c r="AR107" i="1"/>
  <c r="BD107" i="1"/>
  <c r="AO107" i="1"/>
  <c r="AF107" i="1"/>
  <c r="Z107" i="1"/>
  <c r="W107" i="1"/>
  <c r="Q107" i="1"/>
  <c r="N107" i="1"/>
  <c r="T107" i="1"/>
  <c r="AI107" i="1"/>
  <c r="K122" i="1"/>
  <c r="CE122" i="1"/>
  <c r="BV122" i="1"/>
  <c r="CK122" i="1"/>
  <c r="BM122" i="1"/>
  <c r="CB122" i="1"/>
  <c r="BS122" i="1"/>
  <c r="CH122" i="1"/>
  <c r="BJ122" i="1"/>
  <c r="BG122" i="1"/>
  <c r="AU122" i="1"/>
  <c r="AL122" i="1"/>
  <c r="BY122" i="1"/>
  <c r="BD122" i="1"/>
  <c r="AR122" i="1"/>
  <c r="BP122" i="1"/>
  <c r="BA122" i="1"/>
  <c r="AO122" i="1"/>
  <c r="Z122" i="1"/>
  <c r="AF122" i="1"/>
  <c r="Q122" i="1"/>
  <c r="N122" i="1"/>
  <c r="T122" i="1"/>
  <c r="AX122" i="1"/>
  <c r="AI122" i="1"/>
  <c r="AC122" i="1"/>
  <c r="W122" i="1"/>
  <c r="K23" i="1"/>
  <c r="BY23" i="1"/>
  <c r="BP23" i="1"/>
  <c r="CE23" i="1"/>
  <c r="BV23" i="1"/>
  <c r="CK23" i="1"/>
  <c r="BM23" i="1"/>
  <c r="CB23" i="1"/>
  <c r="BD23" i="1"/>
  <c r="BA23" i="1"/>
  <c r="CH23" i="1"/>
  <c r="BJ23" i="1"/>
  <c r="BS23" i="1"/>
  <c r="AL23" i="1"/>
  <c r="AU23" i="1"/>
  <c r="AR23" i="1"/>
  <c r="BG23" i="1"/>
  <c r="AI23" i="1"/>
  <c r="AX23" i="1"/>
  <c r="AC23" i="1"/>
  <c r="W23" i="1"/>
  <c r="Z23" i="1"/>
  <c r="Q23" i="1"/>
  <c r="N23" i="1"/>
  <c r="AO23" i="1"/>
  <c r="T23" i="1"/>
  <c r="AF23" i="1"/>
  <c r="CB103" i="1"/>
  <c r="BS103" i="1"/>
  <c r="CH103" i="1"/>
  <c r="BY103" i="1"/>
  <c r="BP103" i="1"/>
  <c r="CE103" i="1"/>
  <c r="BV103" i="1"/>
  <c r="BG103" i="1"/>
  <c r="CK103" i="1"/>
  <c r="BD103" i="1"/>
  <c r="AX103" i="1"/>
  <c r="AU103" i="1"/>
  <c r="BJ103" i="1"/>
  <c r="AO103" i="1"/>
  <c r="BA103" i="1"/>
  <c r="AL103" i="1"/>
  <c r="BM103" i="1"/>
  <c r="AC103" i="1"/>
  <c r="AR103" i="1"/>
  <c r="AI103" i="1"/>
  <c r="W103" i="1"/>
  <c r="Z103" i="1"/>
  <c r="Q103" i="1"/>
  <c r="N103" i="1"/>
  <c r="T103" i="1"/>
  <c r="AF103" i="1"/>
  <c r="K27" i="1"/>
  <c r="BV27" i="1"/>
  <c r="CK27" i="1"/>
  <c r="CB27" i="1"/>
  <c r="BS27" i="1"/>
  <c r="CH27" i="1"/>
  <c r="BJ27" i="1"/>
  <c r="BY27" i="1"/>
  <c r="BA27" i="1"/>
  <c r="BG27" i="1"/>
  <c r="AR27" i="1"/>
  <c r="AX27" i="1"/>
  <c r="AU27" i="1"/>
  <c r="AI27" i="1"/>
  <c r="CE27" i="1"/>
  <c r="BP27" i="1"/>
  <c r="AO27" i="1"/>
  <c r="AF27" i="1"/>
  <c r="BM27" i="1"/>
  <c r="BD27" i="1"/>
  <c r="T27" i="1"/>
  <c r="N27" i="1"/>
  <c r="AL27" i="1"/>
  <c r="AC27" i="1"/>
  <c r="Z27" i="1"/>
  <c r="W27" i="1"/>
  <c r="Q27" i="1"/>
  <c r="K44" i="1"/>
  <c r="BP44" i="1"/>
  <c r="CE44" i="1"/>
  <c r="BV44" i="1"/>
  <c r="CK44" i="1"/>
  <c r="CB44" i="1"/>
  <c r="BS44" i="1"/>
  <c r="BD44" i="1"/>
  <c r="AU44" i="1"/>
  <c r="BM44" i="1"/>
  <c r="BJ44" i="1"/>
  <c r="CH44" i="1"/>
  <c r="BA44" i="1"/>
  <c r="AL44" i="1"/>
  <c r="AX44" i="1"/>
  <c r="AC44" i="1"/>
  <c r="BG44" i="1"/>
  <c r="AI44" i="1"/>
  <c r="BY44" i="1"/>
  <c r="AR44" i="1"/>
  <c r="AO44" i="1"/>
  <c r="Z44" i="1"/>
  <c r="W44" i="1"/>
  <c r="Q44" i="1"/>
  <c r="N44" i="1"/>
  <c r="AF44" i="1"/>
  <c r="T44" i="1"/>
  <c r="K54" i="1"/>
  <c r="CH54" i="1"/>
  <c r="BY54" i="1"/>
  <c r="BP54" i="1"/>
  <c r="CE54" i="1"/>
  <c r="BV54" i="1"/>
  <c r="CK54" i="1"/>
  <c r="BM54" i="1"/>
  <c r="BG54" i="1"/>
  <c r="BS54" i="1"/>
  <c r="BD54" i="1"/>
  <c r="AU54" i="1"/>
  <c r="BJ54" i="1"/>
  <c r="CB54" i="1"/>
  <c r="AO54" i="1"/>
  <c r="AX54" i="1"/>
  <c r="AL54" i="1"/>
  <c r="AR54" i="1"/>
  <c r="BA54" i="1"/>
  <c r="AI54" i="1"/>
  <c r="AF54" i="1"/>
  <c r="W54" i="1"/>
  <c r="Q54" i="1"/>
  <c r="AC54" i="1"/>
  <c r="Z54" i="1"/>
  <c r="N54" i="1"/>
  <c r="T54" i="1"/>
  <c r="CB64" i="1"/>
  <c r="BS64" i="1"/>
  <c r="CH64" i="1"/>
  <c r="BY64" i="1"/>
  <c r="BP64" i="1"/>
  <c r="CE64" i="1"/>
  <c r="CK64" i="1"/>
  <c r="BM64" i="1"/>
  <c r="BG64" i="1"/>
  <c r="AR64" i="1"/>
  <c r="BD64" i="1"/>
  <c r="AX64" i="1"/>
  <c r="BV64" i="1"/>
  <c r="AO64" i="1"/>
  <c r="Z64" i="1"/>
  <c r="AU64" i="1"/>
  <c r="BA64" i="1"/>
  <c r="AL64" i="1"/>
  <c r="AC64" i="1"/>
  <c r="W64" i="1"/>
  <c r="AI64" i="1"/>
  <c r="Q64" i="1"/>
  <c r="N64" i="1"/>
  <c r="BJ64" i="1"/>
  <c r="AF64" i="1"/>
  <c r="T64" i="1"/>
  <c r="K78" i="1"/>
  <c r="CH78" i="1"/>
  <c r="BY78" i="1"/>
  <c r="BP78" i="1"/>
  <c r="CE78" i="1"/>
  <c r="BV78" i="1"/>
  <c r="CK78" i="1"/>
  <c r="BM78" i="1"/>
  <c r="BG78" i="1"/>
  <c r="CB78" i="1"/>
  <c r="BD78" i="1"/>
  <c r="AU78" i="1"/>
  <c r="BS78" i="1"/>
  <c r="BJ78" i="1"/>
  <c r="BA78" i="1"/>
  <c r="AO78" i="1"/>
  <c r="AL78" i="1"/>
  <c r="AX78" i="1"/>
  <c r="AR78" i="1"/>
  <c r="AI78" i="1"/>
  <c r="AF78" i="1"/>
  <c r="W78" i="1"/>
  <c r="Q78" i="1"/>
  <c r="N78" i="1"/>
  <c r="AC78" i="1"/>
  <c r="Z78" i="1"/>
  <c r="T78" i="1"/>
  <c r="K87" i="1"/>
  <c r="BS87" i="1"/>
  <c r="CH87" i="1"/>
  <c r="BY87" i="1"/>
  <c r="BP87" i="1"/>
  <c r="CE87" i="1"/>
  <c r="BV87" i="1"/>
  <c r="BM87" i="1"/>
  <c r="BG87" i="1"/>
  <c r="AX87" i="1"/>
  <c r="CK87" i="1"/>
  <c r="BD87" i="1"/>
  <c r="AU87" i="1"/>
  <c r="AO87" i="1"/>
  <c r="CB87" i="1"/>
  <c r="BJ87" i="1"/>
  <c r="AF87" i="1"/>
  <c r="AL87" i="1"/>
  <c r="AC87" i="1"/>
  <c r="AR87" i="1"/>
  <c r="BA87" i="1"/>
  <c r="W87" i="1"/>
  <c r="Q87" i="1"/>
  <c r="N87" i="1"/>
  <c r="Z87" i="1"/>
  <c r="T87" i="1"/>
  <c r="AI87" i="1"/>
  <c r="K108" i="1"/>
  <c r="BY108" i="1"/>
  <c r="BP108" i="1"/>
  <c r="CE108" i="1"/>
  <c r="BV108" i="1"/>
  <c r="CK108" i="1"/>
  <c r="BM108" i="1"/>
  <c r="CB108" i="1"/>
  <c r="CH108" i="1"/>
  <c r="BS108" i="1"/>
  <c r="BD108" i="1"/>
  <c r="BJ108" i="1"/>
  <c r="BA108" i="1"/>
  <c r="BG108" i="1"/>
  <c r="AL108" i="1"/>
  <c r="AX108" i="1"/>
  <c r="AR108" i="1"/>
  <c r="AU108" i="1"/>
  <c r="AI108" i="1"/>
  <c r="AO108" i="1"/>
  <c r="AF108" i="1"/>
  <c r="Z108" i="1"/>
  <c r="W108" i="1"/>
  <c r="AC108" i="1"/>
  <c r="Q108" i="1"/>
  <c r="N108" i="1"/>
  <c r="T108" i="1"/>
  <c r="K50" i="1"/>
  <c r="BV50" i="1"/>
  <c r="CK50" i="1"/>
  <c r="CB50" i="1"/>
  <c r="BS50" i="1"/>
  <c r="CH50" i="1"/>
  <c r="BY50" i="1"/>
  <c r="BM50" i="1"/>
  <c r="BJ50" i="1"/>
  <c r="BA50" i="1"/>
  <c r="CE50" i="1"/>
  <c r="BG50" i="1"/>
  <c r="AR50" i="1"/>
  <c r="BP50" i="1"/>
  <c r="AX50" i="1"/>
  <c r="AI50" i="1"/>
  <c r="BD50" i="1"/>
  <c r="AU50" i="1"/>
  <c r="AO50" i="1"/>
  <c r="AF50" i="1"/>
  <c r="AL50" i="1"/>
  <c r="AC50" i="1"/>
  <c r="Z50" i="1"/>
  <c r="T50" i="1"/>
  <c r="Q50" i="1"/>
  <c r="N50" i="1"/>
  <c r="W50" i="1"/>
  <c r="BS55" i="1"/>
  <c r="CH55" i="1"/>
  <c r="BY55" i="1"/>
  <c r="BP55" i="1"/>
  <c r="CE55" i="1"/>
  <c r="BV55" i="1"/>
  <c r="CB55" i="1"/>
  <c r="BG55" i="1"/>
  <c r="BM55" i="1"/>
  <c r="AX55" i="1"/>
  <c r="CK55" i="1"/>
  <c r="BD55" i="1"/>
  <c r="AU55" i="1"/>
  <c r="AO55" i="1"/>
  <c r="BJ55" i="1"/>
  <c r="AF55" i="1"/>
  <c r="AL55" i="1"/>
  <c r="AC55" i="1"/>
  <c r="AR55" i="1"/>
  <c r="BA55" i="1"/>
  <c r="W55" i="1"/>
  <c r="Z55" i="1"/>
  <c r="Q55" i="1"/>
  <c r="N55" i="1"/>
  <c r="AI55" i="1"/>
  <c r="T55" i="1"/>
  <c r="BS79" i="1"/>
  <c r="CH79" i="1"/>
  <c r="BY79" i="1"/>
  <c r="BP79" i="1"/>
  <c r="CE79" i="1"/>
  <c r="BV79" i="1"/>
  <c r="CK79" i="1"/>
  <c r="BG79" i="1"/>
  <c r="AX79" i="1"/>
  <c r="CB79" i="1"/>
  <c r="BM79" i="1"/>
  <c r="BD79" i="1"/>
  <c r="AU79" i="1"/>
  <c r="BA79" i="1"/>
  <c r="AO79" i="1"/>
  <c r="AF79" i="1"/>
  <c r="AL79" i="1"/>
  <c r="AC79" i="1"/>
  <c r="AR79" i="1"/>
  <c r="AI79" i="1"/>
  <c r="W79" i="1"/>
  <c r="Q79" i="1"/>
  <c r="N79" i="1"/>
  <c r="BJ79" i="1"/>
  <c r="Z79" i="1"/>
  <c r="T79" i="1"/>
  <c r="K100" i="1"/>
  <c r="BY100" i="1"/>
  <c r="BP100" i="1"/>
  <c r="CE100" i="1"/>
  <c r="BV100" i="1"/>
  <c r="CK100" i="1"/>
  <c r="BM100" i="1"/>
  <c r="CB100" i="1"/>
  <c r="BD100" i="1"/>
  <c r="BJ100" i="1"/>
  <c r="BA100" i="1"/>
  <c r="CH100" i="1"/>
  <c r="AU100" i="1"/>
  <c r="BS100" i="1"/>
  <c r="AL100" i="1"/>
  <c r="AR100" i="1"/>
  <c r="AI100" i="1"/>
  <c r="BG100" i="1"/>
  <c r="AX100" i="1"/>
  <c r="W100" i="1"/>
  <c r="Z100" i="1"/>
  <c r="Q100" i="1"/>
  <c r="N100" i="1"/>
  <c r="AF100" i="1"/>
  <c r="T100" i="1"/>
  <c r="AC100" i="1"/>
  <c r="AO100" i="1"/>
  <c r="K109" i="1"/>
  <c r="CH109" i="1"/>
  <c r="BY109" i="1"/>
  <c r="BP109" i="1"/>
  <c r="CE109" i="1"/>
  <c r="BV109" i="1"/>
  <c r="CK109" i="1"/>
  <c r="BM109" i="1"/>
  <c r="CB109" i="1"/>
  <c r="BG109" i="1"/>
  <c r="BS109" i="1"/>
  <c r="AU109" i="1"/>
  <c r="BJ109" i="1"/>
  <c r="AO109" i="1"/>
  <c r="AL109" i="1"/>
  <c r="AX109" i="1"/>
  <c r="AR109" i="1"/>
  <c r="BD109" i="1"/>
  <c r="AI109" i="1"/>
  <c r="BA109" i="1"/>
  <c r="AF109" i="1"/>
  <c r="Z109" i="1"/>
  <c r="W109" i="1"/>
  <c r="AC109" i="1"/>
  <c r="Q109" i="1"/>
  <c r="N109" i="1"/>
  <c r="T109" i="1"/>
  <c r="K55" i="1"/>
  <c r="K114" i="1"/>
  <c r="CE114" i="1"/>
  <c r="BV114" i="1"/>
  <c r="CK114" i="1"/>
  <c r="BM114" i="1"/>
  <c r="CB114" i="1"/>
  <c r="BS114" i="1"/>
  <c r="CH114" i="1"/>
  <c r="BY114" i="1"/>
  <c r="BP114" i="1"/>
  <c r="BJ114" i="1"/>
  <c r="BG114" i="1"/>
  <c r="AL114" i="1"/>
  <c r="AX114" i="1"/>
  <c r="BD114" i="1"/>
  <c r="AU114" i="1"/>
  <c r="AR114" i="1"/>
  <c r="BA114" i="1"/>
  <c r="AO114" i="1"/>
  <c r="Z114" i="1"/>
  <c r="AF114" i="1"/>
  <c r="Q114" i="1"/>
  <c r="N114" i="1"/>
  <c r="T114" i="1"/>
  <c r="AI114" i="1"/>
  <c r="W114" i="1"/>
  <c r="AC114" i="1"/>
  <c r="K28" i="1"/>
  <c r="CE28" i="1"/>
  <c r="BV28" i="1"/>
  <c r="CK28" i="1"/>
  <c r="BM28" i="1"/>
  <c r="CB28" i="1"/>
  <c r="BS28" i="1"/>
  <c r="CH28" i="1"/>
  <c r="BJ28" i="1"/>
  <c r="BD28" i="1"/>
  <c r="BY28" i="1"/>
  <c r="BG28" i="1"/>
  <c r="AR28" i="1"/>
  <c r="AL28" i="1"/>
  <c r="BA28" i="1"/>
  <c r="AU28" i="1"/>
  <c r="AX28" i="1"/>
  <c r="AI28" i="1"/>
  <c r="BP28" i="1"/>
  <c r="AO28" i="1"/>
  <c r="Z28" i="1"/>
  <c r="AF28" i="1"/>
  <c r="Q28" i="1"/>
  <c r="N28" i="1"/>
  <c r="T28" i="1"/>
  <c r="W28" i="1"/>
  <c r="AC28" i="1"/>
  <c r="K30" i="1"/>
  <c r="BY30" i="1"/>
  <c r="BP30" i="1"/>
  <c r="CE30" i="1"/>
  <c r="BV30" i="1"/>
  <c r="CK30" i="1"/>
  <c r="BM30" i="1"/>
  <c r="CB30" i="1"/>
  <c r="CH30" i="1"/>
  <c r="BS30" i="1"/>
  <c r="BD30" i="1"/>
  <c r="BJ30" i="1"/>
  <c r="BA30" i="1"/>
  <c r="BG30" i="1"/>
  <c r="AR30" i="1"/>
  <c r="AL30" i="1"/>
  <c r="AU30" i="1"/>
  <c r="AX30" i="1"/>
  <c r="AI30" i="1"/>
  <c r="AC30" i="1"/>
  <c r="Z30" i="1"/>
  <c r="W30" i="1"/>
  <c r="Q30" i="1"/>
  <c r="N30" i="1"/>
  <c r="T30" i="1"/>
  <c r="AF30" i="1"/>
  <c r="AO30" i="1"/>
  <c r="CB56" i="1"/>
  <c r="BS56" i="1"/>
  <c r="CH56" i="1"/>
  <c r="BY56" i="1"/>
  <c r="BP56" i="1"/>
  <c r="CE56" i="1"/>
  <c r="BG56" i="1"/>
  <c r="AR56" i="1"/>
  <c r="BV56" i="1"/>
  <c r="BM56" i="1"/>
  <c r="CK56" i="1"/>
  <c r="BD56" i="1"/>
  <c r="BA56" i="1"/>
  <c r="AO56" i="1"/>
  <c r="Z56" i="1"/>
  <c r="BJ56" i="1"/>
  <c r="AX56" i="1"/>
  <c r="AL56" i="1"/>
  <c r="AU56" i="1"/>
  <c r="AC56" i="1"/>
  <c r="T56" i="1"/>
  <c r="AF56" i="1"/>
  <c r="W56" i="1"/>
  <c r="Q56" i="1"/>
  <c r="N56" i="1"/>
  <c r="AI56" i="1"/>
  <c r="K69" i="1"/>
  <c r="BY69" i="1"/>
  <c r="BP69" i="1"/>
  <c r="CE69" i="1"/>
  <c r="BV69" i="1"/>
  <c r="CK69" i="1"/>
  <c r="BM69" i="1"/>
  <c r="CB69" i="1"/>
  <c r="CH69" i="1"/>
  <c r="BS69" i="1"/>
  <c r="BD69" i="1"/>
  <c r="BJ69" i="1"/>
  <c r="BA69" i="1"/>
  <c r="AU69" i="1"/>
  <c r="AL69" i="1"/>
  <c r="AI69" i="1"/>
  <c r="AX69" i="1"/>
  <c r="BG69" i="1"/>
  <c r="W69" i="1"/>
  <c r="Q69" i="1"/>
  <c r="N69" i="1"/>
  <c r="AO69" i="1"/>
  <c r="AF69" i="1"/>
  <c r="AR69" i="1"/>
  <c r="T69" i="1"/>
  <c r="AC69" i="1"/>
  <c r="Z69" i="1"/>
  <c r="CK89" i="1"/>
  <c r="CB89" i="1"/>
  <c r="BS89" i="1"/>
  <c r="CH89" i="1"/>
  <c r="BY89" i="1"/>
  <c r="BP89" i="1"/>
  <c r="BJ89" i="1"/>
  <c r="CE89" i="1"/>
  <c r="BV89" i="1"/>
  <c r="BM89" i="1"/>
  <c r="BG89" i="1"/>
  <c r="AX89" i="1"/>
  <c r="AR89" i="1"/>
  <c r="BD89" i="1"/>
  <c r="BA89" i="1"/>
  <c r="AO89" i="1"/>
  <c r="AL89" i="1"/>
  <c r="AU89" i="1"/>
  <c r="T89" i="1"/>
  <c r="AI89" i="1"/>
  <c r="AF89" i="1"/>
  <c r="AC89" i="1"/>
  <c r="W89" i="1"/>
  <c r="Q89" i="1"/>
  <c r="N89" i="1"/>
  <c r="Z89" i="1"/>
  <c r="K101" i="1"/>
  <c r="CH101" i="1"/>
  <c r="BY101" i="1"/>
  <c r="BP101" i="1"/>
  <c r="CE101" i="1"/>
  <c r="BV101" i="1"/>
  <c r="CK101" i="1"/>
  <c r="BM101" i="1"/>
  <c r="BS101" i="1"/>
  <c r="BG101" i="1"/>
  <c r="BD101" i="1"/>
  <c r="AU101" i="1"/>
  <c r="CB101" i="1"/>
  <c r="BJ101" i="1"/>
  <c r="AO101" i="1"/>
  <c r="BA101" i="1"/>
  <c r="AL101" i="1"/>
  <c r="AR101" i="1"/>
  <c r="AI101" i="1"/>
  <c r="W101" i="1"/>
  <c r="Q101" i="1"/>
  <c r="N101" i="1"/>
  <c r="AX101" i="1"/>
  <c r="Z101" i="1"/>
  <c r="AF101" i="1"/>
  <c r="T101" i="1"/>
  <c r="AC101" i="1"/>
  <c r="CB111" i="1"/>
  <c r="BS111" i="1"/>
  <c r="CH111" i="1"/>
  <c r="BY111" i="1"/>
  <c r="BP111" i="1"/>
  <c r="CE111" i="1"/>
  <c r="BG111" i="1"/>
  <c r="BM111" i="1"/>
  <c r="BV111" i="1"/>
  <c r="BD111" i="1"/>
  <c r="CK111" i="1"/>
  <c r="BA111" i="1"/>
  <c r="AO111" i="1"/>
  <c r="BJ111" i="1"/>
  <c r="AL111" i="1"/>
  <c r="AC111" i="1"/>
  <c r="AU111" i="1"/>
  <c r="AI111" i="1"/>
  <c r="T111" i="1"/>
  <c r="AR111" i="1"/>
  <c r="AF111" i="1"/>
  <c r="Z111" i="1"/>
  <c r="W111" i="1"/>
  <c r="Q111" i="1"/>
  <c r="N111" i="1"/>
  <c r="AX111" i="1"/>
  <c r="CK19" i="1"/>
  <c r="CB19" i="1"/>
  <c r="BS19" i="1"/>
  <c r="CH19" i="1"/>
  <c r="BY19" i="1"/>
  <c r="BP19" i="1"/>
  <c r="BV19" i="1"/>
  <c r="BM19" i="1"/>
  <c r="CE19" i="1"/>
  <c r="BG19" i="1"/>
  <c r="AX19" i="1"/>
  <c r="BJ19" i="1"/>
  <c r="AU19" i="1"/>
  <c r="BD19" i="1"/>
  <c r="AI19" i="1"/>
  <c r="BA19" i="1"/>
  <c r="AR19" i="1"/>
  <c r="AO19" i="1"/>
  <c r="AL19" i="1"/>
  <c r="T19" i="1"/>
  <c r="AF19" i="1"/>
  <c r="AC19" i="1"/>
  <c r="W19" i="1"/>
  <c r="Q19" i="1"/>
  <c r="N19" i="1"/>
  <c r="Z19" i="1"/>
  <c r="K46" i="1"/>
  <c r="CH46" i="1"/>
  <c r="BY46" i="1"/>
  <c r="BP46" i="1"/>
  <c r="CE46" i="1"/>
  <c r="BV46" i="1"/>
  <c r="CK46" i="1"/>
  <c r="BM46" i="1"/>
  <c r="BG46" i="1"/>
  <c r="BD46" i="1"/>
  <c r="CB46" i="1"/>
  <c r="AU46" i="1"/>
  <c r="BJ46" i="1"/>
  <c r="BS46" i="1"/>
  <c r="AR46" i="1"/>
  <c r="AO46" i="1"/>
  <c r="BA46" i="1"/>
  <c r="AL46" i="1"/>
  <c r="AX46" i="1"/>
  <c r="AI46" i="1"/>
  <c r="W46" i="1"/>
  <c r="Q46" i="1"/>
  <c r="N46" i="1"/>
  <c r="AF46" i="1"/>
  <c r="T46" i="1"/>
  <c r="AC46" i="1"/>
  <c r="Z46" i="1"/>
  <c r="K67" i="1"/>
  <c r="CE67" i="1"/>
  <c r="BV67" i="1"/>
  <c r="CK67" i="1"/>
  <c r="BM67" i="1"/>
  <c r="CB67" i="1"/>
  <c r="BS67" i="1"/>
  <c r="CH67" i="1"/>
  <c r="BD67" i="1"/>
  <c r="BY67" i="1"/>
  <c r="BJ67" i="1"/>
  <c r="BP67" i="1"/>
  <c r="BG67" i="1"/>
  <c r="AR67" i="1"/>
  <c r="BA67" i="1"/>
  <c r="AL67" i="1"/>
  <c r="AX67" i="1"/>
  <c r="AO67" i="1"/>
  <c r="Z67" i="1"/>
  <c r="AF67" i="1"/>
  <c r="AI67" i="1"/>
  <c r="Q67" i="1"/>
  <c r="N67" i="1"/>
  <c r="AU67" i="1"/>
  <c r="T67" i="1"/>
  <c r="AC67" i="1"/>
  <c r="W67" i="1"/>
  <c r="CB88" i="1"/>
  <c r="BS88" i="1"/>
  <c r="CH88" i="1"/>
  <c r="BY88" i="1"/>
  <c r="BP88" i="1"/>
  <c r="CE88" i="1"/>
  <c r="BV88" i="1"/>
  <c r="BM88" i="1"/>
  <c r="BG88" i="1"/>
  <c r="CK88" i="1"/>
  <c r="BD88" i="1"/>
  <c r="BA88" i="1"/>
  <c r="AO88" i="1"/>
  <c r="BJ88" i="1"/>
  <c r="AX88" i="1"/>
  <c r="AL88" i="1"/>
  <c r="AU88" i="1"/>
  <c r="AC88" i="1"/>
  <c r="AI88" i="1"/>
  <c r="AF88" i="1"/>
  <c r="T88" i="1"/>
  <c r="AR88" i="1"/>
  <c r="W88" i="1"/>
  <c r="Q88" i="1"/>
  <c r="N88" i="1"/>
  <c r="Z88" i="1"/>
  <c r="K20" i="1"/>
  <c r="BV20" i="1"/>
  <c r="CK20" i="1"/>
  <c r="CB20" i="1"/>
  <c r="BS20" i="1"/>
  <c r="CH20" i="1"/>
  <c r="BJ20" i="1"/>
  <c r="BY20" i="1"/>
  <c r="BM20" i="1"/>
  <c r="BP20" i="1"/>
  <c r="BA20" i="1"/>
  <c r="CE20" i="1"/>
  <c r="BG20" i="1"/>
  <c r="AR20" i="1"/>
  <c r="AX20" i="1"/>
  <c r="AU20" i="1"/>
  <c r="BD20" i="1"/>
  <c r="AI20" i="1"/>
  <c r="AO20" i="1"/>
  <c r="AF20" i="1"/>
  <c r="AL20" i="1"/>
  <c r="Z20" i="1"/>
  <c r="T20" i="1"/>
  <c r="N20" i="1"/>
  <c r="Q20" i="1"/>
  <c r="AC20" i="1"/>
  <c r="W20" i="1"/>
  <c r="BS47" i="1"/>
  <c r="CH47" i="1"/>
  <c r="BY47" i="1"/>
  <c r="BP47" i="1"/>
  <c r="CE47" i="1"/>
  <c r="BV47" i="1"/>
  <c r="CK47" i="1"/>
  <c r="BG47" i="1"/>
  <c r="AX47" i="1"/>
  <c r="BD47" i="1"/>
  <c r="CB47" i="1"/>
  <c r="BM47" i="1"/>
  <c r="AU47" i="1"/>
  <c r="AR47" i="1"/>
  <c r="AO47" i="1"/>
  <c r="BA47" i="1"/>
  <c r="AF47" i="1"/>
  <c r="AL47" i="1"/>
  <c r="AC47" i="1"/>
  <c r="AI47" i="1"/>
  <c r="BJ47" i="1"/>
  <c r="W47" i="1"/>
  <c r="Q47" i="1"/>
  <c r="N47" i="1"/>
  <c r="T47" i="1"/>
  <c r="Z47" i="1"/>
  <c r="CB80" i="1"/>
  <c r="BS80" i="1"/>
  <c r="CH80" i="1"/>
  <c r="BY80" i="1"/>
  <c r="BP80" i="1"/>
  <c r="CE80" i="1"/>
  <c r="CK80" i="1"/>
  <c r="BG80" i="1"/>
  <c r="BM80" i="1"/>
  <c r="BD80" i="1"/>
  <c r="BJ80" i="1"/>
  <c r="BV80" i="1"/>
  <c r="AU80" i="1"/>
  <c r="BA80" i="1"/>
  <c r="AO80" i="1"/>
  <c r="AL80" i="1"/>
  <c r="AX80" i="1"/>
  <c r="AC80" i="1"/>
  <c r="AR80" i="1"/>
  <c r="AI80" i="1"/>
  <c r="AF80" i="1"/>
  <c r="W80" i="1"/>
  <c r="Z80" i="1"/>
  <c r="T80" i="1"/>
  <c r="Q80" i="1"/>
  <c r="N80" i="1"/>
  <c r="K21" i="1"/>
  <c r="CE21" i="1"/>
  <c r="BV21" i="1"/>
  <c r="CK21" i="1"/>
  <c r="BM21" i="1"/>
  <c r="CB21" i="1"/>
  <c r="BS21" i="1"/>
  <c r="CH21" i="1"/>
  <c r="BJ21" i="1"/>
  <c r="BY21" i="1"/>
  <c r="BD21" i="1"/>
  <c r="BP21" i="1"/>
  <c r="BG21" i="1"/>
  <c r="AR21" i="1"/>
  <c r="AL21" i="1"/>
  <c r="AU21" i="1"/>
  <c r="BA21" i="1"/>
  <c r="AI21" i="1"/>
  <c r="AX21" i="1"/>
  <c r="AO21" i="1"/>
  <c r="Z21" i="1"/>
  <c r="AF21" i="1"/>
  <c r="Q21" i="1"/>
  <c r="N21" i="1"/>
  <c r="T21" i="1"/>
  <c r="AC21" i="1"/>
  <c r="W21" i="1"/>
  <c r="CB33" i="1"/>
  <c r="BS33" i="1"/>
  <c r="CH33" i="1"/>
  <c r="BY33" i="1"/>
  <c r="BP33" i="1"/>
  <c r="CE33" i="1"/>
  <c r="BV33" i="1"/>
  <c r="BM33" i="1"/>
  <c r="BG33" i="1"/>
  <c r="AR33" i="1"/>
  <c r="BD33" i="1"/>
  <c r="AI33" i="1"/>
  <c r="AO33" i="1"/>
  <c r="Z33" i="1"/>
  <c r="CK33" i="1"/>
  <c r="BJ33" i="1"/>
  <c r="BA33" i="1"/>
  <c r="AL33" i="1"/>
  <c r="AU33" i="1"/>
  <c r="AC33" i="1"/>
  <c r="AF33" i="1"/>
  <c r="AX33" i="1"/>
  <c r="W33" i="1"/>
  <c r="Q33" i="1"/>
  <c r="N33" i="1"/>
  <c r="T33" i="1"/>
  <c r="CB48" i="1"/>
  <c r="BS48" i="1"/>
  <c r="CH48" i="1"/>
  <c r="BY48" i="1"/>
  <c r="BP48" i="1"/>
  <c r="CE48" i="1"/>
  <c r="CK48" i="1"/>
  <c r="BV48" i="1"/>
  <c r="BG48" i="1"/>
  <c r="AR48" i="1"/>
  <c r="BD48" i="1"/>
  <c r="BJ48" i="1"/>
  <c r="AI48" i="1"/>
  <c r="AU48" i="1"/>
  <c r="AO48" i="1"/>
  <c r="Z48" i="1"/>
  <c r="BM48" i="1"/>
  <c r="BA48" i="1"/>
  <c r="AX48" i="1"/>
  <c r="AL48" i="1"/>
  <c r="AC48" i="1"/>
  <c r="T48" i="1"/>
  <c r="W48" i="1"/>
  <c r="AF48" i="1"/>
  <c r="Q48" i="1"/>
  <c r="N48" i="1"/>
  <c r="K58" i="1"/>
  <c r="BV58" i="1"/>
  <c r="CK58" i="1"/>
  <c r="CB58" i="1"/>
  <c r="BS58" i="1"/>
  <c r="CH58" i="1"/>
  <c r="BY58" i="1"/>
  <c r="BP58" i="1"/>
  <c r="BJ58" i="1"/>
  <c r="BA58" i="1"/>
  <c r="BG58" i="1"/>
  <c r="AR58" i="1"/>
  <c r="BM58" i="1"/>
  <c r="AX58" i="1"/>
  <c r="AU58" i="1"/>
  <c r="CE58" i="1"/>
  <c r="AI58" i="1"/>
  <c r="AO58" i="1"/>
  <c r="BD58" i="1"/>
  <c r="AF58" i="1"/>
  <c r="T58" i="1"/>
  <c r="AL58" i="1"/>
  <c r="Q58" i="1"/>
  <c r="N58" i="1"/>
  <c r="AC58" i="1"/>
  <c r="Z58" i="1"/>
  <c r="W58" i="1"/>
  <c r="CB72" i="1"/>
  <c r="BS72" i="1"/>
  <c r="CH72" i="1"/>
  <c r="BY72" i="1"/>
  <c r="BP72" i="1"/>
  <c r="CE72" i="1"/>
  <c r="BG72" i="1"/>
  <c r="AR72" i="1"/>
  <c r="BV72" i="1"/>
  <c r="BD72" i="1"/>
  <c r="AX72" i="1"/>
  <c r="AO72" i="1"/>
  <c r="BA72" i="1"/>
  <c r="AU72" i="1"/>
  <c r="BM72" i="1"/>
  <c r="BJ72" i="1"/>
  <c r="AL72" i="1"/>
  <c r="AC72" i="1"/>
  <c r="Z72" i="1"/>
  <c r="T72" i="1"/>
  <c r="AI72" i="1"/>
  <c r="W72" i="1"/>
  <c r="CK72" i="1"/>
  <c r="Q72" i="1"/>
  <c r="N72" i="1"/>
  <c r="AF72" i="1"/>
  <c r="CK81" i="1"/>
  <c r="CB81" i="1"/>
  <c r="BS81" i="1"/>
  <c r="CH81" i="1"/>
  <c r="BY81" i="1"/>
  <c r="BP81" i="1"/>
  <c r="CE81" i="1"/>
  <c r="BV81" i="1"/>
  <c r="BJ81" i="1"/>
  <c r="BG81" i="1"/>
  <c r="AX81" i="1"/>
  <c r="AR81" i="1"/>
  <c r="AU81" i="1"/>
  <c r="BA81" i="1"/>
  <c r="AO81" i="1"/>
  <c r="AL81" i="1"/>
  <c r="BM81" i="1"/>
  <c r="Z81" i="1"/>
  <c r="T81" i="1"/>
  <c r="BD81" i="1"/>
  <c r="AI81" i="1"/>
  <c r="AF81" i="1"/>
  <c r="AC81" i="1"/>
  <c r="W81" i="1"/>
  <c r="Q81" i="1"/>
  <c r="N81" i="1"/>
  <c r="K90" i="1"/>
  <c r="BV90" i="1"/>
  <c r="CK90" i="1"/>
  <c r="CB90" i="1"/>
  <c r="BS90" i="1"/>
  <c r="CH90" i="1"/>
  <c r="BY90" i="1"/>
  <c r="BJ90" i="1"/>
  <c r="BA90" i="1"/>
  <c r="CE90" i="1"/>
  <c r="BM90" i="1"/>
  <c r="BG90" i="1"/>
  <c r="AX90" i="1"/>
  <c r="AU90" i="1"/>
  <c r="AR90" i="1"/>
  <c r="BD90" i="1"/>
  <c r="AI90" i="1"/>
  <c r="BP90" i="1"/>
  <c r="AO90" i="1"/>
  <c r="AF90" i="1"/>
  <c r="Z90" i="1"/>
  <c r="T90" i="1"/>
  <c r="AC90" i="1"/>
  <c r="AL90" i="1"/>
  <c r="W90" i="1"/>
  <c r="Q90" i="1"/>
  <c r="N90" i="1"/>
  <c r="BS102" i="1"/>
  <c r="CH102" i="1"/>
  <c r="BY102" i="1"/>
  <c r="BP102" i="1"/>
  <c r="CE102" i="1"/>
  <c r="BV102" i="1"/>
  <c r="BG102" i="1"/>
  <c r="CK102" i="1"/>
  <c r="AX102" i="1"/>
  <c r="BD102" i="1"/>
  <c r="BM102" i="1"/>
  <c r="AU102" i="1"/>
  <c r="CB102" i="1"/>
  <c r="BJ102" i="1"/>
  <c r="AO102" i="1"/>
  <c r="AF102" i="1"/>
  <c r="BA102" i="1"/>
  <c r="AL102" i="1"/>
  <c r="AC102" i="1"/>
  <c r="AR102" i="1"/>
  <c r="AI102" i="1"/>
  <c r="W102" i="1"/>
  <c r="Z102" i="1"/>
  <c r="Q102" i="1"/>
  <c r="N102" i="1"/>
  <c r="T102" i="1"/>
  <c r="CK112" i="1"/>
  <c r="CB112" i="1"/>
  <c r="BS112" i="1"/>
  <c r="CH112" i="1"/>
  <c r="BY112" i="1"/>
  <c r="BP112" i="1"/>
  <c r="BJ112" i="1"/>
  <c r="BG112" i="1"/>
  <c r="BM112" i="1"/>
  <c r="AX112" i="1"/>
  <c r="CE112" i="1"/>
  <c r="BD112" i="1"/>
  <c r="AU112" i="1"/>
  <c r="AR112" i="1"/>
  <c r="BA112" i="1"/>
  <c r="BV112" i="1"/>
  <c r="AO112" i="1"/>
  <c r="AL112" i="1"/>
  <c r="T112" i="1"/>
  <c r="AI112" i="1"/>
  <c r="AF112" i="1"/>
  <c r="AC112" i="1"/>
  <c r="Z112" i="1"/>
  <c r="W112" i="1"/>
  <c r="Q112" i="1"/>
  <c r="N112" i="1"/>
  <c r="K112" i="1"/>
  <c r="K80" i="1"/>
  <c r="K48" i="1"/>
  <c r="CW135" i="1" l="1"/>
  <c r="DL135" i="1"/>
  <c r="CW97" i="1"/>
  <c r="DL97" i="1"/>
  <c r="CS8" i="1"/>
  <c r="CY7" i="1"/>
  <c r="DI135" i="1"/>
  <c r="DF97" i="1"/>
  <c r="DI97" i="1"/>
  <c r="N97" i="1"/>
  <c r="CH97" i="1"/>
  <c r="BS97" i="1"/>
  <c r="CB97" i="1"/>
  <c r="CK97" i="1"/>
  <c r="CQ97" i="1"/>
  <c r="Q97" i="1"/>
  <c r="CN97" i="1"/>
  <c r="Z97" i="1"/>
  <c r="AL97" i="1"/>
  <c r="BD97" i="1"/>
  <c r="BV97" i="1"/>
  <c r="K97" i="1"/>
  <c r="AO97" i="1"/>
  <c r="AR97" i="1"/>
  <c r="AX97" i="1"/>
  <c r="AC97" i="1"/>
  <c r="BM97" i="1"/>
  <c r="DF135" i="1"/>
  <c r="CN135" i="1"/>
  <c r="CB135" i="1"/>
  <c r="N135" i="1"/>
  <c r="W135" i="1"/>
  <c r="AC135" i="1"/>
  <c r="BJ135" i="1"/>
  <c r="Z135" i="1"/>
  <c r="AL135" i="1"/>
  <c r="T135" i="1"/>
  <c r="CK135" i="1"/>
  <c r="AR135" i="1"/>
  <c r="Q135" i="1"/>
  <c r="AI135" i="1"/>
  <c r="BY135" i="1"/>
  <c r="BP135" i="1"/>
  <c r="BM135" i="1"/>
  <c r="AF135" i="1"/>
  <c r="BG135" i="1"/>
  <c r="BV135" i="1"/>
  <c r="CQ135" i="1"/>
  <c r="AU135" i="1"/>
  <c r="BD135" i="1"/>
  <c r="BA135" i="1"/>
  <c r="CE135" i="1"/>
  <c r="CH135" i="1"/>
  <c r="AX135" i="1"/>
  <c r="BS135" i="1"/>
  <c r="AO135" i="1"/>
  <c r="H135" i="1"/>
  <c r="I135" i="1" s="1"/>
  <c r="K135" i="1"/>
  <c r="BA97" i="1"/>
  <c r="AF97" i="1"/>
  <c r="BJ97" i="1"/>
  <c r="T97" i="1"/>
  <c r="BG97" i="1"/>
  <c r="AI97" i="1"/>
  <c r="CE97" i="1"/>
  <c r="BP97" i="1"/>
  <c r="W97" i="1"/>
  <c r="AU97" i="1"/>
  <c r="BY97" i="1"/>
  <c r="H14" i="1" l="1"/>
  <c r="I14" i="1" s="1"/>
  <c r="H15" i="1"/>
  <c r="I15" i="1" s="1"/>
  <c r="H20" i="1"/>
  <c r="I20" i="1" s="1"/>
  <c r="H18" i="1"/>
  <c r="I18" i="1" s="1"/>
  <c r="H16" i="1"/>
  <c r="I16" i="1" s="1"/>
  <c r="H17" i="1"/>
  <c r="I17" i="1" s="1"/>
  <c r="H19" i="1"/>
  <c r="I19" i="1" s="1"/>
  <c r="H21" i="1"/>
  <c r="I21" i="1" s="1"/>
  <c r="H22" i="1"/>
  <c r="I22" i="1" s="1"/>
  <c r="H23" i="1"/>
  <c r="I23" i="1" s="1"/>
  <c r="H12" i="1"/>
  <c r="I12" i="1" s="1"/>
  <c r="H13" i="1"/>
  <c r="I13" i="1" s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 s="1"/>
  <c r="H30" i="1"/>
  <c r="I30" i="1" s="1"/>
  <c r="H31" i="1"/>
  <c r="I31" i="1" s="1"/>
  <c r="H32" i="1"/>
  <c r="I32" i="1" s="1"/>
  <c r="H33" i="1"/>
  <c r="I33" i="1" s="1"/>
  <c r="H34" i="1"/>
  <c r="I34" i="1" s="1"/>
  <c r="H35" i="1"/>
  <c r="I35" i="1" s="1"/>
  <c r="H36" i="1"/>
  <c r="I36" i="1" s="1"/>
  <c r="H37" i="1"/>
  <c r="I37" i="1" s="1"/>
  <c r="H38" i="1"/>
  <c r="I38" i="1" s="1"/>
  <c r="H39" i="1"/>
  <c r="I39" i="1" s="1"/>
  <c r="H40" i="1"/>
  <c r="I40" i="1" s="1"/>
  <c r="H41" i="1"/>
  <c r="I41" i="1" s="1"/>
  <c r="H42" i="1"/>
  <c r="I42" i="1" s="1"/>
  <c r="H43" i="1"/>
  <c r="I43" i="1" s="1"/>
  <c r="H44" i="1"/>
  <c r="I44" i="1" s="1"/>
  <c r="H45" i="1"/>
  <c r="I45" i="1" s="1"/>
  <c r="H46" i="1"/>
  <c r="I46" i="1" s="1"/>
  <c r="H47" i="1"/>
  <c r="I47" i="1" s="1"/>
  <c r="H48" i="1"/>
  <c r="I48" i="1" s="1"/>
  <c r="H49" i="1"/>
  <c r="I49" i="1" s="1"/>
  <c r="H50" i="1"/>
  <c r="I50" i="1" s="1"/>
  <c r="H51" i="1"/>
  <c r="I51" i="1" s="1"/>
  <c r="H52" i="1"/>
  <c r="I52" i="1" s="1"/>
  <c r="H53" i="1"/>
  <c r="I53" i="1" s="1"/>
  <c r="H54" i="1"/>
  <c r="I54" i="1" s="1"/>
  <c r="H55" i="1"/>
  <c r="I55" i="1" s="1"/>
  <c r="H56" i="1"/>
  <c r="I56" i="1" s="1"/>
  <c r="H57" i="1"/>
  <c r="I57" i="1" s="1"/>
  <c r="H58" i="1"/>
  <c r="I58" i="1" s="1"/>
  <c r="H59" i="1"/>
  <c r="I59" i="1" s="1"/>
  <c r="H60" i="1"/>
  <c r="I60" i="1" s="1"/>
  <c r="H61" i="1"/>
  <c r="I61" i="1" s="1"/>
  <c r="H62" i="1"/>
  <c r="I62" i="1" s="1"/>
  <c r="H63" i="1"/>
  <c r="I63" i="1" s="1"/>
  <c r="H64" i="1"/>
  <c r="I64" i="1" s="1"/>
  <c r="H65" i="1"/>
  <c r="I65" i="1" s="1"/>
  <c r="H66" i="1"/>
  <c r="I66" i="1" s="1"/>
  <c r="H67" i="1"/>
  <c r="I67" i="1" s="1"/>
  <c r="H68" i="1"/>
  <c r="I68" i="1" s="1"/>
  <c r="H69" i="1"/>
  <c r="I69" i="1" s="1"/>
  <c r="H70" i="1"/>
  <c r="I70" i="1" s="1"/>
  <c r="H72" i="1"/>
  <c r="I72" i="1" s="1"/>
  <c r="H73" i="1"/>
  <c r="I73" i="1" s="1"/>
  <c r="H74" i="1"/>
  <c r="I74" i="1" s="1"/>
  <c r="H75" i="1"/>
  <c r="I75" i="1" s="1"/>
  <c r="H76" i="1"/>
  <c r="I76" i="1" s="1"/>
  <c r="H77" i="1"/>
  <c r="I77" i="1" s="1"/>
  <c r="H78" i="1"/>
  <c r="I78" i="1" s="1"/>
  <c r="H79" i="1"/>
  <c r="I79" i="1" s="1"/>
  <c r="H80" i="1"/>
  <c r="I80" i="1" s="1"/>
  <c r="H81" i="1"/>
  <c r="I81" i="1" s="1"/>
  <c r="H82" i="1"/>
  <c r="I82" i="1" s="1"/>
  <c r="H83" i="1"/>
  <c r="I83" i="1" s="1"/>
  <c r="H84" i="1"/>
  <c r="I84" i="1" s="1"/>
  <c r="H85" i="1"/>
  <c r="I85" i="1" s="1"/>
  <c r="H86" i="1"/>
  <c r="I86" i="1" s="1"/>
  <c r="H87" i="1"/>
  <c r="I87" i="1" s="1"/>
  <c r="H88" i="1"/>
  <c r="I88" i="1" s="1"/>
  <c r="H89" i="1"/>
  <c r="I89" i="1" s="1"/>
  <c r="H90" i="1"/>
  <c r="I90" i="1" s="1"/>
  <c r="H91" i="1"/>
  <c r="I91" i="1" s="1"/>
  <c r="H92" i="1"/>
  <c r="I92" i="1" s="1"/>
  <c r="H93" i="1"/>
  <c r="I93" i="1" s="1"/>
  <c r="H94" i="1"/>
  <c r="I94" i="1" s="1"/>
  <c r="H95" i="1"/>
  <c r="I95" i="1" s="1"/>
  <c r="H96" i="1"/>
  <c r="I96" i="1" s="1"/>
  <c r="H97" i="1"/>
  <c r="I97" i="1" s="1"/>
  <c r="H98" i="1"/>
  <c r="I98" i="1" s="1"/>
  <c r="H99" i="1"/>
  <c r="I99" i="1" s="1"/>
  <c r="H100" i="1"/>
  <c r="I100" i="1" s="1"/>
  <c r="H101" i="1"/>
  <c r="I101" i="1" s="1"/>
  <c r="H102" i="1"/>
  <c r="I102" i="1" s="1"/>
  <c r="H103" i="1"/>
  <c r="I103" i="1" s="1"/>
  <c r="H104" i="1"/>
  <c r="I104" i="1" s="1"/>
  <c r="H105" i="1"/>
  <c r="I105" i="1" s="1"/>
  <c r="H106" i="1"/>
  <c r="I106" i="1" s="1"/>
  <c r="H107" i="1"/>
  <c r="I107" i="1" s="1"/>
  <c r="H108" i="1"/>
  <c r="I108" i="1" s="1"/>
  <c r="H109" i="1"/>
  <c r="I109" i="1" s="1"/>
  <c r="H10" i="1"/>
  <c r="I10" i="1" s="1"/>
  <c r="H110" i="1"/>
  <c r="I110" i="1" s="1"/>
  <c r="H111" i="1"/>
  <c r="I111" i="1" s="1"/>
  <c r="H112" i="1"/>
  <c r="I112" i="1" s="1"/>
  <c r="H11" i="1"/>
  <c r="I11" i="1" s="1"/>
  <c r="H113" i="1"/>
  <c r="I113" i="1" s="1"/>
  <c r="H114" i="1"/>
  <c r="I114" i="1" s="1"/>
  <c r="H115" i="1"/>
  <c r="I115" i="1" s="1"/>
  <c r="H116" i="1"/>
  <c r="I116" i="1" s="1"/>
  <c r="H117" i="1"/>
  <c r="I117" i="1" s="1"/>
  <c r="H118" i="1"/>
  <c r="I118" i="1" s="1"/>
  <c r="H119" i="1"/>
  <c r="I119" i="1" s="1"/>
  <c r="H120" i="1"/>
  <c r="I120" i="1" s="1"/>
  <c r="H121" i="1"/>
  <c r="I121" i="1" s="1"/>
  <c r="H122" i="1"/>
  <c r="I122" i="1" s="1"/>
  <c r="H123" i="1"/>
  <c r="I123" i="1" s="1"/>
  <c r="H124" i="1"/>
  <c r="I124" i="1" s="1"/>
  <c r="H125" i="1"/>
  <c r="I125" i="1" s="1"/>
  <c r="H127" i="1"/>
  <c r="I127" i="1" s="1"/>
  <c r="H128" i="1"/>
  <c r="I128" i="1" s="1"/>
  <c r="H129" i="1"/>
  <c r="I129" i="1" s="1"/>
  <c r="H136" i="1"/>
  <c r="I136" i="1" s="1"/>
  <c r="H137" i="1"/>
  <c r="I137" i="1" s="1"/>
  <c r="H138" i="1"/>
  <c r="I138" i="1" s="1"/>
  <c r="H139" i="1"/>
  <c r="I139" i="1" s="1"/>
  <c r="CB126" i="1" l="1"/>
  <c r="CE126" i="1" l="1"/>
  <c r="AR126" i="1"/>
  <c r="AF126" i="1"/>
  <c r="DI126" i="1"/>
  <c r="CK126" i="1"/>
  <c r="T126" i="1"/>
  <c r="Q126" i="1"/>
  <c r="AC126" i="1"/>
  <c r="BP126" i="1"/>
  <c r="AO126" i="1"/>
  <c r="AU126" i="1"/>
  <c r="AI126" i="1"/>
  <c r="BS126" i="1"/>
  <c r="H126" i="1"/>
  <c r="I126" i="1" s="1"/>
  <c r="BV126" i="1"/>
  <c r="N126" i="1"/>
  <c r="BY126" i="1"/>
  <c r="W126" i="1"/>
  <c r="BG126" i="1"/>
  <c r="Z126" i="1"/>
  <c r="AX126" i="1"/>
  <c r="K126" i="1"/>
  <c r="CH126" i="1"/>
  <c r="CQ126" i="1"/>
  <c r="AL126" i="1"/>
  <c r="BJ126" i="1"/>
  <c r="CN126" i="1"/>
  <c r="BM126" i="1"/>
  <c r="DF126" i="1"/>
  <c r="BD126" i="1"/>
  <c r="BA126" i="1"/>
  <c r="D141" i="1"/>
  <c r="DL141" i="1" s="1"/>
  <c r="DC141" i="1" l="1"/>
  <c r="CW141" i="1"/>
  <c r="AI141" i="1"/>
  <c r="DF141" i="1"/>
  <c r="BA141" i="1"/>
  <c r="CE141" i="1"/>
  <c r="AC141" i="1"/>
  <c r="AL141" i="1"/>
  <c r="BG141" i="1"/>
  <c r="BJ141" i="1"/>
  <c r="N141" i="1"/>
  <c r="W141" i="1"/>
  <c r="AX141" i="1"/>
  <c r="AO141" i="1"/>
  <c r="Z141" i="1"/>
  <c r="T141" i="1"/>
  <c r="DI141" i="1"/>
  <c r="BM141" i="1"/>
  <c r="AR141" i="1"/>
  <c r="BV141" i="1"/>
  <c r="BD141" i="1"/>
  <c r="AU141" i="1"/>
  <c r="K141" i="1"/>
  <c r="H141" i="1"/>
  <c r="I141" i="1" s="1"/>
  <c r="CB141" i="1"/>
  <c r="Q141" i="1"/>
  <c r="BY141" i="1"/>
  <c r="BS141" i="1"/>
  <c r="CK141" i="1"/>
  <c r="BP141" i="1"/>
  <c r="CN141" i="1"/>
  <c r="AF141" i="1"/>
  <c r="CH141" i="1"/>
  <c r="CQ141" i="1"/>
  <c r="DB2" i="1" l="1"/>
  <c r="DB3" i="1" s="1"/>
  <c r="DB4" i="1" s="1"/>
  <c r="D132" i="1"/>
  <c r="CQ132" i="1" l="1"/>
  <c r="DL132" i="1"/>
  <c r="DB8" i="1"/>
  <c r="DB7" i="1"/>
  <c r="E71" i="1"/>
  <c r="D71" i="1" s="1"/>
  <c r="Q71" i="1" s="1"/>
  <c r="H132" i="1"/>
  <c r="I132" i="1" s="1"/>
  <c r="AI132" i="1"/>
  <c r="BM132" i="1"/>
  <c r="CK132" i="1"/>
  <c r="AO132" i="1"/>
  <c r="AC132" i="1"/>
  <c r="BD132" i="1"/>
  <c r="BJ132" i="1"/>
  <c r="Z132" i="1"/>
  <c r="CW132" i="1"/>
  <c r="BG132" i="1"/>
  <c r="BV132" i="1"/>
  <c r="DF132" i="1"/>
  <c r="W132" i="1"/>
  <c r="BY132" i="1"/>
  <c r="N132" i="1"/>
  <c r="CB132" i="1"/>
  <c r="AF132" i="1"/>
  <c r="T132" i="1"/>
  <c r="AU132" i="1"/>
  <c r="AX132" i="1"/>
  <c r="AL132" i="1"/>
  <c r="AR132" i="1"/>
  <c r="CN132" i="1"/>
  <c r="BS132" i="1"/>
  <c r="BP132" i="1"/>
  <c r="DI132" i="1"/>
  <c r="Q132" i="1"/>
  <c r="CH132" i="1"/>
  <c r="CE132" i="1"/>
  <c r="K132" i="1"/>
  <c r="BA132" i="1"/>
  <c r="DI71" i="1" l="1"/>
  <c r="DH2" i="1" s="1"/>
  <c r="N71" i="1"/>
  <c r="M2" i="1" s="1"/>
  <c r="B3" i="3" s="1"/>
  <c r="DL71" i="1"/>
  <c r="DK2" i="1" s="1"/>
  <c r="DK3" i="1" s="1"/>
  <c r="DK4" i="1" s="1"/>
  <c r="BA71" i="1"/>
  <c r="AZ2" i="1" s="1"/>
  <c r="AX71" i="1"/>
  <c r="AW2" i="1" s="1"/>
  <c r="W71" i="1"/>
  <c r="V2" i="1" s="1"/>
  <c r="B7" i="6" s="1"/>
  <c r="CB71" i="1"/>
  <c r="CA2" i="1" s="1"/>
  <c r="CQ71" i="1"/>
  <c r="BJ71" i="1"/>
  <c r="BI2" i="1" s="1"/>
  <c r="AR71" i="1"/>
  <c r="BV71" i="1"/>
  <c r="BU2" i="1" s="1"/>
  <c r="AU71" i="1"/>
  <c r="AT2" i="1" s="1"/>
  <c r="AL71" i="1"/>
  <c r="AK2" i="1" s="1"/>
  <c r="H71" i="1"/>
  <c r="I71" i="1" s="1"/>
  <c r="CN71" i="1"/>
  <c r="CM2" i="1" s="1"/>
  <c r="BP71" i="1"/>
  <c r="BO2" i="1" s="1"/>
  <c r="AO71" i="1"/>
  <c r="AN2" i="1" s="1"/>
  <c r="CW71" i="1"/>
  <c r="BY71" i="1"/>
  <c r="BX2" i="1" s="1"/>
  <c r="BG71" i="1"/>
  <c r="BF2" i="1" s="1"/>
  <c r="T71" i="1"/>
  <c r="S2" i="1" s="1"/>
  <c r="B4" i="3" s="1"/>
  <c r="CE71" i="1"/>
  <c r="CD2" i="1" s="1"/>
  <c r="BD71" i="1"/>
  <c r="BC2" i="1" s="1"/>
  <c r="AC71" i="1"/>
  <c r="AB2" i="1" s="1"/>
  <c r="B9" i="6" s="1"/>
  <c r="K71" i="1"/>
  <c r="CK71" i="1"/>
  <c r="CJ2" i="1" s="1"/>
  <c r="BS71" i="1"/>
  <c r="BR2" i="1" s="1"/>
  <c r="BM71" i="1"/>
  <c r="BL2" i="1" s="1"/>
  <c r="DF71" i="1"/>
  <c r="AF71" i="1"/>
  <c r="AE2" i="1" s="1"/>
  <c r="AI71" i="1"/>
  <c r="AH2" i="1" s="1"/>
  <c r="Z71" i="1"/>
  <c r="Y2" i="1" s="1"/>
  <c r="CH71" i="1"/>
  <c r="CG2" i="1" s="1"/>
  <c r="P2" i="1"/>
  <c r="B5" i="3" s="1"/>
  <c r="J2" i="1" l="1"/>
  <c r="B2" i="3" s="1"/>
  <c r="BQ132" i="1"/>
  <c r="I15" i="4"/>
  <c r="K15" i="4" s="1"/>
  <c r="B22" i="6"/>
  <c r="AG132" i="1"/>
  <c r="B10" i="6"/>
  <c r="D14" i="2"/>
  <c r="D12" i="2"/>
  <c r="D13" i="2"/>
  <c r="D11" i="2"/>
  <c r="B16" i="6"/>
  <c r="I12" i="4"/>
  <c r="K12" i="4" s="1"/>
  <c r="BN114" i="1"/>
  <c r="B21" i="6"/>
  <c r="I14" i="4"/>
  <c r="K14" i="4" s="1"/>
  <c r="BZ132" i="1"/>
  <c r="I9" i="4"/>
  <c r="B25" i="6"/>
  <c r="BW132" i="1"/>
  <c r="I10" i="4"/>
  <c r="K10" i="4" s="1"/>
  <c r="B24" i="6"/>
  <c r="I9" i="6"/>
  <c r="D9" i="6"/>
  <c r="BE55" i="1"/>
  <c r="I13" i="4"/>
  <c r="K13" i="4" s="1"/>
  <c r="B18" i="6"/>
  <c r="CC132" i="1"/>
  <c r="B26" i="6"/>
  <c r="I7" i="6"/>
  <c r="D7" i="6"/>
  <c r="BB132" i="1"/>
  <c r="B17" i="6"/>
  <c r="AV132" i="1"/>
  <c r="B15" i="6"/>
  <c r="BT132" i="1"/>
  <c r="I16" i="4"/>
  <c r="K16" i="4" s="1"/>
  <c r="B23" i="6"/>
  <c r="R132" i="1"/>
  <c r="CL27" i="1"/>
  <c r="B29" i="6"/>
  <c r="D16" i="2"/>
  <c r="D18" i="2"/>
  <c r="D17" i="2"/>
  <c r="D15" i="2"/>
  <c r="AA132" i="1"/>
  <c r="B8" i="6"/>
  <c r="B11" i="6"/>
  <c r="I6" i="4"/>
  <c r="CO132" i="1"/>
  <c r="B30" i="6"/>
  <c r="CF132" i="1"/>
  <c r="B27" i="6"/>
  <c r="AM132" i="1"/>
  <c r="B12" i="6"/>
  <c r="I7" i="4"/>
  <c r="K7" i="4" s="1"/>
  <c r="BH132" i="1"/>
  <c r="B19" i="6"/>
  <c r="CI132" i="1"/>
  <c r="B28" i="6"/>
  <c r="AP132" i="1"/>
  <c r="B13" i="6"/>
  <c r="BK132" i="1"/>
  <c r="I11" i="4"/>
  <c r="K11" i="4" s="1"/>
  <c r="J20" i="4" s="1"/>
  <c r="B20" i="6"/>
  <c r="AQ2" i="1"/>
  <c r="AS96" i="1" s="1"/>
  <c r="O132" i="1"/>
  <c r="DK8" i="1"/>
  <c r="DK7" i="1"/>
  <c r="BE62" i="1"/>
  <c r="BE130" i="1"/>
  <c r="BE57" i="1"/>
  <c r="BE95" i="1"/>
  <c r="BE75" i="1"/>
  <c r="BE80" i="1"/>
  <c r="BE139" i="1"/>
  <c r="BE58" i="1"/>
  <c r="BE32" i="1"/>
  <c r="BE87" i="1"/>
  <c r="BE65" i="1"/>
  <c r="BE21" i="1"/>
  <c r="BE38" i="1"/>
  <c r="BE118" i="1"/>
  <c r="BE19" i="1"/>
  <c r="BE15" i="1"/>
  <c r="BE16" i="1"/>
  <c r="BE122" i="1"/>
  <c r="BE34" i="1"/>
  <c r="BE11" i="1"/>
  <c r="BE50" i="1"/>
  <c r="BE64" i="1"/>
  <c r="BE69" i="1"/>
  <c r="CL52" i="1"/>
  <c r="CL46" i="1"/>
  <c r="BE100" i="1"/>
  <c r="BE37" i="1"/>
  <c r="CL114" i="1"/>
  <c r="CP2" i="1"/>
  <c r="BE44" i="1"/>
  <c r="BE114" i="1"/>
  <c r="BE84" i="1"/>
  <c r="BE136" i="1"/>
  <c r="BE73" i="1"/>
  <c r="BE63" i="1"/>
  <c r="BE54" i="1"/>
  <c r="CL54" i="1"/>
  <c r="CL45" i="1"/>
  <c r="CL58" i="1"/>
  <c r="CL42" i="1"/>
  <c r="CL88" i="1"/>
  <c r="CL129" i="1"/>
  <c r="CL94" i="1"/>
  <c r="CL112" i="1"/>
  <c r="CL20" i="1"/>
  <c r="CL110" i="1"/>
  <c r="CL84" i="1"/>
  <c r="CL49" i="1"/>
  <c r="CL51" i="1"/>
  <c r="DE2" i="1"/>
  <c r="DE3" i="1" s="1"/>
  <c r="DE4" i="1" s="1"/>
  <c r="CL18" i="1"/>
  <c r="CL79" i="1"/>
  <c r="CL130" i="1"/>
  <c r="CL123" i="1"/>
  <c r="BN43" i="1"/>
  <c r="BN13" i="1"/>
  <c r="CL15" i="1"/>
  <c r="BN126" i="1"/>
  <c r="CL119" i="1"/>
  <c r="CL141" i="1"/>
  <c r="CL38" i="1"/>
  <c r="CL100" i="1"/>
  <c r="CL33" i="1"/>
  <c r="CL12" i="1"/>
  <c r="BN110" i="1"/>
  <c r="CL31" i="1"/>
  <c r="CL113" i="1"/>
  <c r="CL68" i="1"/>
  <c r="CL74" i="1"/>
  <c r="BN105" i="1"/>
  <c r="CL137" i="1"/>
  <c r="BN10" i="1"/>
  <c r="CL87" i="1"/>
  <c r="CL48" i="1"/>
  <c r="BN23" i="1"/>
  <c r="BN128" i="1"/>
  <c r="BN62" i="1"/>
  <c r="CL25" i="1"/>
  <c r="CL101" i="1"/>
  <c r="BN63" i="1"/>
  <c r="BN135" i="1"/>
  <c r="BN55" i="1"/>
  <c r="CL23" i="1"/>
  <c r="CL86" i="1"/>
  <c r="CL71" i="1"/>
  <c r="BN116" i="1"/>
  <c r="CL21" i="1"/>
  <c r="BN142" i="1"/>
  <c r="CL80" i="1"/>
  <c r="BN17" i="1"/>
  <c r="BN132" i="1"/>
  <c r="CL16" i="1"/>
  <c r="BN78" i="1"/>
  <c r="CL14" i="1"/>
  <c r="CL72" i="1"/>
  <c r="BN58" i="1"/>
  <c r="CL127" i="1"/>
  <c r="BN122" i="1"/>
  <c r="BN95" i="1"/>
  <c r="BN70" i="1"/>
  <c r="BN91" i="1"/>
  <c r="CL81" i="1"/>
  <c r="CL61" i="1"/>
  <c r="CL121" i="1"/>
  <c r="BN12" i="1"/>
  <c r="BN104" i="1"/>
  <c r="BN123" i="1"/>
  <c r="BN53" i="1"/>
  <c r="BN117" i="1"/>
  <c r="BN59" i="1"/>
  <c r="CL89" i="1"/>
  <c r="CL131" i="1"/>
  <c r="CL115" i="1"/>
  <c r="BN100" i="1"/>
  <c r="CL98" i="1"/>
  <c r="CL34" i="1"/>
  <c r="BN87" i="1"/>
  <c r="CL47" i="1"/>
  <c r="CL77" i="1"/>
  <c r="CL17" i="1"/>
  <c r="CL32" i="1"/>
  <c r="BN54" i="1"/>
  <c r="CL26" i="1"/>
  <c r="BN32" i="1"/>
  <c r="BN48" i="1"/>
  <c r="BN137" i="1"/>
  <c r="BN79" i="1"/>
  <c r="BN113" i="1"/>
  <c r="BN52" i="1"/>
  <c r="BN96" i="1"/>
  <c r="BN28" i="1"/>
  <c r="BN49" i="1"/>
  <c r="CL39" i="1"/>
  <c r="BN25" i="1"/>
  <c r="BN14" i="1"/>
  <c r="CL117" i="1"/>
  <c r="CV2" i="1"/>
  <c r="CV3" i="1" s="1"/>
  <c r="CV4" i="1" s="1"/>
  <c r="CL109" i="1"/>
  <c r="BN107" i="1"/>
  <c r="CL118" i="1"/>
  <c r="CL55" i="1"/>
  <c r="BN120" i="1"/>
  <c r="CL60" i="1"/>
  <c r="CL103" i="1"/>
  <c r="CL41" i="1"/>
  <c r="CL83" i="1"/>
  <c r="BN102" i="1"/>
  <c r="CL138" i="1"/>
  <c r="CL59" i="1"/>
  <c r="BE26" i="1"/>
  <c r="BE33" i="1"/>
  <c r="BE117" i="1"/>
  <c r="BE56" i="1"/>
  <c r="BE49" i="1"/>
  <c r="BE42" i="1"/>
  <c r="BE112" i="1"/>
  <c r="BE13" i="1"/>
  <c r="BE47" i="1"/>
  <c r="BE111" i="1"/>
  <c r="BN65" i="1"/>
  <c r="BN19" i="1"/>
  <c r="BN94" i="1"/>
  <c r="BN138" i="1"/>
  <c r="BN88" i="1"/>
  <c r="BN60" i="1"/>
  <c r="BN124" i="1"/>
  <c r="BN139" i="1"/>
  <c r="BN77" i="1"/>
  <c r="BN76" i="1"/>
  <c r="BN140" i="1"/>
  <c r="BN69" i="1"/>
  <c r="BN83" i="1"/>
  <c r="BN131" i="1"/>
  <c r="BN136" i="1"/>
  <c r="BN29" i="1"/>
  <c r="BN41" i="1"/>
  <c r="BN84" i="1"/>
  <c r="BN99" i="1"/>
  <c r="BN30" i="1"/>
  <c r="BN103" i="1"/>
  <c r="BN115" i="1"/>
  <c r="BN46" i="1"/>
  <c r="BN36" i="1"/>
  <c r="BN33" i="1"/>
  <c r="BN18" i="1"/>
  <c r="BN31" i="1"/>
  <c r="BN108" i="1"/>
  <c r="BN21" i="1"/>
  <c r="BN11" i="1"/>
  <c r="BN37" i="1"/>
  <c r="BN89" i="1"/>
  <c r="BN93" i="1"/>
  <c r="BN80" i="1"/>
  <c r="BN101" i="1"/>
  <c r="BN35" i="1"/>
  <c r="BL4" i="1"/>
  <c r="BL7" i="1" s="1"/>
  <c r="BN121" i="1"/>
  <c r="BN98" i="1"/>
  <c r="BN44" i="1"/>
  <c r="BN106" i="1"/>
  <c r="BN15" i="1"/>
  <c r="BN24" i="1"/>
  <c r="BN75" i="1"/>
  <c r="BN40" i="1"/>
  <c r="BN51" i="1"/>
  <c r="BN27" i="1"/>
  <c r="BN74" i="1"/>
  <c r="BN22" i="1"/>
  <c r="BN119" i="1"/>
  <c r="BN64" i="1"/>
  <c r="BN45" i="1"/>
  <c r="BN68" i="1"/>
  <c r="BN134" i="1"/>
  <c r="BN16" i="1"/>
  <c r="BN73" i="1"/>
  <c r="BN42" i="1"/>
  <c r="BN118" i="1"/>
  <c r="BN85" i="1"/>
  <c r="BN56" i="1"/>
  <c r="BN109" i="1"/>
  <c r="BN90" i="1"/>
  <c r="BN38" i="1"/>
  <c r="BN127" i="1"/>
  <c r="BN81" i="1"/>
  <c r="BN66" i="1"/>
  <c r="BN34" i="1"/>
  <c r="BN72" i="1"/>
  <c r="BN26" i="1"/>
  <c r="BN92" i="1"/>
  <c r="BE98" i="1"/>
  <c r="BE25" i="1"/>
  <c r="BN125" i="1"/>
  <c r="BN39" i="1"/>
  <c r="BN71" i="1"/>
  <c r="BN112" i="1"/>
  <c r="BN111" i="1"/>
  <c r="BN47" i="1"/>
  <c r="BN61" i="1"/>
  <c r="BN130" i="1"/>
  <c r="BN57" i="1"/>
  <c r="BE132" i="1"/>
  <c r="BE46" i="1"/>
  <c r="BE135" i="1"/>
  <c r="BE30" i="1"/>
  <c r="BE12" i="1"/>
  <c r="BE17" i="1"/>
  <c r="BC4" i="1"/>
  <c r="BC8" i="1" s="1"/>
  <c r="BE138" i="1"/>
  <c r="BE134" i="1"/>
  <c r="BE70" i="1"/>
  <c r="BE128" i="1"/>
  <c r="BE81" i="1"/>
  <c r="BE29" i="1"/>
  <c r="BE104" i="1"/>
  <c r="BE113" i="1"/>
  <c r="BE102" i="1"/>
  <c r="BE105" i="1"/>
  <c r="BE141" i="1"/>
  <c r="BE99" i="1"/>
  <c r="BE109" i="1"/>
  <c r="BE66" i="1"/>
  <c r="BE89" i="1"/>
  <c r="BE85" i="1"/>
  <c r="BE60" i="1"/>
  <c r="BE90" i="1"/>
  <c r="BE131" i="1"/>
  <c r="BE101" i="1"/>
  <c r="BE61" i="1"/>
  <c r="BE51" i="1"/>
  <c r="BE43" i="1"/>
  <c r="BE77" i="1"/>
  <c r="BE142" i="1"/>
  <c r="BE94" i="1"/>
  <c r="BE116" i="1"/>
  <c r="BE96" i="1"/>
  <c r="BE68" i="1"/>
  <c r="BE91" i="1"/>
  <c r="BE48" i="1"/>
  <c r="BE52" i="1"/>
  <c r="BE115" i="1"/>
  <c r="BE126" i="1"/>
  <c r="BE67" i="1"/>
  <c r="BE22" i="1"/>
  <c r="BE53" i="1"/>
  <c r="BE88" i="1"/>
  <c r="BE127" i="1"/>
  <c r="BE140" i="1"/>
  <c r="BE40" i="1"/>
  <c r="BE123" i="1"/>
  <c r="BE86" i="1"/>
  <c r="BE72" i="1"/>
  <c r="BE36" i="1"/>
  <c r="BE133" i="1"/>
  <c r="BE120" i="1"/>
  <c r="BE97" i="1"/>
  <c r="BE10" i="1"/>
  <c r="BE108" i="1"/>
  <c r="BE71" i="1"/>
  <c r="BE107" i="1"/>
  <c r="BE35" i="1"/>
  <c r="BE28" i="1"/>
  <c r="BE27" i="1"/>
  <c r="BE125" i="1"/>
  <c r="BE121" i="1"/>
  <c r="BE106" i="1"/>
  <c r="BE23" i="1"/>
  <c r="BE110" i="1"/>
  <c r="BE31" i="1"/>
  <c r="BE82" i="1"/>
  <c r="BE14" i="1"/>
  <c r="BE76" i="1"/>
  <c r="BE79" i="1"/>
  <c r="BE129" i="1"/>
  <c r="BE92" i="1"/>
  <c r="BE45" i="1"/>
  <c r="BE20" i="1"/>
  <c r="BE59" i="1"/>
  <c r="BE83" i="1"/>
  <c r="BE103" i="1"/>
  <c r="BE41" i="1"/>
  <c r="BE78" i="1"/>
  <c r="BE124" i="1"/>
  <c r="BE24" i="1"/>
  <c r="BE18" i="1"/>
  <c r="BE74" i="1"/>
  <c r="BE137" i="1"/>
  <c r="BE39" i="1"/>
  <c r="BE119" i="1"/>
  <c r="BE93" i="1"/>
  <c r="BN141" i="1"/>
  <c r="BN82" i="1"/>
  <c r="BN133" i="1"/>
  <c r="BN86" i="1"/>
  <c r="BN50" i="1"/>
  <c r="BN97" i="1"/>
  <c r="BN20" i="1"/>
  <c r="BN67" i="1"/>
  <c r="BN129" i="1"/>
  <c r="CL62" i="1"/>
  <c r="CL102" i="1"/>
  <c r="CL134" i="1"/>
  <c r="CL133" i="1"/>
  <c r="CL56" i="1"/>
  <c r="CL30" i="1"/>
  <c r="CL93" i="1"/>
  <c r="CL37" i="1"/>
  <c r="CL105" i="1"/>
  <c r="CL63" i="1"/>
  <c r="CL104" i="1"/>
  <c r="CL95" i="1"/>
  <c r="CL108" i="1"/>
  <c r="CL29" i="1"/>
  <c r="CL43" i="1"/>
  <c r="CL13" i="1"/>
  <c r="CL85" i="1"/>
  <c r="CL99" i="1"/>
  <c r="CL57" i="1"/>
  <c r="CL73" i="1"/>
  <c r="CL140" i="1"/>
  <c r="CL50" i="1"/>
  <c r="CL136" i="1"/>
  <c r="CL70" i="1"/>
  <c r="CL69" i="1"/>
  <c r="CL135" i="1"/>
  <c r="CL53" i="1"/>
  <c r="CL10" i="1"/>
  <c r="CL122" i="1"/>
  <c r="CL96" i="1"/>
  <c r="CL36" i="1"/>
  <c r="CL92" i="1"/>
  <c r="CL24" i="1"/>
  <c r="CL22" i="1"/>
  <c r="CL142" i="1"/>
  <c r="CL125" i="1"/>
  <c r="CL66" i="1"/>
  <c r="CL44" i="1"/>
  <c r="CL65" i="1"/>
  <c r="CL40" i="1"/>
  <c r="CL35" i="1"/>
  <c r="CL91" i="1"/>
  <c r="CL28" i="1"/>
  <c r="CL139" i="1"/>
  <c r="CL11" i="1"/>
  <c r="CL97" i="1"/>
  <c r="CL64" i="1"/>
  <c r="CL106" i="1"/>
  <c r="CL76" i="1"/>
  <c r="CL19" i="1"/>
  <c r="CL67" i="1"/>
  <c r="CL111" i="1"/>
  <c r="CL107" i="1"/>
  <c r="CL75" i="1"/>
  <c r="CL128" i="1"/>
  <c r="CL132" i="1"/>
  <c r="CL78" i="1"/>
  <c r="CL120" i="1"/>
  <c r="CL82" i="1"/>
  <c r="CL90" i="1"/>
  <c r="CJ4" i="1"/>
  <c r="CJ8" i="1" s="1"/>
  <c r="CL126" i="1"/>
  <c r="CL116" i="1"/>
  <c r="CL124" i="1"/>
  <c r="AD54" i="1"/>
  <c r="AD134" i="1"/>
  <c r="AD139" i="1"/>
  <c r="AD89" i="1"/>
  <c r="AD23" i="1"/>
  <c r="AD141" i="1"/>
  <c r="AD53" i="1"/>
  <c r="AD29" i="1"/>
  <c r="AD135" i="1"/>
  <c r="AD128" i="1"/>
  <c r="AD117" i="1"/>
  <c r="AD72" i="1"/>
  <c r="AD33" i="1"/>
  <c r="AD108" i="1"/>
  <c r="AD122" i="1"/>
  <c r="AD60" i="1"/>
  <c r="AD58" i="1"/>
  <c r="AD37" i="1"/>
  <c r="AD46" i="1"/>
  <c r="AD42" i="1"/>
  <c r="AD104" i="1"/>
  <c r="AD74" i="1"/>
  <c r="AD11" i="1"/>
  <c r="AD105" i="1"/>
  <c r="AD106" i="1"/>
  <c r="AD131" i="1"/>
  <c r="AD86" i="1"/>
  <c r="AD16" i="1"/>
  <c r="AD63" i="1"/>
  <c r="AD140" i="1"/>
  <c r="AD102" i="1"/>
  <c r="AD50" i="1"/>
  <c r="AD94" i="1"/>
  <c r="AD119" i="1"/>
  <c r="AD87" i="1"/>
  <c r="AD64" i="1"/>
  <c r="AD90" i="1"/>
  <c r="AD130" i="1"/>
  <c r="AD100" i="1"/>
  <c r="AD66" i="1"/>
  <c r="AD25" i="1"/>
  <c r="AD45" i="1"/>
  <c r="AD114" i="1"/>
  <c r="AD112" i="1"/>
  <c r="AD34" i="1"/>
  <c r="AD99" i="1"/>
  <c r="AD121" i="1"/>
  <c r="AD129" i="1"/>
  <c r="AD98" i="1"/>
  <c r="AD91" i="1"/>
  <c r="AD14" i="1"/>
  <c r="AD15" i="1"/>
  <c r="AD81" i="1"/>
  <c r="AD41" i="1"/>
  <c r="AD88" i="1"/>
  <c r="AD95" i="1"/>
  <c r="AD85" i="1"/>
  <c r="AD10" i="1"/>
  <c r="AD24" i="1"/>
  <c r="AD77" i="1"/>
  <c r="AD56" i="1"/>
  <c r="AD123" i="1"/>
  <c r="AD115" i="1"/>
  <c r="AD120" i="1"/>
  <c r="AD80" i="1"/>
  <c r="AD55" i="1"/>
  <c r="AB4" i="1"/>
  <c r="AD82" i="1"/>
  <c r="AD36" i="1"/>
  <c r="AD78" i="1"/>
  <c r="AD47" i="1"/>
  <c r="AD57" i="1"/>
  <c r="AD118" i="1"/>
  <c r="AD32" i="1"/>
  <c r="AD109" i="1"/>
  <c r="AD75" i="1"/>
  <c r="AD21" i="1"/>
  <c r="AD30" i="1"/>
  <c r="AD20" i="1"/>
  <c r="AD79" i="1"/>
  <c r="AD13" i="1"/>
  <c r="AD101" i="1"/>
  <c r="AD107" i="1"/>
  <c r="AD38" i="1"/>
  <c r="AD71" i="1"/>
  <c r="AD137" i="1"/>
  <c r="AD62" i="1"/>
  <c r="AD116" i="1"/>
  <c r="AD124" i="1"/>
  <c r="AD84" i="1"/>
  <c r="AD70" i="1"/>
  <c r="AD69" i="1"/>
  <c r="AD136" i="1"/>
  <c r="AD44" i="1"/>
  <c r="AD43" i="1"/>
  <c r="AD93" i="1"/>
  <c r="AD19" i="1"/>
  <c r="AD40" i="1"/>
  <c r="AD39" i="1"/>
  <c r="AD18" i="1"/>
  <c r="AD48" i="1"/>
  <c r="AD28" i="1"/>
  <c r="AD111" i="1"/>
  <c r="AD17" i="1"/>
  <c r="AD103" i="1"/>
  <c r="AD67" i="1"/>
  <c r="AD26" i="1"/>
  <c r="AD31" i="1"/>
  <c r="AD49" i="1"/>
  <c r="AD133" i="1"/>
  <c r="AD27" i="1"/>
  <c r="AD127" i="1"/>
  <c r="AD83" i="1"/>
  <c r="AD138" i="1"/>
  <c r="AD52" i="1"/>
  <c r="AD97" i="1"/>
  <c r="AD73" i="1"/>
  <c r="AD35" i="1"/>
  <c r="AD59" i="1"/>
  <c r="AD65" i="1"/>
  <c r="AD96" i="1"/>
  <c r="AD12" i="1"/>
  <c r="AD113" i="1"/>
  <c r="AD76" i="1"/>
  <c r="AD126" i="1"/>
  <c r="AD142" i="1"/>
  <c r="AD68" i="1"/>
  <c r="AD125" i="1"/>
  <c r="AD110" i="1"/>
  <c r="AD61" i="1"/>
  <c r="AD92" i="1"/>
  <c r="AD22" i="1"/>
  <c r="AD51" i="1"/>
  <c r="AJ13" i="1"/>
  <c r="AJ112" i="1"/>
  <c r="AJ115" i="1"/>
  <c r="AJ105" i="1"/>
  <c r="AJ60" i="1"/>
  <c r="AJ10" i="1"/>
  <c r="AJ38" i="1"/>
  <c r="AJ124" i="1"/>
  <c r="AJ137" i="1"/>
  <c r="AJ68" i="1"/>
  <c r="AJ51" i="1"/>
  <c r="AJ50" i="1"/>
  <c r="AJ42" i="1"/>
  <c r="AJ65" i="1"/>
  <c r="AJ69" i="1"/>
  <c r="AJ83" i="1"/>
  <c r="AJ59" i="1"/>
  <c r="AJ54" i="1"/>
  <c r="AJ37" i="1"/>
  <c r="AJ16" i="1"/>
  <c r="AJ102" i="1"/>
  <c r="AJ25" i="1"/>
  <c r="AJ122" i="1"/>
  <c r="AJ86" i="1"/>
  <c r="AJ87" i="1"/>
  <c r="AJ93" i="1"/>
  <c r="AJ57" i="1"/>
  <c r="AJ28" i="1"/>
  <c r="AJ88" i="1"/>
  <c r="AJ64" i="1"/>
  <c r="AJ34" i="1"/>
  <c r="AJ67" i="1"/>
  <c r="AJ41" i="1"/>
  <c r="AJ125" i="1"/>
  <c r="AJ126" i="1"/>
  <c r="AJ95" i="1"/>
  <c r="AJ97" i="1"/>
  <c r="AJ18" i="1"/>
  <c r="AJ40" i="1"/>
  <c r="AJ85" i="1"/>
  <c r="AJ72" i="1"/>
  <c r="AJ75" i="1"/>
  <c r="AJ45" i="1"/>
  <c r="AJ123" i="1"/>
  <c r="AJ23" i="1"/>
  <c r="AJ11" i="1"/>
  <c r="AJ27" i="1"/>
  <c r="AJ81" i="1"/>
  <c r="AJ26" i="1"/>
  <c r="AJ53" i="1"/>
  <c r="AJ134" i="1"/>
  <c r="AJ48" i="1"/>
  <c r="AJ30" i="1"/>
  <c r="AJ139" i="1"/>
  <c r="AJ66" i="1"/>
  <c r="AJ76" i="1"/>
  <c r="AJ131" i="1"/>
  <c r="AJ109" i="1"/>
  <c r="AJ140" i="1"/>
  <c r="AJ80" i="1"/>
  <c r="AJ46" i="1"/>
  <c r="AJ55" i="1"/>
  <c r="AJ47" i="1"/>
  <c r="AJ103" i="1"/>
  <c r="AJ117" i="1"/>
  <c r="AJ100" i="1"/>
  <c r="AJ19" i="1"/>
  <c r="AJ111" i="1"/>
  <c r="AJ121" i="1"/>
  <c r="AJ62" i="1"/>
  <c r="AJ49" i="1"/>
  <c r="AJ79" i="1"/>
  <c r="AJ71" i="1"/>
  <c r="AJ61" i="1"/>
  <c r="AJ36" i="1"/>
  <c r="AJ20" i="1"/>
  <c r="AJ17" i="1"/>
  <c r="AJ77" i="1"/>
  <c r="AJ90" i="1"/>
  <c r="AJ138" i="1"/>
  <c r="AJ52" i="1"/>
  <c r="AJ113" i="1"/>
  <c r="AJ32" i="1"/>
  <c r="AJ118" i="1"/>
  <c r="AJ133" i="1"/>
  <c r="AJ92" i="1"/>
  <c r="AJ12" i="1"/>
  <c r="AJ24" i="1"/>
  <c r="AJ141" i="1"/>
  <c r="AJ101" i="1"/>
  <c r="AJ119" i="1"/>
  <c r="AJ58" i="1"/>
  <c r="AJ15" i="1"/>
  <c r="AJ127" i="1"/>
  <c r="AJ63" i="1"/>
  <c r="AJ43" i="1"/>
  <c r="AJ104" i="1"/>
  <c r="AJ33" i="1"/>
  <c r="AJ14" i="1"/>
  <c r="AJ98" i="1"/>
  <c r="AJ107" i="1"/>
  <c r="AJ135" i="1"/>
  <c r="AJ108" i="1"/>
  <c r="AJ136" i="1"/>
  <c r="AJ56" i="1"/>
  <c r="AJ44" i="1"/>
  <c r="AJ74" i="1"/>
  <c r="AJ120" i="1"/>
  <c r="AJ29" i="1"/>
  <c r="AJ82" i="1"/>
  <c r="AJ128" i="1"/>
  <c r="AJ39" i="1"/>
  <c r="AJ106" i="1"/>
  <c r="AJ91" i="1"/>
  <c r="AJ94" i="1"/>
  <c r="AJ21" i="1"/>
  <c r="AJ142" i="1"/>
  <c r="AJ73" i="1"/>
  <c r="AJ116" i="1"/>
  <c r="AJ110" i="1"/>
  <c r="AJ70" i="1"/>
  <c r="AJ31" i="1"/>
  <c r="AH4" i="1"/>
  <c r="AJ114" i="1"/>
  <c r="AJ84" i="1"/>
  <c r="AJ129" i="1"/>
  <c r="AJ99" i="1"/>
  <c r="AJ130" i="1"/>
  <c r="AJ89" i="1"/>
  <c r="AJ35" i="1"/>
  <c r="AJ22" i="1"/>
  <c r="AJ96" i="1"/>
  <c r="AJ78" i="1"/>
  <c r="AD132" i="1"/>
  <c r="AJ132" i="1"/>
  <c r="AP78" i="1"/>
  <c r="AP128" i="1"/>
  <c r="AP72" i="1"/>
  <c r="AP114" i="1"/>
  <c r="AP18" i="1"/>
  <c r="AP54" i="1"/>
  <c r="AP27" i="1"/>
  <c r="AP22" i="1"/>
  <c r="AP133" i="1"/>
  <c r="AP10" i="1"/>
  <c r="AP20" i="1"/>
  <c r="AP43" i="1"/>
  <c r="AP115" i="1"/>
  <c r="AP97" i="1"/>
  <c r="AP96" i="1"/>
  <c r="AP131" i="1"/>
  <c r="AP107" i="1"/>
  <c r="AP126" i="1"/>
  <c r="AP52" i="1"/>
  <c r="AP62" i="1"/>
  <c r="AP135" i="1"/>
  <c r="AP30" i="1"/>
  <c r="AP87" i="1"/>
  <c r="AP85" i="1"/>
  <c r="AP127" i="1"/>
  <c r="AP117" i="1"/>
  <c r="AP109" i="1"/>
  <c r="AP23" i="1"/>
  <c r="AP111" i="1"/>
  <c r="AP104" i="1"/>
  <c r="AP21" i="1"/>
  <c r="AP13" i="1"/>
  <c r="AP73" i="1"/>
  <c r="AP63" i="1"/>
  <c r="AP88" i="1"/>
  <c r="AP57" i="1"/>
  <c r="AP98" i="1"/>
  <c r="AP81" i="1"/>
  <c r="AP66" i="1"/>
  <c r="AP45" i="1"/>
  <c r="AP37" i="1"/>
  <c r="AP32" i="1"/>
  <c r="AP123" i="1"/>
  <c r="AP108" i="1"/>
  <c r="AP103" i="1"/>
  <c r="AP118" i="1"/>
  <c r="AP125" i="1"/>
  <c r="AP16" i="1"/>
  <c r="AP15" i="1"/>
  <c r="AP59" i="1"/>
  <c r="AP80" i="1"/>
  <c r="AP46" i="1"/>
  <c r="AP55" i="1"/>
  <c r="AP12" i="1"/>
  <c r="AP102" i="1"/>
  <c r="AP67" i="1"/>
  <c r="AP100" i="1"/>
  <c r="AP36" i="1"/>
  <c r="AP70" i="1"/>
  <c r="AP48" i="1"/>
  <c r="AP33" i="1"/>
  <c r="AP53" i="1"/>
  <c r="AP68" i="1"/>
  <c r="AP101" i="1"/>
  <c r="AP71" i="1"/>
  <c r="AP42" i="1"/>
  <c r="AP77" i="1"/>
  <c r="AP14" i="1"/>
  <c r="AP56" i="1"/>
  <c r="AP138" i="1"/>
  <c r="AP41" i="1"/>
  <c r="AP137" i="1"/>
  <c r="AP79" i="1"/>
  <c r="AP124" i="1"/>
  <c r="AP106" i="1"/>
  <c r="AP51" i="1"/>
  <c r="AP61" i="1"/>
  <c r="AN4" i="1"/>
  <c r="AP29" i="1"/>
  <c r="AP19" i="1"/>
  <c r="AP86" i="1"/>
  <c r="AP90" i="1"/>
  <c r="AP122" i="1"/>
  <c r="AP76" i="1"/>
  <c r="AP38" i="1"/>
  <c r="AP50" i="1"/>
  <c r="AP130" i="1"/>
  <c r="AP142" i="1"/>
  <c r="AP121" i="1"/>
  <c r="AP83" i="1"/>
  <c r="AP99" i="1"/>
  <c r="AP136" i="1"/>
  <c r="AP141" i="1"/>
  <c r="AP82" i="1"/>
  <c r="AP129" i="1"/>
  <c r="AP95" i="1"/>
  <c r="AP75" i="1"/>
  <c r="AP24" i="1"/>
  <c r="AP69" i="1"/>
  <c r="AP58" i="1"/>
  <c r="AP35" i="1"/>
  <c r="AP47" i="1"/>
  <c r="AP94" i="1"/>
  <c r="AP105" i="1"/>
  <c r="AP49" i="1"/>
  <c r="AP110" i="1"/>
  <c r="AP11" i="1"/>
  <c r="AP91" i="1"/>
  <c r="AP60" i="1"/>
  <c r="AP134" i="1"/>
  <c r="AP44" i="1"/>
  <c r="AP65" i="1"/>
  <c r="AP31" i="1"/>
  <c r="AP116" i="1"/>
  <c r="AP39" i="1"/>
  <c r="AP64" i="1"/>
  <c r="AP93" i="1"/>
  <c r="AP112" i="1"/>
  <c r="AP26" i="1"/>
  <c r="AP113" i="1"/>
  <c r="AP92" i="1"/>
  <c r="AP17" i="1"/>
  <c r="AP84" i="1"/>
  <c r="AP139" i="1"/>
  <c r="AP34" i="1"/>
  <c r="AP140" i="1"/>
  <c r="AP120" i="1"/>
  <c r="AP74" i="1"/>
  <c r="AP89" i="1"/>
  <c r="AP25" i="1"/>
  <c r="AP28" i="1"/>
  <c r="AP40" i="1"/>
  <c r="AP119" i="1"/>
  <c r="BK66" i="1"/>
  <c r="BK80" i="1"/>
  <c r="BK53" i="1"/>
  <c r="BK124" i="1"/>
  <c r="BK103" i="1"/>
  <c r="BK71" i="1"/>
  <c r="BK102" i="1"/>
  <c r="BK56" i="1"/>
  <c r="BK122" i="1"/>
  <c r="BK105" i="1"/>
  <c r="BK98" i="1"/>
  <c r="BK69" i="1"/>
  <c r="BK23" i="1"/>
  <c r="BK79" i="1"/>
  <c r="BI4" i="1"/>
  <c r="BK113" i="1"/>
  <c r="BK104" i="1"/>
  <c r="BK100" i="1"/>
  <c r="BK10" i="1"/>
  <c r="BK49" i="1"/>
  <c r="BK15" i="1"/>
  <c r="BK73" i="1"/>
  <c r="BK47" i="1"/>
  <c r="BK94" i="1"/>
  <c r="BK63" i="1"/>
  <c r="BK16" i="1"/>
  <c r="BK37" i="1"/>
  <c r="BK78" i="1"/>
  <c r="BK50" i="1"/>
  <c r="BK107" i="1"/>
  <c r="BK30" i="1"/>
  <c r="BK82" i="1"/>
  <c r="BK34" i="1"/>
  <c r="BK118" i="1"/>
  <c r="BK33" i="1"/>
  <c r="BK51" i="1"/>
  <c r="BK58" i="1"/>
  <c r="BK135" i="1"/>
  <c r="BK134" i="1"/>
  <c r="BK19" i="1"/>
  <c r="BK87" i="1"/>
  <c r="BK95" i="1"/>
  <c r="BK84" i="1"/>
  <c r="BK142" i="1"/>
  <c r="BK41" i="1"/>
  <c r="BK125" i="1"/>
  <c r="BK123" i="1"/>
  <c r="BK60" i="1"/>
  <c r="BK120" i="1"/>
  <c r="BK91" i="1"/>
  <c r="BK25" i="1"/>
  <c r="BK133" i="1"/>
  <c r="BK48" i="1"/>
  <c r="BK128" i="1"/>
  <c r="BK43" i="1"/>
  <c r="BK70" i="1"/>
  <c r="BK14" i="1"/>
  <c r="BK74" i="1"/>
  <c r="BK68" i="1"/>
  <c r="BK21" i="1"/>
  <c r="BK72" i="1"/>
  <c r="BK18" i="1"/>
  <c r="BK39" i="1"/>
  <c r="BK111" i="1"/>
  <c r="BK81" i="1"/>
  <c r="BK90" i="1"/>
  <c r="BK92" i="1"/>
  <c r="BK85" i="1"/>
  <c r="BK54" i="1"/>
  <c r="BK26" i="1"/>
  <c r="BK45" i="1"/>
  <c r="BK139" i="1"/>
  <c r="BK13" i="1"/>
  <c r="BK28" i="1"/>
  <c r="BK57" i="1"/>
  <c r="BK138" i="1"/>
  <c r="BK141" i="1"/>
  <c r="BK46" i="1"/>
  <c r="BK67" i="1"/>
  <c r="BK93" i="1"/>
  <c r="BK89" i="1"/>
  <c r="BK101" i="1"/>
  <c r="BK106" i="1"/>
  <c r="BK97" i="1"/>
  <c r="BK32" i="1"/>
  <c r="BK130" i="1"/>
  <c r="BK99" i="1"/>
  <c r="BK115" i="1"/>
  <c r="BK11" i="1"/>
  <c r="BK131" i="1"/>
  <c r="BK75" i="1"/>
  <c r="BK38" i="1"/>
  <c r="BK77" i="1"/>
  <c r="BK20" i="1"/>
  <c r="BK44" i="1"/>
  <c r="BK119" i="1"/>
  <c r="BK31" i="1"/>
  <c r="BK29" i="1"/>
  <c r="BK121" i="1"/>
  <c r="BK108" i="1"/>
  <c r="BK24" i="1"/>
  <c r="BK88" i="1"/>
  <c r="BK59" i="1"/>
  <c r="BK27" i="1"/>
  <c r="BK42" i="1"/>
  <c r="BK109" i="1"/>
  <c r="BK96" i="1"/>
  <c r="BK116" i="1"/>
  <c r="BK117" i="1"/>
  <c r="BK40" i="1"/>
  <c r="BK62" i="1"/>
  <c r="BK140" i="1"/>
  <c r="BK83" i="1"/>
  <c r="BK114" i="1"/>
  <c r="BK136" i="1"/>
  <c r="BK112" i="1"/>
  <c r="BK65" i="1"/>
  <c r="BK35" i="1"/>
  <c r="BK137" i="1"/>
  <c r="BK22" i="1"/>
  <c r="BK126" i="1"/>
  <c r="BK64" i="1"/>
  <c r="BK127" i="1"/>
  <c r="BK52" i="1"/>
  <c r="BK86" i="1"/>
  <c r="BK110" i="1"/>
  <c r="BK76" i="1"/>
  <c r="BK61" i="1"/>
  <c r="BK12" i="1"/>
  <c r="BK36" i="1"/>
  <c r="BK129" i="1"/>
  <c r="BK55" i="1"/>
  <c r="BK17" i="1"/>
  <c r="E143" i="1"/>
  <c r="D143" i="1" s="1"/>
  <c r="DL143" i="1" s="1"/>
  <c r="DH3" i="1"/>
  <c r="DH4" i="1" s="1"/>
  <c r="BQ109" i="1"/>
  <c r="BQ108" i="1"/>
  <c r="BQ76" i="1"/>
  <c r="BQ139" i="1"/>
  <c r="BQ37" i="1"/>
  <c r="BQ16" i="1"/>
  <c r="BQ60" i="1"/>
  <c r="BQ81" i="1"/>
  <c r="BQ124" i="1"/>
  <c r="BQ131" i="1"/>
  <c r="BQ42" i="1"/>
  <c r="BQ100" i="1"/>
  <c r="BQ99" i="1"/>
  <c r="BQ27" i="1"/>
  <c r="BQ58" i="1"/>
  <c r="BQ53" i="1"/>
  <c r="BQ25" i="1"/>
  <c r="BQ86" i="1"/>
  <c r="BQ28" i="1"/>
  <c r="BQ57" i="1"/>
  <c r="BQ20" i="1"/>
  <c r="BQ49" i="1"/>
  <c r="BQ61" i="1"/>
  <c r="BQ77" i="1"/>
  <c r="BQ127" i="1"/>
  <c r="BQ41" i="1"/>
  <c r="BQ32" i="1"/>
  <c r="BQ47" i="1"/>
  <c r="BQ70" i="1"/>
  <c r="BQ113" i="1"/>
  <c r="BQ103" i="1"/>
  <c r="BQ83" i="1"/>
  <c r="BQ11" i="1"/>
  <c r="BQ95" i="1"/>
  <c r="BQ62" i="1"/>
  <c r="BQ38" i="1"/>
  <c r="BQ26" i="1"/>
  <c r="BQ34" i="1"/>
  <c r="BQ136" i="1"/>
  <c r="BQ12" i="1"/>
  <c r="BQ111" i="1"/>
  <c r="BQ101" i="1"/>
  <c r="BQ46" i="1"/>
  <c r="BQ19" i="1"/>
  <c r="BQ29" i="1"/>
  <c r="BQ85" i="1"/>
  <c r="BQ51" i="1"/>
  <c r="BQ115" i="1"/>
  <c r="BQ138" i="1"/>
  <c r="BQ43" i="1"/>
  <c r="BO4" i="1"/>
  <c r="BQ96" i="1"/>
  <c r="BQ48" i="1"/>
  <c r="BQ79" i="1"/>
  <c r="BQ82" i="1"/>
  <c r="BQ133" i="1"/>
  <c r="BQ84" i="1"/>
  <c r="BQ66" i="1"/>
  <c r="BQ126" i="1"/>
  <c r="BQ52" i="1"/>
  <c r="BQ36" i="1"/>
  <c r="BQ123" i="1"/>
  <c r="BQ40" i="1"/>
  <c r="BQ72" i="1"/>
  <c r="BQ63" i="1"/>
  <c r="BQ24" i="1"/>
  <c r="BQ97" i="1"/>
  <c r="BQ129" i="1"/>
  <c r="BQ92" i="1"/>
  <c r="BQ31" i="1"/>
  <c r="BQ114" i="1"/>
  <c r="BQ98" i="1"/>
  <c r="BQ18" i="1"/>
  <c r="BQ140" i="1"/>
  <c r="BQ116" i="1"/>
  <c r="BQ110" i="1"/>
  <c r="BQ125" i="1"/>
  <c r="BQ65" i="1"/>
  <c r="BQ35" i="1"/>
  <c r="BQ64" i="1"/>
  <c r="BQ107" i="1"/>
  <c r="BQ74" i="1"/>
  <c r="BQ102" i="1"/>
  <c r="BQ45" i="1"/>
  <c r="BQ119" i="1"/>
  <c r="BQ105" i="1"/>
  <c r="BQ118" i="1"/>
  <c r="BQ68" i="1"/>
  <c r="BQ120" i="1"/>
  <c r="BQ91" i="1"/>
  <c r="BQ71" i="1"/>
  <c r="BQ39" i="1"/>
  <c r="BQ104" i="1"/>
  <c r="BQ88" i="1"/>
  <c r="BQ130" i="1"/>
  <c r="BQ78" i="1"/>
  <c r="BQ44" i="1"/>
  <c r="BQ33" i="1"/>
  <c r="BQ135" i="1"/>
  <c r="BQ73" i="1"/>
  <c r="BQ142" i="1"/>
  <c r="BQ137" i="1"/>
  <c r="BQ50" i="1"/>
  <c r="BQ10" i="1"/>
  <c r="BQ90" i="1"/>
  <c r="BQ122" i="1"/>
  <c r="BQ54" i="1"/>
  <c r="BQ87" i="1"/>
  <c r="BQ117" i="1"/>
  <c r="BQ23" i="1"/>
  <c r="BQ55" i="1"/>
  <c r="BQ30" i="1"/>
  <c r="BQ22" i="1"/>
  <c r="BQ69" i="1"/>
  <c r="BQ80" i="1"/>
  <c r="BQ94" i="1"/>
  <c r="BQ75" i="1"/>
  <c r="BQ13" i="1"/>
  <c r="BQ93" i="1"/>
  <c r="BQ112" i="1"/>
  <c r="BQ59" i="1"/>
  <c r="BQ128" i="1"/>
  <c r="BQ21" i="1"/>
  <c r="BQ15" i="1"/>
  <c r="BQ14" i="1"/>
  <c r="BQ134" i="1"/>
  <c r="BQ141" i="1"/>
  <c r="BQ121" i="1"/>
  <c r="BQ56" i="1"/>
  <c r="BQ106" i="1"/>
  <c r="BQ67" i="1"/>
  <c r="BQ17" i="1"/>
  <c r="BQ89" i="1"/>
  <c r="U131" i="1"/>
  <c r="U125" i="1"/>
  <c r="U15" i="1"/>
  <c r="U24" i="1"/>
  <c r="U76" i="1"/>
  <c r="U105" i="1"/>
  <c r="U90" i="1"/>
  <c r="U89" i="1"/>
  <c r="U129" i="1"/>
  <c r="U83" i="1"/>
  <c r="U114" i="1"/>
  <c r="U58" i="1"/>
  <c r="U23" i="1"/>
  <c r="U130" i="1"/>
  <c r="U81" i="1"/>
  <c r="U139" i="1"/>
  <c r="U128" i="1"/>
  <c r="U110" i="1"/>
  <c r="U87" i="1"/>
  <c r="U66" i="1"/>
  <c r="U46" i="1"/>
  <c r="U100" i="1"/>
  <c r="U118" i="1"/>
  <c r="U92" i="1"/>
  <c r="U79" i="1"/>
  <c r="U41" i="1"/>
  <c r="U36" i="1"/>
  <c r="U138" i="1"/>
  <c r="U109" i="1"/>
  <c r="U123" i="1"/>
  <c r="U142" i="1"/>
  <c r="U54" i="1"/>
  <c r="U21" i="1"/>
  <c r="U27" i="1"/>
  <c r="U26" i="1"/>
  <c r="U40" i="1"/>
  <c r="U103" i="1"/>
  <c r="U86" i="1"/>
  <c r="U67" i="1"/>
  <c r="U113" i="1"/>
  <c r="U104" i="1"/>
  <c r="U51" i="1"/>
  <c r="U71" i="1"/>
  <c r="U44" i="1"/>
  <c r="U42" i="1"/>
  <c r="S4" i="1"/>
  <c r="U121" i="1"/>
  <c r="U70" i="1"/>
  <c r="U56" i="1"/>
  <c r="U133" i="1"/>
  <c r="U106" i="1"/>
  <c r="U55" i="1"/>
  <c r="U38" i="1"/>
  <c r="U64" i="1"/>
  <c r="U48" i="1"/>
  <c r="U50" i="1"/>
  <c r="U31" i="1"/>
  <c r="U112" i="1"/>
  <c r="U75" i="1"/>
  <c r="U73" i="1"/>
  <c r="U20" i="1"/>
  <c r="U141" i="1"/>
  <c r="U69" i="1"/>
  <c r="U91" i="1"/>
  <c r="U122" i="1"/>
  <c r="U45" i="1"/>
  <c r="U74" i="1"/>
  <c r="U65" i="1"/>
  <c r="U82" i="1"/>
  <c r="U61" i="1"/>
  <c r="U78" i="1"/>
  <c r="U115" i="1"/>
  <c r="U120" i="1"/>
  <c r="U39" i="1"/>
  <c r="U134" i="1"/>
  <c r="U43" i="1"/>
  <c r="U77" i="1"/>
  <c r="U62" i="1"/>
  <c r="U137" i="1"/>
  <c r="U108" i="1"/>
  <c r="U88" i="1"/>
  <c r="U80" i="1"/>
  <c r="U94" i="1"/>
  <c r="U34" i="1"/>
  <c r="U52" i="1"/>
  <c r="U107" i="1"/>
  <c r="U99" i="1"/>
  <c r="U93" i="1"/>
  <c r="U140" i="1"/>
  <c r="U30" i="1"/>
  <c r="U22" i="1"/>
  <c r="U35" i="1"/>
  <c r="U127" i="1"/>
  <c r="U97" i="1"/>
  <c r="U98" i="1"/>
  <c r="U85" i="1"/>
  <c r="U102" i="1"/>
  <c r="U72" i="1"/>
  <c r="U37" i="1"/>
  <c r="U17" i="1"/>
  <c r="U12" i="1"/>
  <c r="U84" i="1"/>
  <c r="U135" i="1"/>
  <c r="U11" i="1"/>
  <c r="U119" i="1"/>
  <c r="U59" i="1"/>
  <c r="U14" i="1"/>
  <c r="U116" i="1"/>
  <c r="U13" i="1"/>
  <c r="U25" i="1"/>
  <c r="U111" i="1"/>
  <c r="U57" i="1"/>
  <c r="U10" i="1"/>
  <c r="U126" i="1"/>
  <c r="U32" i="1"/>
  <c r="U19" i="1"/>
  <c r="U63" i="1"/>
  <c r="U136" i="1"/>
  <c r="U117" i="1"/>
  <c r="U68" i="1"/>
  <c r="U53" i="1"/>
  <c r="U124" i="1"/>
  <c r="U16" i="1"/>
  <c r="U28" i="1"/>
  <c r="U95" i="1"/>
  <c r="U60" i="1"/>
  <c r="U18" i="1"/>
  <c r="U101" i="1"/>
  <c r="U96" i="1"/>
  <c r="U49" i="1"/>
  <c r="U47" i="1"/>
  <c r="U33" i="1"/>
  <c r="U29" i="1"/>
  <c r="R69" i="1"/>
  <c r="R68" i="1"/>
  <c r="R42" i="1"/>
  <c r="R97" i="1"/>
  <c r="R129" i="1"/>
  <c r="R36" i="1"/>
  <c r="R140" i="1"/>
  <c r="R138" i="1"/>
  <c r="R81" i="1"/>
  <c r="R56" i="1"/>
  <c r="R94" i="1"/>
  <c r="R113" i="1"/>
  <c r="R31" i="1"/>
  <c r="R119" i="1"/>
  <c r="R95" i="1"/>
  <c r="R107" i="1"/>
  <c r="R125" i="1"/>
  <c r="P4" i="1"/>
  <c r="R27" i="1"/>
  <c r="R85" i="1"/>
  <c r="R88" i="1"/>
  <c r="R63" i="1"/>
  <c r="R100" i="1"/>
  <c r="R78" i="1"/>
  <c r="R118" i="1"/>
  <c r="R82" i="1"/>
  <c r="R14" i="1"/>
  <c r="R117" i="1"/>
  <c r="R123" i="1"/>
  <c r="R20" i="1"/>
  <c r="R55" i="1"/>
  <c r="R19" i="1"/>
  <c r="R103" i="1"/>
  <c r="R111" i="1"/>
  <c r="R77" i="1"/>
  <c r="R141" i="1"/>
  <c r="R121" i="1"/>
  <c r="R89" i="1"/>
  <c r="R54" i="1"/>
  <c r="R76" i="1"/>
  <c r="R96" i="1"/>
  <c r="R92" i="1"/>
  <c r="R38" i="1"/>
  <c r="R74" i="1"/>
  <c r="R50" i="1"/>
  <c r="R57" i="1"/>
  <c r="R13" i="1"/>
  <c r="R59" i="1"/>
  <c r="R65" i="1"/>
  <c r="R15" i="1"/>
  <c r="R84" i="1"/>
  <c r="R133" i="1"/>
  <c r="R28" i="1"/>
  <c r="R10" i="1"/>
  <c r="R98" i="1"/>
  <c r="R11" i="1"/>
  <c r="R66" i="1"/>
  <c r="R33" i="1"/>
  <c r="R90" i="1"/>
  <c r="R53" i="1"/>
  <c r="R41" i="1"/>
  <c r="R105" i="1"/>
  <c r="R67" i="1"/>
  <c r="R35" i="1"/>
  <c r="R43" i="1"/>
  <c r="R48" i="1"/>
  <c r="R18" i="1"/>
  <c r="R32" i="1"/>
  <c r="R60" i="1"/>
  <c r="R91" i="1"/>
  <c r="R29" i="1"/>
  <c r="R21" i="1"/>
  <c r="R112" i="1"/>
  <c r="R39" i="1"/>
  <c r="R126" i="1"/>
  <c r="R83" i="1"/>
  <c r="R142" i="1"/>
  <c r="R23" i="1"/>
  <c r="R135" i="1"/>
  <c r="R37" i="1"/>
  <c r="R124" i="1"/>
  <c r="R104" i="1"/>
  <c r="R99" i="1"/>
  <c r="R17" i="1"/>
  <c r="R25" i="1"/>
  <c r="R44" i="1"/>
  <c r="R136" i="1"/>
  <c r="R80" i="1"/>
  <c r="R128" i="1"/>
  <c r="R134" i="1"/>
  <c r="R79" i="1"/>
  <c r="R40" i="1"/>
  <c r="R86" i="1"/>
  <c r="R114" i="1"/>
  <c r="R93" i="1"/>
  <c r="R109" i="1"/>
  <c r="R102" i="1"/>
  <c r="R52" i="1"/>
  <c r="R122" i="1"/>
  <c r="R24" i="1"/>
  <c r="R61" i="1"/>
  <c r="R116" i="1"/>
  <c r="R101" i="1"/>
  <c r="R64" i="1"/>
  <c r="R115" i="1"/>
  <c r="R108" i="1"/>
  <c r="R106" i="1"/>
  <c r="R127" i="1"/>
  <c r="R70" i="1"/>
  <c r="R87" i="1"/>
  <c r="R120" i="1"/>
  <c r="R72" i="1"/>
  <c r="R139" i="1"/>
  <c r="R46" i="1"/>
  <c r="R137" i="1"/>
  <c r="R62" i="1"/>
  <c r="R51" i="1"/>
  <c r="R75" i="1"/>
  <c r="R45" i="1"/>
  <c r="R73" i="1"/>
  <c r="R30" i="1"/>
  <c r="R110" i="1"/>
  <c r="R47" i="1"/>
  <c r="R22" i="1"/>
  <c r="R131" i="1"/>
  <c r="R12" i="1"/>
  <c r="R71" i="1"/>
  <c r="R16" i="1"/>
  <c r="R49" i="1"/>
  <c r="R130" i="1"/>
  <c r="R58" i="1"/>
  <c r="R26" i="1"/>
  <c r="R34" i="1"/>
  <c r="X35" i="1"/>
  <c r="X38" i="1"/>
  <c r="X20" i="1"/>
  <c r="X24" i="1"/>
  <c r="X32" i="1"/>
  <c r="X60" i="1"/>
  <c r="X96" i="1"/>
  <c r="X109" i="1"/>
  <c r="X51" i="1"/>
  <c r="X50" i="1"/>
  <c r="X117" i="1"/>
  <c r="X15" i="1"/>
  <c r="X58" i="1"/>
  <c r="X40" i="1"/>
  <c r="X116" i="1"/>
  <c r="X71" i="1"/>
  <c r="X47" i="1"/>
  <c r="X39" i="1"/>
  <c r="X100" i="1"/>
  <c r="X81" i="1"/>
  <c r="X93" i="1"/>
  <c r="X28" i="1"/>
  <c r="X129" i="1"/>
  <c r="X36" i="1"/>
  <c r="X21" i="1"/>
  <c r="X17" i="1"/>
  <c r="X52" i="1"/>
  <c r="X67" i="1"/>
  <c r="X85" i="1"/>
  <c r="X55" i="1"/>
  <c r="X53" i="1"/>
  <c r="X123" i="1"/>
  <c r="X128" i="1"/>
  <c r="X77" i="1"/>
  <c r="X108" i="1"/>
  <c r="X113" i="1"/>
  <c r="X126" i="1"/>
  <c r="X43" i="1"/>
  <c r="X37" i="1"/>
  <c r="X33" i="1"/>
  <c r="X99" i="1"/>
  <c r="X46" i="1"/>
  <c r="X137" i="1"/>
  <c r="X56" i="1"/>
  <c r="X29" i="1"/>
  <c r="X138" i="1"/>
  <c r="X54" i="1"/>
  <c r="X48" i="1"/>
  <c r="X13" i="1"/>
  <c r="X75" i="1"/>
  <c r="X62" i="1"/>
  <c r="X18" i="1"/>
  <c r="X19" i="1"/>
  <c r="X142" i="1"/>
  <c r="X90" i="1"/>
  <c r="X118" i="1"/>
  <c r="X63" i="1"/>
  <c r="X136" i="1"/>
  <c r="X66" i="1"/>
  <c r="X14" i="1"/>
  <c r="X70" i="1"/>
  <c r="X111" i="1"/>
  <c r="X27" i="1"/>
  <c r="X11" i="1"/>
  <c r="X95" i="1"/>
  <c r="X22" i="1"/>
  <c r="X115" i="1"/>
  <c r="X107" i="1"/>
  <c r="X73" i="1"/>
  <c r="X125" i="1"/>
  <c r="X84" i="1"/>
  <c r="X141" i="1"/>
  <c r="X26" i="1"/>
  <c r="X80" i="1"/>
  <c r="X110" i="1"/>
  <c r="X120" i="1"/>
  <c r="X72" i="1"/>
  <c r="X88" i="1"/>
  <c r="X42" i="1"/>
  <c r="X74" i="1"/>
  <c r="X94" i="1"/>
  <c r="X69" i="1"/>
  <c r="X12" i="1"/>
  <c r="X44" i="1"/>
  <c r="X86" i="1"/>
  <c r="X82" i="1"/>
  <c r="X103" i="1"/>
  <c r="X140" i="1"/>
  <c r="X112" i="1"/>
  <c r="X23" i="1"/>
  <c r="X87" i="1"/>
  <c r="X10" i="1"/>
  <c r="X79" i="1"/>
  <c r="X102" i="1"/>
  <c r="X64" i="1"/>
  <c r="X61" i="1"/>
  <c r="X57" i="1"/>
  <c r="X127" i="1"/>
  <c r="X130" i="1"/>
  <c r="X65" i="1"/>
  <c r="X131" i="1"/>
  <c r="X76" i="1"/>
  <c r="X133" i="1"/>
  <c r="X78" i="1"/>
  <c r="X31" i="1"/>
  <c r="X106" i="1"/>
  <c r="X49" i="1"/>
  <c r="X83" i="1"/>
  <c r="X101" i="1"/>
  <c r="X34" i="1"/>
  <c r="X134" i="1"/>
  <c r="X114" i="1"/>
  <c r="X16" i="1"/>
  <c r="X41" i="1"/>
  <c r="X92" i="1"/>
  <c r="X91" i="1"/>
  <c r="X59" i="1"/>
  <c r="X30" i="1"/>
  <c r="X45" i="1"/>
  <c r="X119" i="1"/>
  <c r="X98" i="1"/>
  <c r="X97" i="1"/>
  <c r="X122" i="1"/>
  <c r="X105" i="1"/>
  <c r="X25" i="1"/>
  <c r="X68" i="1"/>
  <c r="X121" i="1"/>
  <c r="X139" i="1"/>
  <c r="V4" i="1"/>
  <c r="X124" i="1"/>
  <c r="X104" i="1"/>
  <c r="X135" i="1"/>
  <c r="X89" i="1"/>
  <c r="L130" i="1"/>
  <c r="L55" i="1"/>
  <c r="L50" i="1"/>
  <c r="L114" i="1"/>
  <c r="L58" i="1"/>
  <c r="L123" i="1"/>
  <c r="L61" i="1"/>
  <c r="L69" i="1"/>
  <c r="L112" i="1"/>
  <c r="L121" i="1"/>
  <c r="L138" i="1"/>
  <c r="L102" i="1"/>
  <c r="L40" i="1"/>
  <c r="L29" i="1"/>
  <c r="L94" i="1"/>
  <c r="L142" i="1"/>
  <c r="L136" i="1"/>
  <c r="L13" i="1"/>
  <c r="L53" i="1"/>
  <c r="L36" i="1"/>
  <c r="L119" i="1"/>
  <c r="L75" i="1"/>
  <c r="L92" i="1"/>
  <c r="L49" i="1"/>
  <c r="L35" i="1"/>
  <c r="L26" i="1"/>
  <c r="L140" i="1"/>
  <c r="L110" i="1"/>
  <c r="L72" i="1"/>
  <c r="L67" i="1"/>
  <c r="L118" i="1"/>
  <c r="L80" i="1"/>
  <c r="L90" i="1"/>
  <c r="L129" i="1"/>
  <c r="L116" i="1"/>
  <c r="L22" i="1"/>
  <c r="L106" i="1"/>
  <c r="L108" i="1"/>
  <c r="L11" i="1"/>
  <c r="L42" i="1"/>
  <c r="L73" i="1"/>
  <c r="L38" i="1"/>
  <c r="L45" i="1"/>
  <c r="L20" i="1"/>
  <c r="L10" i="1"/>
  <c r="L32" i="1"/>
  <c r="L51" i="1"/>
  <c r="L126" i="1"/>
  <c r="L124" i="1"/>
  <c r="L83" i="1"/>
  <c r="L30" i="1"/>
  <c r="L78" i="1"/>
  <c r="J4" i="1"/>
  <c r="J7" i="1" s="1"/>
  <c r="L74" i="1"/>
  <c r="L125" i="1"/>
  <c r="L34" i="1"/>
  <c r="L47" i="1"/>
  <c r="L86" i="1"/>
  <c r="L93" i="1"/>
  <c r="L19" i="1"/>
  <c r="L101" i="1"/>
  <c r="L63" i="1"/>
  <c r="L96" i="1"/>
  <c r="L117" i="1"/>
  <c r="L64" i="1"/>
  <c r="L139" i="1"/>
  <c r="L17" i="1"/>
  <c r="L37" i="1"/>
  <c r="L71" i="1"/>
  <c r="L105" i="1"/>
  <c r="L33" i="1"/>
  <c r="L137" i="1"/>
  <c r="L44" i="1"/>
  <c r="L107" i="1"/>
  <c r="L56" i="1"/>
  <c r="L52" i="1"/>
  <c r="L41" i="1"/>
  <c r="L85" i="1"/>
  <c r="L48" i="1"/>
  <c r="L104" i="1"/>
  <c r="L39" i="1"/>
  <c r="L65" i="1"/>
  <c r="L109" i="1"/>
  <c r="L82" i="1"/>
  <c r="L87" i="1"/>
  <c r="L79" i="1"/>
  <c r="L46" i="1"/>
  <c r="L16" i="1"/>
  <c r="L25" i="1"/>
  <c r="L127" i="1"/>
  <c r="L21" i="1"/>
  <c r="L57" i="1"/>
  <c r="L131" i="1"/>
  <c r="L31" i="1"/>
  <c r="L95" i="1"/>
  <c r="L27" i="1"/>
  <c r="L141" i="1"/>
  <c r="L60" i="1"/>
  <c r="L88" i="1"/>
  <c r="L23" i="1"/>
  <c r="L115" i="1"/>
  <c r="L62" i="1"/>
  <c r="L12" i="1"/>
  <c r="L70" i="1"/>
  <c r="L133" i="1"/>
  <c r="L66" i="1"/>
  <c r="L89" i="1"/>
  <c r="L15" i="1"/>
  <c r="L135" i="1"/>
  <c r="L111" i="1"/>
  <c r="L99" i="1"/>
  <c r="L77" i="1"/>
  <c r="L43" i="1"/>
  <c r="L59" i="1"/>
  <c r="L97" i="1"/>
  <c r="L122" i="1"/>
  <c r="L100" i="1"/>
  <c r="L54" i="1"/>
  <c r="L113" i="1"/>
  <c r="L84" i="1"/>
  <c r="L24" i="1"/>
  <c r="L18" i="1"/>
  <c r="L91" i="1"/>
  <c r="L134" i="1"/>
  <c r="L81" i="1"/>
  <c r="L120" i="1"/>
  <c r="L98" i="1"/>
  <c r="L68" i="1"/>
  <c r="L14" i="1"/>
  <c r="L76" i="1"/>
  <c r="L128" i="1"/>
  <c r="L103" i="1"/>
  <c r="L28" i="1"/>
  <c r="AA89" i="1"/>
  <c r="AA42" i="1"/>
  <c r="AA70" i="1"/>
  <c r="AA66" i="1"/>
  <c r="AA79" i="1"/>
  <c r="AA24" i="1"/>
  <c r="AA123" i="1"/>
  <c r="AA100" i="1"/>
  <c r="AA117" i="1"/>
  <c r="AA68" i="1"/>
  <c r="AA41" i="1"/>
  <c r="AA47" i="1"/>
  <c r="AA67" i="1"/>
  <c r="AA112" i="1"/>
  <c r="AA49" i="1"/>
  <c r="AA64" i="1"/>
  <c r="AA140" i="1"/>
  <c r="AA131" i="1"/>
  <c r="AA99" i="1"/>
  <c r="AA73" i="1"/>
  <c r="AA19" i="1"/>
  <c r="AA22" i="1"/>
  <c r="AA83" i="1"/>
  <c r="AA78" i="1"/>
  <c r="AA45" i="1"/>
  <c r="AA18" i="1"/>
  <c r="AA56" i="1"/>
  <c r="AA40" i="1"/>
  <c r="AA39" i="1"/>
  <c r="AA108" i="1"/>
  <c r="AA96" i="1"/>
  <c r="AA35" i="1"/>
  <c r="AA106" i="1"/>
  <c r="AA98" i="1"/>
  <c r="AA59" i="1"/>
  <c r="AA43" i="1"/>
  <c r="AA16" i="1"/>
  <c r="AA36" i="1"/>
  <c r="AA20" i="1"/>
  <c r="AA23" i="1"/>
  <c r="AA71" i="1"/>
  <c r="AA133" i="1"/>
  <c r="AA52" i="1"/>
  <c r="AA53" i="1"/>
  <c r="AA76" i="1"/>
  <c r="AA125" i="1"/>
  <c r="AA54" i="1"/>
  <c r="AA51" i="1"/>
  <c r="AA129" i="1"/>
  <c r="AA137" i="1"/>
  <c r="AA32" i="1"/>
  <c r="AA90" i="1"/>
  <c r="AA28" i="1"/>
  <c r="AA13" i="1"/>
  <c r="AA142" i="1"/>
  <c r="AA69" i="1"/>
  <c r="AA95" i="1"/>
  <c r="AA60" i="1"/>
  <c r="AA48" i="1"/>
  <c r="AA21" i="1"/>
  <c r="AA135" i="1"/>
  <c r="AA121" i="1"/>
  <c r="AA25" i="1"/>
  <c r="AA115" i="1"/>
  <c r="AA97" i="1"/>
  <c r="AA12" i="1"/>
  <c r="AA128" i="1"/>
  <c r="AA15" i="1"/>
  <c r="AA77" i="1"/>
  <c r="AA113" i="1"/>
  <c r="AA84" i="1"/>
  <c r="AA134" i="1"/>
  <c r="AA85" i="1"/>
  <c r="AA94" i="1"/>
  <c r="AA27" i="1"/>
  <c r="AA14" i="1"/>
  <c r="AA104" i="1"/>
  <c r="AA10" i="1"/>
  <c r="AA11" i="1"/>
  <c r="AA50" i="1"/>
  <c r="AA34" i="1"/>
  <c r="AA38" i="1"/>
  <c r="AA72" i="1"/>
  <c r="AA37" i="1"/>
  <c r="Y4" i="1"/>
  <c r="AA93" i="1"/>
  <c r="AA80" i="1"/>
  <c r="AA65" i="1"/>
  <c r="AA138" i="1"/>
  <c r="AA87" i="1"/>
  <c r="AA114" i="1"/>
  <c r="AA136" i="1"/>
  <c r="AA126" i="1"/>
  <c r="AA107" i="1"/>
  <c r="AA92" i="1"/>
  <c r="AA31" i="1"/>
  <c r="AA58" i="1"/>
  <c r="AA63" i="1"/>
  <c r="AA127" i="1"/>
  <c r="AA91" i="1"/>
  <c r="AA81" i="1"/>
  <c r="AA33" i="1"/>
  <c r="AA111" i="1"/>
  <c r="AA122" i="1"/>
  <c r="AA17" i="1"/>
  <c r="AA118" i="1"/>
  <c r="AA26" i="1"/>
  <c r="AA109" i="1"/>
  <c r="AA46" i="1"/>
  <c r="AA110" i="1"/>
  <c r="AA116" i="1"/>
  <c r="AA124" i="1"/>
  <c r="AA30" i="1"/>
  <c r="AA130" i="1"/>
  <c r="AA57" i="1"/>
  <c r="AA44" i="1"/>
  <c r="AA82" i="1"/>
  <c r="AA139" i="1"/>
  <c r="AA86" i="1"/>
  <c r="AA141" i="1"/>
  <c r="AA105" i="1"/>
  <c r="AA120" i="1"/>
  <c r="AA75" i="1"/>
  <c r="AA102" i="1"/>
  <c r="AA29" i="1"/>
  <c r="AA103" i="1"/>
  <c r="AA62" i="1"/>
  <c r="AA119" i="1"/>
  <c r="AA61" i="1"/>
  <c r="AA74" i="1"/>
  <c r="AA88" i="1"/>
  <c r="AA101" i="1"/>
  <c r="AA55" i="1"/>
  <c r="BT41" i="1"/>
  <c r="BT142" i="1"/>
  <c r="BT20" i="1"/>
  <c r="BT123" i="1"/>
  <c r="BT112" i="1"/>
  <c r="BT119" i="1"/>
  <c r="BT94" i="1"/>
  <c r="BT59" i="1"/>
  <c r="BT73" i="1"/>
  <c r="BT14" i="1"/>
  <c r="BT46" i="1"/>
  <c r="BT82" i="1"/>
  <c r="BT84" i="1"/>
  <c r="BT50" i="1"/>
  <c r="BT42" i="1"/>
  <c r="BT118" i="1"/>
  <c r="BT107" i="1"/>
  <c r="BT56" i="1"/>
  <c r="BT81" i="1"/>
  <c r="BT108" i="1"/>
  <c r="BT77" i="1"/>
  <c r="BT12" i="1"/>
  <c r="BT139" i="1"/>
  <c r="BT116" i="1"/>
  <c r="BT88" i="1"/>
  <c r="BT68" i="1"/>
  <c r="BT138" i="1"/>
  <c r="BT125" i="1"/>
  <c r="BT33" i="1"/>
  <c r="BT36" i="1"/>
  <c r="BT117" i="1"/>
  <c r="BT90" i="1"/>
  <c r="BT127" i="1"/>
  <c r="BT35" i="1"/>
  <c r="BT96" i="1"/>
  <c r="BT113" i="1"/>
  <c r="BT99" i="1"/>
  <c r="BT25" i="1"/>
  <c r="BT17" i="1"/>
  <c r="BT141" i="1"/>
  <c r="BT37" i="1"/>
  <c r="BT80" i="1"/>
  <c r="BT74" i="1"/>
  <c r="BT31" i="1"/>
  <c r="BT52" i="1"/>
  <c r="BT10" i="1"/>
  <c r="BT43" i="1"/>
  <c r="BT66" i="1"/>
  <c r="BT131" i="1"/>
  <c r="BT54" i="1"/>
  <c r="BT129" i="1"/>
  <c r="BT28" i="1"/>
  <c r="BT87" i="1"/>
  <c r="BT111" i="1"/>
  <c r="BT128" i="1"/>
  <c r="BT44" i="1"/>
  <c r="BT23" i="1"/>
  <c r="BT15" i="1"/>
  <c r="BT104" i="1"/>
  <c r="BT92" i="1"/>
  <c r="BT49" i="1"/>
  <c r="BT11" i="1"/>
  <c r="BT47" i="1"/>
  <c r="BT24" i="1"/>
  <c r="BT75" i="1"/>
  <c r="BT76" i="1"/>
  <c r="BT83" i="1"/>
  <c r="BT137" i="1"/>
  <c r="BT21" i="1"/>
  <c r="BT70" i="1"/>
  <c r="BT91" i="1"/>
  <c r="BT97" i="1"/>
  <c r="BT85" i="1"/>
  <c r="BT63" i="1"/>
  <c r="BT51" i="1"/>
  <c r="BT78" i="1"/>
  <c r="BT140" i="1"/>
  <c r="BT71" i="1"/>
  <c r="BT58" i="1"/>
  <c r="BT64" i="1"/>
  <c r="BT27" i="1"/>
  <c r="BT34" i="1"/>
  <c r="BT57" i="1"/>
  <c r="BT65" i="1"/>
  <c r="BT102" i="1"/>
  <c r="BT13" i="1"/>
  <c r="BT62" i="1"/>
  <c r="BT89" i="1"/>
  <c r="BT106" i="1"/>
  <c r="BT72" i="1"/>
  <c r="BT121" i="1"/>
  <c r="BT130" i="1"/>
  <c r="BT103" i="1"/>
  <c r="BT69" i="1"/>
  <c r="BT133" i="1"/>
  <c r="BT19" i="1"/>
  <c r="BT55" i="1"/>
  <c r="BT30" i="1"/>
  <c r="BT126" i="1"/>
  <c r="BT124" i="1"/>
  <c r="BT22" i="1"/>
  <c r="BT38" i="1"/>
  <c r="BT114" i="1"/>
  <c r="BT93" i="1"/>
  <c r="BT26" i="1"/>
  <c r="BT100" i="1"/>
  <c r="BT32" i="1"/>
  <c r="BT136" i="1"/>
  <c r="BT110" i="1"/>
  <c r="BT134" i="1"/>
  <c r="BT79" i="1"/>
  <c r="BT105" i="1"/>
  <c r="BT120" i="1"/>
  <c r="BT135" i="1"/>
  <c r="BT95" i="1"/>
  <c r="BT67" i="1"/>
  <c r="BT122" i="1"/>
  <c r="BT86" i="1"/>
  <c r="BT16" i="1"/>
  <c r="BT53" i="1"/>
  <c r="BT101" i="1"/>
  <c r="BT29" i="1"/>
  <c r="BT61" i="1"/>
  <c r="BT115" i="1"/>
  <c r="BT60" i="1"/>
  <c r="BT18" i="1"/>
  <c r="BR4" i="1"/>
  <c r="BT98" i="1"/>
  <c r="BT39" i="1"/>
  <c r="BT109" i="1"/>
  <c r="BT48" i="1"/>
  <c r="BT45" i="1"/>
  <c r="BT40" i="1"/>
  <c r="CC58" i="1"/>
  <c r="CC44" i="1"/>
  <c r="CC107" i="1"/>
  <c r="CC17" i="1"/>
  <c r="CC27" i="1"/>
  <c r="CC13" i="1"/>
  <c r="CC72" i="1"/>
  <c r="CC137" i="1"/>
  <c r="CC41" i="1"/>
  <c r="CC94" i="1"/>
  <c r="CC68" i="1"/>
  <c r="CC63" i="1"/>
  <c r="CC74" i="1"/>
  <c r="CC24" i="1"/>
  <c r="CC77" i="1"/>
  <c r="CC105" i="1"/>
  <c r="CC133" i="1"/>
  <c r="CC80" i="1"/>
  <c r="CC10" i="1"/>
  <c r="CC126" i="1"/>
  <c r="CC12" i="1"/>
  <c r="CC98" i="1"/>
  <c r="CC76" i="1"/>
  <c r="CC69" i="1"/>
  <c r="CC103" i="1"/>
  <c r="CC67" i="1"/>
  <c r="CC115" i="1"/>
  <c r="CC50" i="1"/>
  <c r="CC90" i="1"/>
  <c r="CC78" i="1"/>
  <c r="CC86" i="1"/>
  <c r="CC118" i="1"/>
  <c r="CC32" i="1"/>
  <c r="CC29" i="1"/>
  <c r="CC134" i="1"/>
  <c r="CC71" i="1"/>
  <c r="CC57" i="1"/>
  <c r="CC70" i="1"/>
  <c r="CC116" i="1"/>
  <c r="CC93" i="1"/>
  <c r="CC83" i="1"/>
  <c r="CC75" i="1"/>
  <c r="CC112" i="1"/>
  <c r="CC117" i="1"/>
  <c r="CC11" i="1"/>
  <c r="CC21" i="1"/>
  <c r="CC53" i="1"/>
  <c r="CC127" i="1"/>
  <c r="CC51" i="1"/>
  <c r="CC87" i="1"/>
  <c r="CC92" i="1"/>
  <c r="CC45" i="1"/>
  <c r="CC22" i="1"/>
  <c r="CC99" i="1"/>
  <c r="CC85" i="1"/>
  <c r="CC16" i="1"/>
  <c r="CC28" i="1"/>
  <c r="CC140" i="1"/>
  <c r="CC136" i="1"/>
  <c r="CC123" i="1"/>
  <c r="CC36" i="1"/>
  <c r="CC139" i="1"/>
  <c r="CC122" i="1"/>
  <c r="CC108" i="1"/>
  <c r="CC20" i="1"/>
  <c r="CC88" i="1"/>
  <c r="CC109" i="1"/>
  <c r="CC104" i="1"/>
  <c r="CC81" i="1"/>
  <c r="CC42" i="1"/>
  <c r="CC23" i="1"/>
  <c r="CC39" i="1"/>
  <c r="CC34" i="1"/>
  <c r="CC73" i="1"/>
  <c r="CC55" i="1"/>
  <c r="CC40" i="1"/>
  <c r="CC62" i="1"/>
  <c r="CC30" i="1"/>
  <c r="CC97" i="1"/>
  <c r="CC35" i="1"/>
  <c r="CC110" i="1"/>
  <c r="CC47" i="1"/>
  <c r="CC125" i="1"/>
  <c r="CC37" i="1"/>
  <c r="CC15" i="1"/>
  <c r="CC96" i="1"/>
  <c r="CC138" i="1"/>
  <c r="CC141" i="1"/>
  <c r="CC66" i="1"/>
  <c r="CC25" i="1"/>
  <c r="CC102" i="1"/>
  <c r="CC106" i="1"/>
  <c r="CC114" i="1"/>
  <c r="CC113" i="1"/>
  <c r="CC111" i="1"/>
  <c r="CC46" i="1"/>
  <c r="CC56" i="1"/>
  <c r="CC95" i="1"/>
  <c r="CC60" i="1"/>
  <c r="CC64" i="1"/>
  <c r="CC18" i="1"/>
  <c r="CC119" i="1"/>
  <c r="CC100" i="1"/>
  <c r="CC48" i="1"/>
  <c r="CC89" i="1"/>
  <c r="CC124" i="1"/>
  <c r="CC61" i="1"/>
  <c r="CC54" i="1"/>
  <c r="CC79" i="1"/>
  <c r="CC142" i="1"/>
  <c r="CC14" i="1"/>
  <c r="CA4" i="1"/>
  <c r="CC101" i="1"/>
  <c r="CC91" i="1"/>
  <c r="CC130" i="1"/>
  <c r="CC135" i="1"/>
  <c r="CC120" i="1"/>
  <c r="CC121" i="1"/>
  <c r="CC129" i="1"/>
  <c r="CC38" i="1"/>
  <c r="CC82" i="1"/>
  <c r="CC49" i="1"/>
  <c r="CC52" i="1"/>
  <c r="CC31" i="1"/>
  <c r="CC128" i="1"/>
  <c r="CC131" i="1"/>
  <c r="CC26" i="1"/>
  <c r="CC84" i="1"/>
  <c r="CC33" i="1"/>
  <c r="CC65" i="1"/>
  <c r="CC43" i="1"/>
  <c r="CC19" i="1"/>
  <c r="CC59" i="1"/>
  <c r="AM47" i="1"/>
  <c r="AM59" i="1"/>
  <c r="AM66" i="1"/>
  <c r="AM49" i="1"/>
  <c r="AM52" i="1"/>
  <c r="AM137" i="1"/>
  <c r="AM105" i="1"/>
  <c r="AM26" i="1"/>
  <c r="AM69" i="1"/>
  <c r="AM27" i="1"/>
  <c r="AM34" i="1"/>
  <c r="AM54" i="1"/>
  <c r="AM32" i="1"/>
  <c r="AM107" i="1"/>
  <c r="AM84" i="1"/>
  <c r="AM20" i="1"/>
  <c r="AM82" i="1"/>
  <c r="AM118" i="1"/>
  <c r="AM16" i="1"/>
  <c r="AM98" i="1"/>
  <c r="AM120" i="1"/>
  <c r="AM100" i="1"/>
  <c r="AM33" i="1"/>
  <c r="AM136" i="1"/>
  <c r="AM125" i="1"/>
  <c r="AM78" i="1"/>
  <c r="AM123" i="1"/>
  <c r="AM124" i="1"/>
  <c r="AM44" i="1"/>
  <c r="AM97" i="1"/>
  <c r="AM76" i="1"/>
  <c r="AM22" i="1"/>
  <c r="AM103" i="1"/>
  <c r="AM39" i="1"/>
  <c r="AM13" i="1"/>
  <c r="AM36" i="1"/>
  <c r="AM142" i="1"/>
  <c r="AM55" i="1"/>
  <c r="AM93" i="1"/>
  <c r="AM17" i="1"/>
  <c r="AM126" i="1"/>
  <c r="AM80" i="1"/>
  <c r="AM46" i="1"/>
  <c r="AM131" i="1"/>
  <c r="AM111" i="1"/>
  <c r="AM85" i="1"/>
  <c r="AM92" i="1"/>
  <c r="AM42" i="1"/>
  <c r="AM129" i="1"/>
  <c r="AM134" i="1"/>
  <c r="AM83" i="1"/>
  <c r="AM24" i="1"/>
  <c r="AM94" i="1"/>
  <c r="AM28" i="1"/>
  <c r="AM99" i="1"/>
  <c r="AM72" i="1"/>
  <c r="AM88" i="1"/>
  <c r="AM37" i="1"/>
  <c r="AM87" i="1"/>
  <c r="AM102" i="1"/>
  <c r="AM70" i="1"/>
  <c r="AM19" i="1"/>
  <c r="AM29" i="1"/>
  <c r="AM106" i="1"/>
  <c r="AM62" i="1"/>
  <c r="AM130" i="1"/>
  <c r="AM15" i="1"/>
  <c r="AM138" i="1"/>
  <c r="AM30" i="1"/>
  <c r="AM35" i="1"/>
  <c r="AM57" i="1"/>
  <c r="AK4" i="1"/>
  <c r="AM67" i="1"/>
  <c r="AM38" i="1"/>
  <c r="AM141" i="1"/>
  <c r="AM108" i="1"/>
  <c r="AM60" i="1"/>
  <c r="AM79" i="1"/>
  <c r="AM109" i="1"/>
  <c r="AM127" i="1"/>
  <c r="AM41" i="1"/>
  <c r="AM75" i="1"/>
  <c r="AM31" i="1"/>
  <c r="AM112" i="1"/>
  <c r="AM74" i="1"/>
  <c r="AM64" i="1"/>
  <c r="AM135" i="1"/>
  <c r="AM114" i="1"/>
  <c r="AM113" i="1"/>
  <c r="AM63" i="1"/>
  <c r="AM58" i="1"/>
  <c r="AM11" i="1"/>
  <c r="AM139" i="1"/>
  <c r="AM45" i="1"/>
  <c r="AM68" i="1"/>
  <c r="AM91" i="1"/>
  <c r="AM81" i="1"/>
  <c r="AM115" i="1"/>
  <c r="AM104" i="1"/>
  <c r="AM23" i="1"/>
  <c r="AM133" i="1"/>
  <c r="AM53" i="1"/>
  <c r="AM122" i="1"/>
  <c r="AM89" i="1"/>
  <c r="AM121" i="1"/>
  <c r="AM77" i="1"/>
  <c r="AM14" i="1"/>
  <c r="AM95" i="1"/>
  <c r="AM21" i="1"/>
  <c r="AM40" i="1"/>
  <c r="AM56" i="1"/>
  <c r="AM101" i="1"/>
  <c r="AM65" i="1"/>
  <c r="AM140" i="1"/>
  <c r="AM18" i="1"/>
  <c r="AM117" i="1"/>
  <c r="AM90" i="1"/>
  <c r="AM50" i="1"/>
  <c r="AM71" i="1"/>
  <c r="AM119" i="1"/>
  <c r="AM51" i="1"/>
  <c r="AM110" i="1"/>
  <c r="AM128" i="1"/>
  <c r="AM96" i="1"/>
  <c r="AM48" i="1"/>
  <c r="AM43" i="1"/>
  <c r="AM116" i="1"/>
  <c r="AM10" i="1"/>
  <c r="AM86" i="1"/>
  <c r="AM73" i="1"/>
  <c r="AM25" i="1"/>
  <c r="AM61" i="1"/>
  <c r="AM12" i="1"/>
  <c r="O91" i="1"/>
  <c r="O136" i="1"/>
  <c r="O142" i="1"/>
  <c r="O81" i="1"/>
  <c r="O24" i="1"/>
  <c r="O108" i="1"/>
  <c r="O23" i="1"/>
  <c r="O124" i="1"/>
  <c r="O84" i="1"/>
  <c r="O45" i="1"/>
  <c r="O12" i="1"/>
  <c r="O127" i="1"/>
  <c r="O27" i="1"/>
  <c r="O121" i="1"/>
  <c r="O99" i="1"/>
  <c r="O137" i="1"/>
  <c r="O113" i="1"/>
  <c r="O48" i="1"/>
  <c r="O42" i="1"/>
  <c r="O10" i="1"/>
  <c r="O86" i="1"/>
  <c r="O117" i="1"/>
  <c r="O125" i="1"/>
  <c r="O96" i="1"/>
  <c r="O44" i="1"/>
  <c r="O135" i="1"/>
  <c r="O141" i="1"/>
  <c r="O122" i="1"/>
  <c r="O54" i="1"/>
  <c r="O37" i="1"/>
  <c r="O139" i="1"/>
  <c r="O56" i="1"/>
  <c r="O62" i="1"/>
  <c r="O123" i="1"/>
  <c r="O31" i="1"/>
  <c r="O109" i="1"/>
  <c r="O107" i="1"/>
  <c r="O98" i="1"/>
  <c r="O60" i="1"/>
  <c r="O116" i="1"/>
  <c r="O126" i="1"/>
  <c r="O130" i="1"/>
  <c r="O101" i="1"/>
  <c r="O70" i="1"/>
  <c r="O28" i="1"/>
  <c r="O93" i="1"/>
  <c r="O16" i="1"/>
  <c r="O13" i="1"/>
  <c r="O47" i="1"/>
  <c r="O53" i="1"/>
  <c r="O71" i="1"/>
  <c r="O119" i="1"/>
  <c r="O103" i="1"/>
  <c r="O92" i="1"/>
  <c r="O105" i="1"/>
  <c r="O17" i="1"/>
  <c r="O128" i="1"/>
  <c r="O106" i="1"/>
  <c r="O46" i="1"/>
  <c r="O134" i="1"/>
  <c r="O89" i="1"/>
  <c r="O95" i="1"/>
  <c r="O18" i="1"/>
  <c r="O65" i="1"/>
  <c r="O29" i="1"/>
  <c r="O43" i="1"/>
  <c r="O57" i="1"/>
  <c r="O97" i="1"/>
  <c r="O69" i="1"/>
  <c r="O55" i="1"/>
  <c r="O111" i="1"/>
  <c r="O34" i="1"/>
  <c r="O83" i="1"/>
  <c r="O82" i="1"/>
  <c r="O50" i="1"/>
  <c r="O79" i="1"/>
  <c r="O87" i="1"/>
  <c r="O11" i="1"/>
  <c r="O131" i="1"/>
  <c r="O22" i="1"/>
  <c r="O88" i="1"/>
  <c r="O64" i="1"/>
  <c r="M4" i="1"/>
  <c r="O63" i="1"/>
  <c r="O30" i="1"/>
  <c r="O75" i="1"/>
  <c r="O49" i="1"/>
  <c r="O73" i="1"/>
  <c r="O38" i="1"/>
  <c r="O112" i="1"/>
  <c r="O68" i="1"/>
  <c r="O26" i="1"/>
  <c r="O72" i="1"/>
  <c r="O94" i="1"/>
  <c r="O39" i="1"/>
  <c r="O100" i="1"/>
  <c r="O59" i="1"/>
  <c r="O133" i="1"/>
  <c r="O85" i="1"/>
  <c r="O118" i="1"/>
  <c r="O52" i="1"/>
  <c r="O66" i="1"/>
  <c r="O78" i="1"/>
  <c r="O20" i="1"/>
  <c r="O21" i="1"/>
  <c r="O15" i="1"/>
  <c r="O114" i="1"/>
  <c r="O67" i="1"/>
  <c r="O77" i="1"/>
  <c r="O40" i="1"/>
  <c r="O51" i="1"/>
  <c r="O61" i="1"/>
  <c r="O14" i="1"/>
  <c r="O90" i="1"/>
  <c r="O104" i="1"/>
  <c r="O110" i="1"/>
  <c r="O74" i="1"/>
  <c r="O140" i="1"/>
  <c r="O36" i="1"/>
  <c r="O58" i="1"/>
  <c r="O32" i="1"/>
  <c r="O35" i="1"/>
  <c r="O129" i="1"/>
  <c r="O115" i="1"/>
  <c r="O102" i="1"/>
  <c r="O25" i="1"/>
  <c r="O138" i="1"/>
  <c r="O76" i="1"/>
  <c r="O120" i="1"/>
  <c r="O80" i="1"/>
  <c r="O33" i="1"/>
  <c r="O19" i="1"/>
  <c r="O41" i="1"/>
  <c r="AG82" i="1"/>
  <c r="AG102" i="1"/>
  <c r="AG16" i="1"/>
  <c r="AG120" i="1"/>
  <c r="AG52" i="1"/>
  <c r="AG34" i="1"/>
  <c r="AG111" i="1"/>
  <c r="AG73" i="1"/>
  <c r="AG47" i="1"/>
  <c r="AG101" i="1"/>
  <c r="AG123" i="1"/>
  <c r="AG67" i="1"/>
  <c r="AG108" i="1"/>
  <c r="AG42" i="1"/>
  <c r="AG90" i="1"/>
  <c r="AG107" i="1"/>
  <c r="AG14" i="1"/>
  <c r="AG40" i="1"/>
  <c r="AG29" i="1"/>
  <c r="AG64" i="1"/>
  <c r="AG118" i="1"/>
  <c r="AG27" i="1"/>
  <c r="AG100" i="1"/>
  <c r="AG70" i="1"/>
  <c r="AG24" i="1"/>
  <c r="AG41" i="1"/>
  <c r="AG62" i="1"/>
  <c r="AG20" i="1"/>
  <c r="AG26" i="1"/>
  <c r="AG53" i="1"/>
  <c r="AG18" i="1"/>
  <c r="AG11" i="1"/>
  <c r="AG89" i="1"/>
  <c r="AG10" i="1"/>
  <c r="AG110" i="1"/>
  <c r="AG55" i="1"/>
  <c r="AG39" i="1"/>
  <c r="AG21" i="1"/>
  <c r="AG114" i="1"/>
  <c r="AG30" i="1"/>
  <c r="AG13" i="1"/>
  <c r="AE4" i="1"/>
  <c r="AG43" i="1"/>
  <c r="AG50" i="1"/>
  <c r="AG83" i="1"/>
  <c r="AG51" i="1"/>
  <c r="AG112" i="1"/>
  <c r="AG81" i="1"/>
  <c r="AG45" i="1"/>
  <c r="AG48" i="1"/>
  <c r="AG80" i="1"/>
  <c r="AG74" i="1"/>
  <c r="AG32" i="1"/>
  <c r="AG65" i="1"/>
  <c r="AG134" i="1"/>
  <c r="AG138" i="1"/>
  <c r="AG58" i="1"/>
  <c r="AG49" i="1"/>
  <c r="AG60" i="1"/>
  <c r="AG106" i="1"/>
  <c r="AG103" i="1"/>
  <c r="AG131" i="1"/>
  <c r="AG38" i="1"/>
  <c r="AG142" i="1"/>
  <c r="AG12" i="1"/>
  <c r="AG113" i="1"/>
  <c r="AG133" i="1"/>
  <c r="AG69" i="1"/>
  <c r="AG72" i="1"/>
  <c r="AG77" i="1"/>
  <c r="AG125" i="1"/>
  <c r="AG84" i="1"/>
  <c r="AG105" i="1"/>
  <c r="AG129" i="1"/>
  <c r="AG137" i="1"/>
  <c r="AG130" i="1"/>
  <c r="AG115" i="1"/>
  <c r="AG117" i="1"/>
  <c r="AG135" i="1"/>
  <c r="AG33" i="1"/>
  <c r="AG128" i="1"/>
  <c r="AG22" i="1"/>
  <c r="AG36" i="1"/>
  <c r="AG122" i="1"/>
  <c r="AG95" i="1"/>
  <c r="AG61" i="1"/>
  <c r="AG91" i="1"/>
  <c r="AG93" i="1"/>
  <c r="AG96" i="1"/>
  <c r="AG68" i="1"/>
  <c r="AG35" i="1"/>
  <c r="AG86" i="1"/>
  <c r="AG79" i="1"/>
  <c r="AG75" i="1"/>
  <c r="AG46" i="1"/>
  <c r="AG141" i="1"/>
  <c r="AG140" i="1"/>
  <c r="AG44" i="1"/>
  <c r="AG54" i="1"/>
  <c r="AG97" i="1"/>
  <c r="AG15" i="1"/>
  <c r="AG31" i="1"/>
  <c r="AG87" i="1"/>
  <c r="AG116" i="1"/>
  <c r="AG98" i="1"/>
  <c r="AG124" i="1"/>
  <c r="AG92" i="1"/>
  <c r="AG126" i="1"/>
  <c r="AG56" i="1"/>
  <c r="AG71" i="1"/>
  <c r="AG63" i="1"/>
  <c r="AG104" i="1"/>
  <c r="AG99" i="1"/>
  <c r="AG37" i="1"/>
  <c r="AG94" i="1"/>
  <c r="AG127" i="1"/>
  <c r="AG25" i="1"/>
  <c r="AG139" i="1"/>
  <c r="AG76" i="1"/>
  <c r="AG28" i="1"/>
  <c r="AG78" i="1"/>
  <c r="AG57" i="1"/>
  <c r="AG109" i="1"/>
  <c r="AG19" i="1"/>
  <c r="AG136" i="1"/>
  <c r="AG66" i="1"/>
  <c r="AG88" i="1"/>
  <c r="AG119" i="1"/>
  <c r="AG85" i="1"/>
  <c r="AG59" i="1"/>
  <c r="AG23" i="1"/>
  <c r="AG17" i="1"/>
  <c r="AG121" i="1"/>
  <c r="X132" i="1"/>
  <c r="BH96" i="1"/>
  <c r="BH75" i="1"/>
  <c r="BH104" i="1"/>
  <c r="BH94" i="1"/>
  <c r="BH26" i="1"/>
  <c r="BH124" i="1"/>
  <c r="BH43" i="1"/>
  <c r="BH111" i="1"/>
  <c r="BH71" i="1"/>
  <c r="BH133" i="1"/>
  <c r="BH53" i="1"/>
  <c r="BH20" i="1"/>
  <c r="BH141" i="1"/>
  <c r="BH29" i="1"/>
  <c r="BH60" i="1"/>
  <c r="BH48" i="1"/>
  <c r="BH17" i="1"/>
  <c r="BH120" i="1"/>
  <c r="BH65" i="1"/>
  <c r="BH27" i="1"/>
  <c r="BH109" i="1"/>
  <c r="BH66" i="1"/>
  <c r="BH142" i="1"/>
  <c r="BH38" i="1"/>
  <c r="BH25" i="1"/>
  <c r="BH19" i="1"/>
  <c r="BH73" i="1"/>
  <c r="BH82" i="1"/>
  <c r="BH114" i="1"/>
  <c r="BH67" i="1"/>
  <c r="BH76" i="1"/>
  <c r="BH55" i="1"/>
  <c r="BH110" i="1"/>
  <c r="BH33" i="1"/>
  <c r="BH85" i="1"/>
  <c r="BH34" i="1"/>
  <c r="BH51" i="1"/>
  <c r="BH54" i="1"/>
  <c r="BH15" i="1"/>
  <c r="BH79" i="1"/>
  <c r="BH10" i="1"/>
  <c r="BH118" i="1"/>
  <c r="BH80" i="1"/>
  <c r="BH91" i="1"/>
  <c r="BH61" i="1"/>
  <c r="BH40" i="1"/>
  <c r="BH100" i="1"/>
  <c r="BH129" i="1"/>
  <c r="BH87" i="1"/>
  <c r="BH44" i="1"/>
  <c r="BH106" i="1"/>
  <c r="BH45" i="1"/>
  <c r="BH12" i="1"/>
  <c r="BH123" i="1"/>
  <c r="BH89" i="1"/>
  <c r="BH138" i="1"/>
  <c r="BH23" i="1"/>
  <c r="BH47" i="1"/>
  <c r="BH119" i="1"/>
  <c r="BH69" i="1"/>
  <c r="BH30" i="1"/>
  <c r="BH41" i="1"/>
  <c r="BH74" i="1"/>
  <c r="BH116" i="1"/>
  <c r="BH35" i="1"/>
  <c r="BH103" i="1"/>
  <c r="BH112" i="1"/>
  <c r="BH136" i="1"/>
  <c r="BH24" i="1"/>
  <c r="BH113" i="1"/>
  <c r="BH140" i="1"/>
  <c r="BH134" i="1"/>
  <c r="BH127" i="1"/>
  <c r="BH135" i="1"/>
  <c r="BH62" i="1"/>
  <c r="BH108" i="1"/>
  <c r="BH70" i="1"/>
  <c r="BH81" i="1"/>
  <c r="BH99" i="1"/>
  <c r="BH50" i="1"/>
  <c r="BH21" i="1"/>
  <c r="BH22" i="1"/>
  <c r="BH52" i="1"/>
  <c r="BH121" i="1"/>
  <c r="BH59" i="1"/>
  <c r="BH83" i="1"/>
  <c r="BH137" i="1"/>
  <c r="BH92" i="1"/>
  <c r="BF4" i="1"/>
  <c r="BH78" i="1"/>
  <c r="BH101" i="1"/>
  <c r="BH16" i="1"/>
  <c r="BH13" i="1"/>
  <c r="BH86" i="1"/>
  <c r="BH39" i="1"/>
  <c r="BH88" i="1"/>
  <c r="BH56" i="1"/>
  <c r="BH11" i="1"/>
  <c r="BH77" i="1"/>
  <c r="BH28" i="1"/>
  <c r="BH49" i="1"/>
  <c r="BH46" i="1"/>
  <c r="BH32" i="1"/>
  <c r="BH68" i="1"/>
  <c r="BH105" i="1"/>
  <c r="BH31" i="1"/>
  <c r="BH125" i="1"/>
  <c r="BH42" i="1"/>
  <c r="BH128" i="1"/>
  <c r="BH107" i="1"/>
  <c r="BH95" i="1"/>
  <c r="BH64" i="1"/>
  <c r="BH72" i="1"/>
  <c r="BH57" i="1"/>
  <c r="BH63" i="1"/>
  <c r="BH97" i="1"/>
  <c r="BH36" i="1"/>
  <c r="BH90" i="1"/>
  <c r="BH130" i="1"/>
  <c r="BH115" i="1"/>
  <c r="BH37" i="1"/>
  <c r="BH98" i="1"/>
  <c r="BH131" i="1"/>
  <c r="BH122" i="1"/>
  <c r="BH84" i="1"/>
  <c r="BH18" i="1"/>
  <c r="BH126" i="1"/>
  <c r="BH93" i="1"/>
  <c r="BH14" i="1"/>
  <c r="BH58" i="1"/>
  <c r="BH139" i="1"/>
  <c r="BH117" i="1"/>
  <c r="BH102" i="1"/>
  <c r="L132" i="1"/>
  <c r="BZ92" i="1"/>
  <c r="BZ96" i="1"/>
  <c r="BZ10" i="1"/>
  <c r="BZ124" i="1"/>
  <c r="BZ27" i="1"/>
  <c r="BZ62" i="1"/>
  <c r="BZ36" i="1"/>
  <c r="BZ109" i="1"/>
  <c r="BZ134" i="1"/>
  <c r="BZ25" i="1"/>
  <c r="BZ18" i="1"/>
  <c r="BX4" i="1"/>
  <c r="BZ68" i="1"/>
  <c r="BZ86" i="1"/>
  <c r="BZ44" i="1"/>
  <c r="BZ58" i="1"/>
  <c r="BZ41" i="1"/>
  <c r="BZ97" i="1"/>
  <c r="BZ26" i="1"/>
  <c r="BZ51" i="1"/>
  <c r="BZ100" i="1"/>
  <c r="BZ136" i="1"/>
  <c r="BZ55" i="1"/>
  <c r="BZ94" i="1"/>
  <c r="BZ118" i="1"/>
  <c r="BZ131" i="1"/>
  <c r="BZ46" i="1"/>
  <c r="BZ135" i="1"/>
  <c r="BZ42" i="1"/>
  <c r="BZ126" i="1"/>
  <c r="BZ103" i="1"/>
  <c r="BZ45" i="1"/>
  <c r="BZ77" i="1"/>
  <c r="BZ120" i="1"/>
  <c r="BZ107" i="1"/>
  <c r="BZ72" i="1"/>
  <c r="BZ80" i="1"/>
  <c r="BZ40" i="1"/>
  <c r="BZ70" i="1"/>
  <c r="BZ85" i="1"/>
  <c r="BZ78" i="1"/>
  <c r="BZ130" i="1"/>
  <c r="BZ142" i="1"/>
  <c r="BZ98" i="1"/>
  <c r="BZ122" i="1"/>
  <c r="BZ31" i="1"/>
  <c r="BZ76" i="1"/>
  <c r="BZ89" i="1"/>
  <c r="BZ49" i="1"/>
  <c r="BZ63" i="1"/>
  <c r="BZ52" i="1"/>
  <c r="BZ24" i="1"/>
  <c r="BZ79" i="1"/>
  <c r="BZ57" i="1"/>
  <c r="BZ66" i="1"/>
  <c r="BZ127" i="1"/>
  <c r="BZ54" i="1"/>
  <c r="BZ64" i="1"/>
  <c r="BZ101" i="1"/>
  <c r="BZ83" i="1"/>
  <c r="BZ111" i="1"/>
  <c r="BZ106" i="1"/>
  <c r="BZ19" i="1"/>
  <c r="BZ141" i="1"/>
  <c r="BZ140" i="1"/>
  <c r="BZ13" i="1"/>
  <c r="BZ137" i="1"/>
  <c r="BZ125" i="1"/>
  <c r="BZ35" i="1"/>
  <c r="BZ67" i="1"/>
  <c r="BZ60" i="1"/>
  <c r="BZ108" i="1"/>
  <c r="BZ84" i="1"/>
  <c r="BZ47" i="1"/>
  <c r="BZ74" i="1"/>
  <c r="BZ117" i="1"/>
  <c r="BZ113" i="1"/>
  <c r="BZ102" i="1"/>
  <c r="BZ53" i="1"/>
  <c r="BZ15" i="1"/>
  <c r="BZ50" i="1"/>
  <c r="BZ20" i="1"/>
  <c r="BZ28" i="1"/>
  <c r="BZ123" i="1"/>
  <c r="BZ139" i="1"/>
  <c r="BZ39" i="1"/>
  <c r="BZ133" i="1"/>
  <c r="BZ138" i="1"/>
  <c r="BZ71" i="1"/>
  <c r="BZ75" i="1"/>
  <c r="BZ56" i="1"/>
  <c r="BZ65" i="1"/>
  <c r="BZ23" i="1"/>
  <c r="BZ121" i="1"/>
  <c r="BZ22" i="1"/>
  <c r="BZ128" i="1"/>
  <c r="BZ12" i="1"/>
  <c r="BZ37" i="1"/>
  <c r="BZ43" i="1"/>
  <c r="BZ82" i="1"/>
  <c r="BZ88" i="1"/>
  <c r="BZ69" i="1"/>
  <c r="BZ93" i="1"/>
  <c r="BZ116" i="1"/>
  <c r="BZ38" i="1"/>
  <c r="BZ14" i="1"/>
  <c r="BZ129" i="1"/>
  <c r="BZ21" i="1"/>
  <c r="BZ112" i="1"/>
  <c r="BZ91" i="1"/>
  <c r="BZ105" i="1"/>
  <c r="BZ81" i="1"/>
  <c r="BZ30" i="1"/>
  <c r="BZ59" i="1"/>
  <c r="BZ17" i="1"/>
  <c r="BZ99" i="1"/>
  <c r="BZ29" i="1"/>
  <c r="BZ34" i="1"/>
  <c r="BZ33" i="1"/>
  <c r="BZ95" i="1"/>
  <c r="BZ11" i="1"/>
  <c r="BZ114" i="1"/>
  <c r="BZ16" i="1"/>
  <c r="BZ90" i="1"/>
  <c r="BZ110" i="1"/>
  <c r="BZ115" i="1"/>
  <c r="BZ32" i="1"/>
  <c r="BZ61" i="1"/>
  <c r="BZ73" i="1"/>
  <c r="BZ119" i="1"/>
  <c r="BZ87" i="1"/>
  <c r="BZ48" i="1"/>
  <c r="BZ104" i="1"/>
  <c r="AV138" i="1"/>
  <c r="AV99" i="1"/>
  <c r="AV18" i="1"/>
  <c r="AV50" i="1"/>
  <c r="AV47" i="1"/>
  <c r="AV66" i="1"/>
  <c r="AV120" i="1"/>
  <c r="AV52" i="1"/>
  <c r="AV46" i="1"/>
  <c r="AV82" i="1"/>
  <c r="AV68" i="1"/>
  <c r="AV123" i="1"/>
  <c r="AV23" i="1"/>
  <c r="AV136" i="1"/>
  <c r="AV105" i="1"/>
  <c r="AV39" i="1"/>
  <c r="AV25" i="1"/>
  <c r="AV43" i="1"/>
  <c r="AV140" i="1"/>
  <c r="AV125" i="1"/>
  <c r="AV129" i="1"/>
  <c r="AV74" i="1"/>
  <c r="AV27" i="1"/>
  <c r="AV117" i="1"/>
  <c r="AV101" i="1"/>
  <c r="AV142" i="1"/>
  <c r="AV86" i="1"/>
  <c r="AV54" i="1"/>
  <c r="AV15" i="1"/>
  <c r="AV62" i="1"/>
  <c r="AV60" i="1"/>
  <c r="AV85" i="1"/>
  <c r="AV75" i="1"/>
  <c r="AV72" i="1"/>
  <c r="AV116" i="1"/>
  <c r="AV32" i="1"/>
  <c r="AV30" i="1"/>
  <c r="AV76" i="1"/>
  <c r="AV83" i="1"/>
  <c r="AV55" i="1"/>
  <c r="AV114" i="1"/>
  <c r="AV135" i="1"/>
  <c r="AV59" i="1"/>
  <c r="AV106" i="1"/>
  <c r="AV107" i="1"/>
  <c r="AV90" i="1"/>
  <c r="AV34" i="1"/>
  <c r="AV91" i="1"/>
  <c r="AV113" i="1"/>
  <c r="AV69" i="1"/>
  <c r="AV64" i="1"/>
  <c r="AV108" i="1"/>
  <c r="AV63" i="1"/>
  <c r="AV97" i="1"/>
  <c r="AV16" i="1"/>
  <c r="AV40" i="1"/>
  <c r="AV87" i="1"/>
  <c r="AV17" i="1"/>
  <c r="AV139" i="1"/>
  <c r="AV58" i="1"/>
  <c r="AV53" i="1"/>
  <c r="AV124" i="1"/>
  <c r="AV70" i="1"/>
  <c r="AV12" i="1"/>
  <c r="AV95" i="1"/>
  <c r="AV31" i="1"/>
  <c r="AV130" i="1"/>
  <c r="AV35" i="1"/>
  <c r="AV20" i="1"/>
  <c r="AV79" i="1"/>
  <c r="AV19" i="1"/>
  <c r="AV133" i="1"/>
  <c r="AV118" i="1"/>
  <c r="AV24" i="1"/>
  <c r="AV88" i="1"/>
  <c r="AV110" i="1"/>
  <c r="AV102" i="1"/>
  <c r="AV67" i="1"/>
  <c r="AV137" i="1"/>
  <c r="AV134" i="1"/>
  <c r="AV119" i="1"/>
  <c r="AV121" i="1"/>
  <c r="AV100" i="1"/>
  <c r="AV65" i="1"/>
  <c r="AV103" i="1"/>
  <c r="AV109" i="1"/>
  <c r="AV111" i="1"/>
  <c r="AV44" i="1"/>
  <c r="AV89" i="1"/>
  <c r="AV71" i="1"/>
  <c r="AV10" i="1"/>
  <c r="AV36" i="1"/>
  <c r="AV38" i="1"/>
  <c r="AV112" i="1"/>
  <c r="AV80" i="1"/>
  <c r="AV81" i="1"/>
  <c r="AV61" i="1"/>
  <c r="AV45" i="1"/>
  <c r="AV73" i="1"/>
  <c r="AV126" i="1"/>
  <c r="AV115" i="1"/>
  <c r="AV51" i="1"/>
  <c r="AV78" i="1"/>
  <c r="AV13" i="1"/>
  <c r="AV77" i="1"/>
  <c r="AV21" i="1"/>
  <c r="AV26" i="1"/>
  <c r="AV96" i="1"/>
  <c r="AV141" i="1"/>
  <c r="AV128" i="1"/>
  <c r="AV127" i="1"/>
  <c r="AV41" i="1"/>
  <c r="AV49" i="1"/>
  <c r="AV48" i="1"/>
  <c r="AV57" i="1"/>
  <c r="AV92" i="1"/>
  <c r="AV94" i="1"/>
  <c r="AT4" i="1"/>
  <c r="AV29" i="1"/>
  <c r="AV56" i="1"/>
  <c r="AV104" i="1"/>
  <c r="AV22" i="1"/>
  <c r="AV122" i="1"/>
  <c r="AV33" i="1"/>
  <c r="AV93" i="1"/>
  <c r="AV14" i="1"/>
  <c r="AV84" i="1"/>
  <c r="AV98" i="1"/>
  <c r="AV131" i="1"/>
  <c r="AV37" i="1"/>
  <c r="AV28" i="1"/>
  <c r="AV11" i="1"/>
  <c r="AV42" i="1"/>
  <c r="BB73" i="1"/>
  <c r="BB70" i="1"/>
  <c r="BB54" i="1"/>
  <c r="BB77" i="1"/>
  <c r="BB26" i="1"/>
  <c r="BB124" i="1"/>
  <c r="BB87" i="1"/>
  <c r="BB112" i="1"/>
  <c r="BB103" i="1"/>
  <c r="BB133" i="1"/>
  <c r="BB63" i="1"/>
  <c r="BB121" i="1"/>
  <c r="BB137" i="1"/>
  <c r="BB122" i="1"/>
  <c r="BB105" i="1"/>
  <c r="BB22" i="1"/>
  <c r="BB41" i="1"/>
  <c r="BB104" i="1"/>
  <c r="BB68" i="1"/>
  <c r="BB32" i="1"/>
  <c r="BB17" i="1"/>
  <c r="BB23" i="1"/>
  <c r="BB131" i="1"/>
  <c r="BB86" i="1"/>
  <c r="BB108" i="1"/>
  <c r="BB113" i="1"/>
  <c r="BB93" i="1"/>
  <c r="BB128" i="1"/>
  <c r="BB96" i="1"/>
  <c r="BB57" i="1"/>
  <c r="BB72" i="1"/>
  <c r="BB40" i="1"/>
  <c r="BB47" i="1"/>
  <c r="BB58" i="1"/>
  <c r="BB27" i="1"/>
  <c r="BB35" i="1"/>
  <c r="BB102" i="1"/>
  <c r="BB115" i="1"/>
  <c r="BB89" i="1"/>
  <c r="BB29" i="1"/>
  <c r="BB31" i="1"/>
  <c r="BB114" i="1"/>
  <c r="BB120" i="1"/>
  <c r="BB81" i="1"/>
  <c r="BB21" i="1"/>
  <c r="BB92" i="1"/>
  <c r="BB78" i="1"/>
  <c r="BB30" i="1"/>
  <c r="BB45" i="1"/>
  <c r="BB38" i="1"/>
  <c r="BB140" i="1"/>
  <c r="BB123" i="1"/>
  <c r="BB69" i="1"/>
  <c r="BB136" i="1"/>
  <c r="BB34" i="1"/>
  <c r="BB18" i="1"/>
  <c r="BB28" i="1"/>
  <c r="BB83" i="1"/>
  <c r="BB99" i="1"/>
  <c r="BB37" i="1"/>
  <c r="BB48" i="1"/>
  <c r="BB127" i="1"/>
  <c r="BB90" i="1"/>
  <c r="BB61" i="1"/>
  <c r="AZ4" i="1"/>
  <c r="BB24" i="1"/>
  <c r="BB36" i="1"/>
  <c r="BB14" i="1"/>
  <c r="BB107" i="1"/>
  <c r="BB11" i="1"/>
  <c r="BB95" i="1"/>
  <c r="BB119" i="1"/>
  <c r="BB130" i="1"/>
  <c r="BB91" i="1"/>
  <c r="BB82" i="1"/>
  <c r="BB42" i="1"/>
  <c r="BB65" i="1"/>
  <c r="BB98" i="1"/>
  <c r="BB94" i="1"/>
  <c r="BB39" i="1"/>
  <c r="BB74" i="1"/>
  <c r="BB10" i="1"/>
  <c r="BB55" i="1"/>
  <c r="BB134" i="1"/>
  <c r="BB59" i="1"/>
  <c r="BB49" i="1"/>
  <c r="BB16" i="1"/>
  <c r="BB85" i="1"/>
  <c r="BB33" i="1"/>
  <c r="BB15" i="1"/>
  <c r="BB12" i="1"/>
  <c r="BB66" i="1"/>
  <c r="BB60" i="1"/>
  <c r="BB111" i="1"/>
  <c r="BB118" i="1"/>
  <c r="BB141" i="1"/>
  <c r="BB84" i="1"/>
  <c r="BB109" i="1"/>
  <c r="BB88" i="1"/>
  <c r="BB43" i="1"/>
  <c r="BB52" i="1"/>
  <c r="BB20" i="1"/>
  <c r="BB116" i="1"/>
  <c r="BB100" i="1"/>
  <c r="BB71" i="1"/>
  <c r="BB97" i="1"/>
  <c r="BB56" i="1"/>
  <c r="BB142" i="1"/>
  <c r="BB50" i="1"/>
  <c r="BB51" i="1"/>
  <c r="BB129" i="1"/>
  <c r="BB76" i="1"/>
  <c r="BB106" i="1"/>
  <c r="BB67" i="1"/>
  <c r="BB139" i="1"/>
  <c r="BB44" i="1"/>
  <c r="BB80" i="1"/>
  <c r="BB135" i="1"/>
  <c r="BB62" i="1"/>
  <c r="BB101" i="1"/>
  <c r="BB126" i="1"/>
  <c r="BB53" i="1"/>
  <c r="BB13" i="1"/>
  <c r="BB75" i="1"/>
  <c r="BB110" i="1"/>
  <c r="BB19" i="1"/>
  <c r="BB125" i="1"/>
  <c r="BB79" i="1"/>
  <c r="BB25" i="1"/>
  <c r="BB64" i="1"/>
  <c r="BB117" i="1"/>
  <c r="BB138" i="1"/>
  <c r="BB46" i="1"/>
  <c r="AY40" i="1"/>
  <c r="AY106" i="1"/>
  <c r="AY28" i="1"/>
  <c r="AY43" i="1"/>
  <c r="AY87" i="1"/>
  <c r="AY36" i="1"/>
  <c r="AY129" i="1"/>
  <c r="AW4" i="1"/>
  <c r="AY61" i="1"/>
  <c r="AY98" i="1"/>
  <c r="AY75" i="1"/>
  <c r="AY10" i="1"/>
  <c r="AY47" i="1"/>
  <c r="AY72" i="1"/>
  <c r="AY24" i="1"/>
  <c r="AY122" i="1"/>
  <c r="AY20" i="1"/>
  <c r="AY71" i="1"/>
  <c r="AY136" i="1"/>
  <c r="AY17" i="1"/>
  <c r="AY74" i="1"/>
  <c r="AY26" i="1"/>
  <c r="AY141" i="1"/>
  <c r="AY91" i="1"/>
  <c r="AY70" i="1"/>
  <c r="AY37" i="1"/>
  <c r="AY142" i="1"/>
  <c r="AY21" i="1"/>
  <c r="AY82" i="1"/>
  <c r="AY25" i="1"/>
  <c r="AY140" i="1"/>
  <c r="AY81" i="1"/>
  <c r="AY76" i="1"/>
  <c r="AY35" i="1"/>
  <c r="AY127" i="1"/>
  <c r="AY31" i="1"/>
  <c r="AY126" i="1"/>
  <c r="AY62" i="1"/>
  <c r="AY138" i="1"/>
  <c r="AY80" i="1"/>
  <c r="AY16" i="1"/>
  <c r="AY58" i="1"/>
  <c r="AY78" i="1"/>
  <c r="AY105" i="1"/>
  <c r="AY84" i="1"/>
  <c r="AY123" i="1"/>
  <c r="AY14" i="1"/>
  <c r="AY131" i="1"/>
  <c r="AY15" i="1"/>
  <c r="AY53" i="1"/>
  <c r="AY103" i="1"/>
  <c r="AY13" i="1"/>
  <c r="AY121" i="1"/>
  <c r="AY134" i="1"/>
  <c r="AY95" i="1"/>
  <c r="AY54" i="1"/>
  <c r="AY101" i="1"/>
  <c r="AY90" i="1"/>
  <c r="AY48" i="1"/>
  <c r="AY57" i="1"/>
  <c r="AY11" i="1"/>
  <c r="AY94" i="1"/>
  <c r="AY46" i="1"/>
  <c r="AY89" i="1"/>
  <c r="AY85" i="1"/>
  <c r="AY45" i="1"/>
  <c r="AY63" i="1"/>
  <c r="AY42" i="1"/>
  <c r="AY34" i="1"/>
  <c r="AY92" i="1"/>
  <c r="AY133" i="1"/>
  <c r="AY88" i="1"/>
  <c r="AY29" i="1"/>
  <c r="AY79" i="1"/>
  <c r="AY51" i="1"/>
  <c r="AY137" i="1"/>
  <c r="AY100" i="1"/>
  <c r="AY97" i="1"/>
  <c r="AY139" i="1"/>
  <c r="AY120" i="1"/>
  <c r="AY102" i="1"/>
  <c r="AY41" i="1"/>
  <c r="AY60" i="1"/>
  <c r="AY107" i="1"/>
  <c r="AY110" i="1"/>
  <c r="AY114" i="1"/>
  <c r="AY64" i="1"/>
  <c r="AY49" i="1"/>
  <c r="AY96" i="1"/>
  <c r="AY77" i="1"/>
  <c r="AY39" i="1"/>
  <c r="AY52" i="1"/>
  <c r="AY130" i="1"/>
  <c r="AY113" i="1"/>
  <c r="AY19" i="1"/>
  <c r="AY119" i="1"/>
  <c r="AY56" i="1"/>
  <c r="AY73" i="1"/>
  <c r="AY68" i="1"/>
  <c r="AY115" i="1"/>
  <c r="AY104" i="1"/>
  <c r="AY30" i="1"/>
  <c r="AY93" i="1"/>
  <c r="AY27" i="1"/>
  <c r="AY124" i="1"/>
  <c r="AY125" i="1"/>
  <c r="AY116" i="1"/>
  <c r="AY22" i="1"/>
  <c r="AY86" i="1"/>
  <c r="AY118" i="1"/>
  <c r="AY59" i="1"/>
  <c r="AY112" i="1"/>
  <c r="AY55" i="1"/>
  <c r="AY12" i="1"/>
  <c r="AY50" i="1"/>
  <c r="AY32" i="1"/>
  <c r="AY128" i="1"/>
  <c r="AY111" i="1"/>
  <c r="AY66" i="1"/>
  <c r="AY69" i="1"/>
  <c r="AY108" i="1"/>
  <c r="AY135" i="1"/>
  <c r="AY23" i="1"/>
  <c r="AY38" i="1"/>
  <c r="AY83" i="1"/>
  <c r="AY65" i="1"/>
  <c r="AY33" i="1"/>
  <c r="AY99" i="1"/>
  <c r="AY44" i="1"/>
  <c r="AY67" i="1"/>
  <c r="AY109" i="1"/>
  <c r="AY117" i="1"/>
  <c r="AY18" i="1"/>
  <c r="CO23" i="1"/>
  <c r="CO121" i="1"/>
  <c r="CO101" i="1"/>
  <c r="CO90" i="1"/>
  <c r="CO61" i="1"/>
  <c r="CO67" i="1"/>
  <c r="CO48" i="1"/>
  <c r="CO17" i="1"/>
  <c r="CO68" i="1"/>
  <c r="CO29" i="1"/>
  <c r="CO109" i="1"/>
  <c r="CO108" i="1"/>
  <c r="CO78" i="1"/>
  <c r="CO80" i="1"/>
  <c r="CO114" i="1"/>
  <c r="CO116" i="1"/>
  <c r="CO75" i="1"/>
  <c r="CO15" i="1"/>
  <c r="CO46" i="1"/>
  <c r="CO138" i="1"/>
  <c r="CO45" i="1"/>
  <c r="CO91" i="1"/>
  <c r="CO28" i="1"/>
  <c r="CO127" i="1"/>
  <c r="CO32" i="1"/>
  <c r="CO112" i="1"/>
  <c r="CO11" i="1"/>
  <c r="CO123" i="1"/>
  <c r="CO71" i="1"/>
  <c r="CO31" i="1"/>
  <c r="CO125" i="1"/>
  <c r="CO41" i="1"/>
  <c r="CO135" i="1"/>
  <c r="CO58" i="1"/>
  <c r="CO77" i="1"/>
  <c r="CO64" i="1"/>
  <c r="CO21" i="1"/>
  <c r="CO107" i="1"/>
  <c r="CO97" i="1"/>
  <c r="CO35" i="1"/>
  <c r="CO24" i="1"/>
  <c r="CO13" i="1"/>
  <c r="CO124" i="1"/>
  <c r="CO73" i="1"/>
  <c r="CM4" i="1"/>
  <c r="CO88" i="1"/>
  <c r="CO119" i="1"/>
  <c r="CO133" i="1"/>
  <c r="CO27" i="1"/>
  <c r="CO89" i="1"/>
  <c r="CO113" i="1"/>
  <c r="CO79" i="1"/>
  <c r="CO26" i="1"/>
  <c r="CO105" i="1"/>
  <c r="CO53" i="1"/>
  <c r="CO19" i="1"/>
  <c r="CO85" i="1"/>
  <c r="CO120" i="1"/>
  <c r="CO55" i="1"/>
  <c r="CO38" i="1"/>
  <c r="CO50" i="1"/>
  <c r="CO43" i="1"/>
  <c r="CO72" i="1"/>
  <c r="CO102" i="1"/>
  <c r="CO37" i="1"/>
  <c r="CO12" i="1"/>
  <c r="CO47" i="1"/>
  <c r="CO66" i="1"/>
  <c r="CO130" i="1"/>
  <c r="CO57" i="1"/>
  <c r="CO86" i="1"/>
  <c r="CO76" i="1"/>
  <c r="CO40" i="1"/>
  <c r="CO129" i="1"/>
  <c r="CO136" i="1"/>
  <c r="CO98" i="1"/>
  <c r="CO142" i="1"/>
  <c r="CO14" i="1"/>
  <c r="CO60" i="1"/>
  <c r="CO62" i="1"/>
  <c r="CO34" i="1"/>
  <c r="CO22" i="1"/>
  <c r="CO63" i="1"/>
  <c r="CO20" i="1"/>
  <c r="CO51" i="1"/>
  <c r="CO100" i="1"/>
  <c r="CO83" i="1"/>
  <c r="CO95" i="1"/>
  <c r="CO84" i="1"/>
  <c r="CO42" i="1"/>
  <c r="CO99" i="1"/>
  <c r="CO122" i="1"/>
  <c r="CO134" i="1"/>
  <c r="CO92" i="1"/>
  <c r="CO126" i="1"/>
  <c r="CO115" i="1"/>
  <c r="CO103" i="1"/>
  <c r="CO25" i="1"/>
  <c r="CO82" i="1"/>
  <c r="CO10" i="1"/>
  <c r="CO137" i="1"/>
  <c r="CO30" i="1"/>
  <c r="CO139" i="1"/>
  <c r="CO141" i="1"/>
  <c r="CO104" i="1"/>
  <c r="CO56" i="1"/>
  <c r="CO128" i="1"/>
  <c r="CO69" i="1"/>
  <c r="CO39" i="1"/>
  <c r="CO59" i="1"/>
  <c r="CO140" i="1"/>
  <c r="CO54" i="1"/>
  <c r="CO33" i="1"/>
  <c r="CO111" i="1"/>
  <c r="CO44" i="1"/>
  <c r="CO131" i="1"/>
  <c r="CO65" i="1"/>
  <c r="CO36" i="1"/>
  <c r="CO93" i="1"/>
  <c r="CO16" i="1"/>
  <c r="CO70" i="1"/>
  <c r="CO81" i="1"/>
  <c r="CO52" i="1"/>
  <c r="CO49" i="1"/>
  <c r="CO110" i="1"/>
  <c r="CO87" i="1"/>
  <c r="CO106" i="1"/>
  <c r="CO94" i="1"/>
  <c r="CO118" i="1"/>
  <c r="CO74" i="1"/>
  <c r="CO18" i="1"/>
  <c r="CO117" i="1"/>
  <c r="CO96" i="1"/>
  <c r="U132" i="1"/>
  <c r="CF82" i="1"/>
  <c r="CF20" i="1"/>
  <c r="CF74" i="1"/>
  <c r="CF38" i="1"/>
  <c r="CF103" i="1"/>
  <c r="CF62" i="1"/>
  <c r="CF135" i="1"/>
  <c r="CF47" i="1"/>
  <c r="CF21" i="1"/>
  <c r="CF71" i="1"/>
  <c r="CF96" i="1"/>
  <c r="CF128" i="1"/>
  <c r="CF31" i="1"/>
  <c r="CF101" i="1"/>
  <c r="CF23" i="1"/>
  <c r="CF33" i="1"/>
  <c r="CF76" i="1"/>
  <c r="CF29" i="1"/>
  <c r="CF93" i="1"/>
  <c r="CF139" i="1"/>
  <c r="CF53" i="1"/>
  <c r="CF98" i="1"/>
  <c r="CF30" i="1"/>
  <c r="CF112" i="1"/>
  <c r="CF120" i="1"/>
  <c r="CF87" i="1"/>
  <c r="CF127" i="1"/>
  <c r="CF40" i="1"/>
  <c r="CF15" i="1"/>
  <c r="CF111" i="1"/>
  <c r="CF137" i="1"/>
  <c r="CF60" i="1"/>
  <c r="CF11" i="1"/>
  <c r="CF55" i="1"/>
  <c r="CF104" i="1"/>
  <c r="CF24" i="1"/>
  <c r="CF78" i="1"/>
  <c r="CF42" i="1"/>
  <c r="CF67" i="1"/>
  <c r="CF116" i="1"/>
  <c r="CF12" i="1"/>
  <c r="CF50" i="1"/>
  <c r="CF106" i="1"/>
  <c r="CF80" i="1"/>
  <c r="CF17" i="1"/>
  <c r="CF126" i="1"/>
  <c r="CF131" i="1"/>
  <c r="CF51" i="1"/>
  <c r="CF107" i="1"/>
  <c r="CF35" i="1"/>
  <c r="CF86" i="1"/>
  <c r="CF37" i="1"/>
  <c r="CF63" i="1"/>
  <c r="CF34" i="1"/>
  <c r="CF45" i="1"/>
  <c r="CF69" i="1"/>
  <c r="CF41" i="1"/>
  <c r="CF108" i="1"/>
  <c r="CF28" i="1"/>
  <c r="CF89" i="1"/>
  <c r="CF66" i="1"/>
  <c r="CF90" i="1"/>
  <c r="CF56" i="1"/>
  <c r="CF13" i="1"/>
  <c r="CF43" i="1"/>
  <c r="CF92" i="1"/>
  <c r="CF16" i="1"/>
  <c r="CF142" i="1"/>
  <c r="CF36" i="1"/>
  <c r="CF113" i="1"/>
  <c r="CF91" i="1"/>
  <c r="CF58" i="1"/>
  <c r="CF124" i="1"/>
  <c r="CF57" i="1"/>
  <c r="CF49" i="1"/>
  <c r="CF100" i="1"/>
  <c r="CF102" i="1"/>
  <c r="CF88" i="1"/>
  <c r="CF123" i="1"/>
  <c r="CF27" i="1"/>
  <c r="CF122" i="1"/>
  <c r="CD4" i="1"/>
  <c r="CF61" i="1"/>
  <c r="CF141" i="1"/>
  <c r="CF81" i="1"/>
  <c r="CF134" i="1"/>
  <c r="CF85" i="1"/>
  <c r="CF68" i="1"/>
  <c r="CF70" i="1"/>
  <c r="CF129" i="1"/>
  <c r="CF77" i="1"/>
  <c r="CF64" i="1"/>
  <c r="CF52" i="1"/>
  <c r="CF39" i="1"/>
  <c r="CF19" i="1"/>
  <c r="CF99" i="1"/>
  <c r="CF22" i="1"/>
  <c r="CF73" i="1"/>
  <c r="CF32" i="1"/>
  <c r="CF10" i="1"/>
  <c r="CF138" i="1"/>
  <c r="CF94" i="1"/>
  <c r="CF136" i="1"/>
  <c r="CF14" i="1"/>
  <c r="CF18" i="1"/>
  <c r="CF79" i="1"/>
  <c r="CF44" i="1"/>
  <c r="CF110" i="1"/>
  <c r="CF140" i="1"/>
  <c r="CF125" i="1"/>
  <c r="CF95" i="1"/>
  <c r="CF130" i="1"/>
  <c r="CF54" i="1"/>
  <c r="CF114" i="1"/>
  <c r="CF119" i="1"/>
  <c r="CF109" i="1"/>
  <c r="CF75" i="1"/>
  <c r="CF26" i="1"/>
  <c r="CF83" i="1"/>
  <c r="CF105" i="1"/>
  <c r="CF97" i="1"/>
  <c r="CF59" i="1"/>
  <c r="CF117" i="1"/>
  <c r="CF65" i="1"/>
  <c r="CF46" i="1"/>
  <c r="CF25" i="1"/>
  <c r="CF72" i="1"/>
  <c r="CF115" i="1"/>
  <c r="CF121" i="1"/>
  <c r="CF133" i="1"/>
  <c r="CF84" i="1"/>
  <c r="CF48" i="1"/>
  <c r="CF118" i="1"/>
  <c r="CI40" i="1"/>
  <c r="CI122" i="1"/>
  <c r="CI90" i="1"/>
  <c r="CG4" i="1"/>
  <c r="CI30" i="1"/>
  <c r="CI138" i="1"/>
  <c r="CI14" i="1"/>
  <c r="CI33" i="1"/>
  <c r="CI111" i="1"/>
  <c r="CI58" i="1"/>
  <c r="CI99" i="1"/>
  <c r="CI137" i="1"/>
  <c r="CI109" i="1"/>
  <c r="CI36" i="1"/>
  <c r="CI92" i="1"/>
  <c r="CI31" i="1"/>
  <c r="CI71" i="1"/>
  <c r="CI56" i="1"/>
  <c r="CI11" i="1"/>
  <c r="CI28" i="1"/>
  <c r="CI22" i="1"/>
  <c r="CI65" i="1"/>
  <c r="CI15" i="1"/>
  <c r="CI136" i="1"/>
  <c r="CI59" i="1"/>
  <c r="CI54" i="1"/>
  <c r="CI88" i="1"/>
  <c r="CI83" i="1"/>
  <c r="CI50" i="1"/>
  <c r="CI72" i="1"/>
  <c r="CI85" i="1"/>
  <c r="CI108" i="1"/>
  <c r="CI101" i="1"/>
  <c r="CI29" i="1"/>
  <c r="CI64" i="1"/>
  <c r="CI43" i="1"/>
  <c r="CI100" i="1"/>
  <c r="CI124" i="1"/>
  <c r="CI79" i="1"/>
  <c r="CI24" i="1"/>
  <c r="CI127" i="1"/>
  <c r="CI55" i="1"/>
  <c r="CI103" i="1"/>
  <c r="CI142" i="1"/>
  <c r="CI93" i="1"/>
  <c r="CI105" i="1"/>
  <c r="CI104" i="1"/>
  <c r="CI75" i="1"/>
  <c r="CI44" i="1"/>
  <c r="CI130" i="1"/>
  <c r="CI67" i="1"/>
  <c r="CI51" i="1"/>
  <c r="CI112" i="1"/>
  <c r="CI117" i="1"/>
  <c r="CI87" i="1"/>
  <c r="CI98" i="1"/>
  <c r="CI141" i="1"/>
  <c r="CI57" i="1"/>
  <c r="CI18" i="1"/>
  <c r="CI66" i="1"/>
  <c r="CI74" i="1"/>
  <c r="CI131" i="1"/>
  <c r="CI46" i="1"/>
  <c r="CI139" i="1"/>
  <c r="CI110" i="1"/>
  <c r="CI19" i="1"/>
  <c r="CI89" i="1"/>
  <c r="CI70" i="1"/>
  <c r="CI52" i="1"/>
  <c r="CI45" i="1"/>
  <c r="CI123" i="1"/>
  <c r="CI134" i="1"/>
  <c r="CI61" i="1"/>
  <c r="CI97" i="1"/>
  <c r="CI62" i="1"/>
  <c r="CI17" i="1"/>
  <c r="CI102" i="1"/>
  <c r="CI69" i="1"/>
  <c r="CI49" i="1"/>
  <c r="CI23" i="1"/>
  <c r="CI77" i="1"/>
  <c r="CI121" i="1"/>
  <c r="CI34" i="1"/>
  <c r="CI13" i="1"/>
  <c r="CI118" i="1"/>
  <c r="CI135" i="1"/>
  <c r="CI115" i="1"/>
  <c r="CI26" i="1"/>
  <c r="CI73" i="1"/>
  <c r="CI113" i="1"/>
  <c r="CI81" i="1"/>
  <c r="CI20" i="1"/>
  <c r="CI140" i="1"/>
  <c r="CI86" i="1"/>
  <c r="CI133" i="1"/>
  <c r="CI10" i="1"/>
  <c r="CI128" i="1"/>
  <c r="CI12" i="1"/>
  <c r="CI21" i="1"/>
  <c r="CI94" i="1"/>
  <c r="CI91" i="1"/>
  <c r="CI38" i="1"/>
  <c r="CI116" i="1"/>
  <c r="CI106" i="1"/>
  <c r="CI95" i="1"/>
  <c r="CI107" i="1"/>
  <c r="CI78" i="1"/>
  <c r="CI25" i="1"/>
  <c r="CI42" i="1"/>
  <c r="CI37" i="1"/>
  <c r="CI60" i="1"/>
  <c r="CI41" i="1"/>
  <c r="CI32" i="1"/>
  <c r="CI84" i="1"/>
  <c r="CI76" i="1"/>
  <c r="CI96" i="1"/>
  <c r="CI35" i="1"/>
  <c r="CI68" i="1"/>
  <c r="CI126" i="1"/>
  <c r="CI63" i="1"/>
  <c r="CI16" i="1"/>
  <c r="CI119" i="1"/>
  <c r="CI39" i="1"/>
  <c r="CI27" i="1"/>
  <c r="CI120" i="1"/>
  <c r="CI82" i="1"/>
  <c r="CI114" i="1"/>
  <c r="CI47" i="1"/>
  <c r="CI125" i="1"/>
  <c r="CI80" i="1"/>
  <c r="CI48" i="1"/>
  <c r="CI129" i="1"/>
  <c r="CI53" i="1"/>
  <c r="AS52" i="1"/>
  <c r="AS91" i="1"/>
  <c r="AS58" i="1"/>
  <c r="AS14" i="1"/>
  <c r="BW42" i="1"/>
  <c r="BW68" i="1"/>
  <c r="BW56" i="1"/>
  <c r="BW13" i="1"/>
  <c r="BW86" i="1"/>
  <c r="BW116" i="1"/>
  <c r="BW122" i="1"/>
  <c r="BW11" i="1"/>
  <c r="BW104" i="1"/>
  <c r="BW75" i="1"/>
  <c r="BW35" i="1"/>
  <c r="BW15" i="1"/>
  <c r="BW66" i="1"/>
  <c r="BW63" i="1"/>
  <c r="BW124" i="1"/>
  <c r="BW113" i="1"/>
  <c r="BW25" i="1"/>
  <c r="BW131" i="1"/>
  <c r="BW38" i="1"/>
  <c r="BW135" i="1"/>
  <c r="BW93" i="1"/>
  <c r="BW46" i="1"/>
  <c r="BW49" i="1"/>
  <c r="BW114" i="1"/>
  <c r="BW85" i="1"/>
  <c r="BW98" i="1"/>
  <c r="BW69" i="1"/>
  <c r="BW97" i="1"/>
  <c r="BW59" i="1"/>
  <c r="BW99" i="1"/>
  <c r="BW40" i="1"/>
  <c r="BW60" i="1"/>
  <c r="BW102" i="1"/>
  <c r="BW62" i="1"/>
  <c r="BW19" i="1"/>
  <c r="BW128" i="1"/>
  <c r="BW50" i="1"/>
  <c r="BW33" i="1"/>
  <c r="BW80" i="1"/>
  <c r="BW24" i="1"/>
  <c r="BW140" i="1"/>
  <c r="BW39" i="1"/>
  <c r="BW17" i="1"/>
  <c r="BW96" i="1"/>
  <c r="BW16" i="1"/>
  <c r="BW118" i="1"/>
  <c r="BW115" i="1"/>
  <c r="BW54" i="1"/>
  <c r="BW112" i="1"/>
  <c r="BW52" i="1"/>
  <c r="BW73" i="1"/>
  <c r="BW28" i="1"/>
  <c r="BW138" i="1"/>
  <c r="BW47" i="1"/>
  <c r="BW34" i="1"/>
  <c r="BW137" i="1"/>
  <c r="BW22" i="1"/>
  <c r="BW82" i="1"/>
  <c r="BW27" i="1"/>
  <c r="BW91" i="1"/>
  <c r="BW31" i="1"/>
  <c r="BW32" i="1"/>
  <c r="BW103" i="1"/>
  <c r="BW61" i="1"/>
  <c r="BW26" i="1"/>
  <c r="BW127" i="1"/>
  <c r="BW134" i="1"/>
  <c r="BW21" i="1"/>
  <c r="BW10" i="1"/>
  <c r="BW121" i="1"/>
  <c r="BW51" i="1"/>
  <c r="BW89" i="1"/>
  <c r="BW70" i="1"/>
  <c r="BW95" i="1"/>
  <c r="BW105" i="1"/>
  <c r="BW119" i="1"/>
  <c r="BW100" i="1"/>
  <c r="BW84" i="1"/>
  <c r="BW92" i="1"/>
  <c r="BW53" i="1"/>
  <c r="BW72" i="1"/>
  <c r="BW67" i="1"/>
  <c r="BW107" i="1"/>
  <c r="BW110" i="1"/>
  <c r="BW117" i="1"/>
  <c r="BW123" i="1"/>
  <c r="BW141" i="1"/>
  <c r="BW74" i="1"/>
  <c r="BW65" i="1"/>
  <c r="BW20" i="1"/>
  <c r="BW12" i="1"/>
  <c r="BW130" i="1"/>
  <c r="BW101" i="1"/>
  <c r="BW30" i="1"/>
  <c r="BW76" i="1"/>
  <c r="BW64" i="1"/>
  <c r="BW133" i="1"/>
  <c r="BW136" i="1"/>
  <c r="BW120" i="1"/>
  <c r="BW57" i="1"/>
  <c r="BW43" i="1"/>
  <c r="BW58" i="1"/>
  <c r="BW55" i="1"/>
  <c r="BW90" i="1"/>
  <c r="BW44" i="1"/>
  <c r="BW77" i="1"/>
  <c r="BW108" i="1"/>
  <c r="BW18" i="1"/>
  <c r="BW125" i="1"/>
  <c r="BW129" i="1"/>
  <c r="BW94" i="1"/>
  <c r="BW41" i="1"/>
  <c r="BW37" i="1"/>
  <c r="BW87" i="1"/>
  <c r="BW71" i="1"/>
  <c r="BW48" i="1"/>
  <c r="BW109" i="1"/>
  <c r="BW36" i="1"/>
  <c r="BW81" i="1"/>
  <c r="BW14" i="1"/>
  <c r="BW23" i="1"/>
  <c r="BW88" i="1"/>
  <c r="BU4" i="1"/>
  <c r="BW139" i="1"/>
  <c r="BW78" i="1"/>
  <c r="BW45" i="1"/>
  <c r="BW126" i="1"/>
  <c r="BW83" i="1"/>
  <c r="BW106" i="1"/>
  <c r="BW79" i="1"/>
  <c r="BW111" i="1"/>
  <c r="BW142" i="1"/>
  <c r="BW29" i="1"/>
  <c r="AY132" i="1"/>
  <c r="D3" i="2" l="1"/>
  <c r="D6" i="2"/>
  <c r="D4" i="2"/>
  <c r="D5" i="2"/>
  <c r="W7" i="6"/>
  <c r="X7" i="6"/>
  <c r="X9" i="6"/>
  <c r="W9" i="6"/>
  <c r="K6" i="4"/>
  <c r="J21" i="4" s="1"/>
  <c r="D3" i="3" s="1"/>
  <c r="K9" i="4"/>
  <c r="J22" i="4" s="1"/>
  <c r="D4" i="3" s="1"/>
  <c r="AS106" i="1"/>
  <c r="AS17" i="1"/>
  <c r="AS36" i="1"/>
  <c r="AS81" i="1"/>
  <c r="AS27" i="1"/>
  <c r="AS67" i="1"/>
  <c r="AS82" i="1"/>
  <c r="AS89" i="1"/>
  <c r="AS47" i="1"/>
  <c r="AS70" i="1"/>
  <c r="AS26" i="1"/>
  <c r="AS35" i="1"/>
  <c r="AS12" i="1"/>
  <c r="AS69" i="1"/>
  <c r="AS56" i="1"/>
  <c r="AS29" i="1"/>
  <c r="AS121" i="1"/>
  <c r="AS109" i="1"/>
  <c r="AS134" i="1"/>
  <c r="AS45" i="1"/>
  <c r="AS85" i="1"/>
  <c r="AS28" i="1"/>
  <c r="AS78" i="1"/>
  <c r="AS48" i="1"/>
  <c r="AS88" i="1"/>
  <c r="AS110" i="1"/>
  <c r="AS33" i="1"/>
  <c r="AS98" i="1"/>
  <c r="AS11" i="1"/>
  <c r="AS34" i="1"/>
  <c r="AS138" i="1"/>
  <c r="AS24" i="1"/>
  <c r="AS103" i="1"/>
  <c r="AS21" i="1"/>
  <c r="AS99" i="1"/>
  <c r="AS41" i="1"/>
  <c r="AS122" i="1"/>
  <c r="AS90" i="1"/>
  <c r="AS115" i="1"/>
  <c r="AS116" i="1"/>
  <c r="AS22" i="1"/>
  <c r="AS57" i="1"/>
  <c r="AS16" i="1"/>
  <c r="AS126" i="1"/>
  <c r="AS51" i="1"/>
  <c r="AS44" i="1"/>
  <c r="AS25" i="1"/>
  <c r="AS75" i="1"/>
  <c r="AS53" i="1"/>
  <c r="AS13" i="1"/>
  <c r="AS23" i="1"/>
  <c r="AS72" i="1"/>
  <c r="AS30" i="1"/>
  <c r="AS40" i="1"/>
  <c r="AS73" i="1"/>
  <c r="AS127" i="1"/>
  <c r="AS55" i="1"/>
  <c r="AS63" i="1"/>
  <c r="AS66" i="1"/>
  <c r="AS112" i="1"/>
  <c r="AQ4" i="1"/>
  <c r="AQ7" i="1" s="1"/>
  <c r="AS39" i="1"/>
  <c r="AS105" i="1"/>
  <c r="I10" i="6"/>
  <c r="D10" i="6"/>
  <c r="T9" i="6"/>
  <c r="H9" i="6"/>
  <c r="V9" i="6"/>
  <c r="S9" i="6"/>
  <c r="U9" i="6"/>
  <c r="G9" i="6"/>
  <c r="AS132" i="1"/>
  <c r="I8" i="4"/>
  <c r="K8" i="4" s="1"/>
  <c r="J23" i="4" s="1"/>
  <c r="D5" i="3" s="1"/>
  <c r="B14" i="6"/>
  <c r="S7" i="6"/>
  <c r="U7" i="6"/>
  <c r="T7" i="6"/>
  <c r="V7" i="6"/>
  <c r="G7" i="6"/>
  <c r="H7" i="6"/>
  <c r="AS84" i="1"/>
  <c r="AS130" i="1"/>
  <c r="AS43" i="1"/>
  <c r="AS19" i="1"/>
  <c r="AS123" i="1"/>
  <c r="AS46" i="1"/>
  <c r="I23" i="6"/>
  <c r="D23" i="6"/>
  <c r="I24" i="6"/>
  <c r="D24" i="6"/>
  <c r="AS133" i="1"/>
  <c r="AS59" i="1"/>
  <c r="D2" i="3"/>
  <c r="I28" i="6"/>
  <c r="D28" i="6"/>
  <c r="I26" i="6"/>
  <c r="D26" i="6"/>
  <c r="I22" i="6"/>
  <c r="D22" i="6"/>
  <c r="I11" i="6"/>
  <c r="D11" i="6"/>
  <c r="I17" i="6"/>
  <c r="D17" i="6"/>
  <c r="I12" i="6"/>
  <c r="D12" i="6"/>
  <c r="I8" i="6"/>
  <c r="D8" i="6"/>
  <c r="D7" i="2"/>
  <c r="D9" i="2"/>
  <c r="D10" i="2"/>
  <c r="D8" i="2"/>
  <c r="CX142" i="1"/>
  <c r="B31" i="6"/>
  <c r="I21" i="6"/>
  <c r="D21" i="6"/>
  <c r="AS142" i="1"/>
  <c r="AS79" i="1"/>
  <c r="AS101" i="1"/>
  <c r="AS31" i="1"/>
  <c r="AS65" i="1"/>
  <c r="I20" i="6"/>
  <c r="D20" i="6"/>
  <c r="I27" i="6"/>
  <c r="D27" i="6"/>
  <c r="AS124" i="1"/>
  <c r="AS60" i="1"/>
  <c r="AS68" i="1"/>
  <c r="AS87" i="1"/>
  <c r="AS18" i="1"/>
  <c r="AS137" i="1"/>
  <c r="AS74" i="1"/>
  <c r="AS107" i="1"/>
  <c r="AS95" i="1"/>
  <c r="AS129" i="1"/>
  <c r="AS37" i="1"/>
  <c r="AS120" i="1"/>
  <c r="AS61" i="1"/>
  <c r="AS141" i="1"/>
  <c r="AS114" i="1"/>
  <c r="AS86" i="1"/>
  <c r="AS113" i="1"/>
  <c r="AS136" i="1"/>
  <c r="AS94" i="1"/>
  <c r="AS38" i="1"/>
  <c r="AS102" i="1"/>
  <c r="AS92" i="1"/>
  <c r="AS15" i="1"/>
  <c r="I30" i="6"/>
  <c r="D30" i="6"/>
  <c r="I16" i="6"/>
  <c r="D16" i="6"/>
  <c r="I29" i="6"/>
  <c r="D29" i="6"/>
  <c r="AS62" i="1"/>
  <c r="AS104" i="1"/>
  <c r="AS108" i="1"/>
  <c r="AS10" i="1"/>
  <c r="AS97" i="1"/>
  <c r="AS139" i="1"/>
  <c r="AS54" i="1"/>
  <c r="AS80" i="1"/>
  <c r="AS76" i="1"/>
  <c r="AS50" i="1"/>
  <c r="AS128" i="1"/>
  <c r="AS140" i="1"/>
  <c r="AS49" i="1"/>
  <c r="AS20" i="1"/>
  <c r="AS118" i="1"/>
  <c r="AS131" i="1"/>
  <c r="AS117" i="1"/>
  <c r="AS111" i="1"/>
  <c r="AS83" i="1"/>
  <c r="AS32" i="1"/>
  <c r="AS125" i="1"/>
  <c r="AS93" i="1"/>
  <c r="AS119" i="1"/>
  <c r="AS71" i="1"/>
  <c r="AS64" i="1"/>
  <c r="AS100" i="1"/>
  <c r="AS135" i="1"/>
  <c r="AS77" i="1"/>
  <c r="AS42" i="1"/>
  <c r="I13" i="6"/>
  <c r="D13" i="6"/>
  <c r="I19" i="6"/>
  <c r="D19" i="6"/>
  <c r="I15" i="6"/>
  <c r="D15" i="6"/>
  <c r="I18" i="6"/>
  <c r="D18" i="6"/>
  <c r="I25" i="6"/>
  <c r="D25" i="6"/>
  <c r="BC7" i="1"/>
  <c r="CR71" i="1"/>
  <c r="DM27" i="1"/>
  <c r="DM75" i="1"/>
  <c r="DM114" i="1"/>
  <c r="DM86" i="1"/>
  <c r="DM48" i="1"/>
  <c r="DM109" i="1"/>
  <c r="DM129" i="1"/>
  <c r="DM37" i="1"/>
  <c r="DM115" i="1"/>
  <c r="DM33" i="1"/>
  <c r="DM96" i="1"/>
  <c r="DM61" i="1"/>
  <c r="DM124" i="1"/>
  <c r="DM11" i="1"/>
  <c r="DM73" i="1"/>
  <c r="DM135" i="1"/>
  <c r="DM63" i="1"/>
  <c r="DM76" i="1"/>
  <c r="DM49" i="1"/>
  <c r="DM28" i="1"/>
  <c r="DM26" i="1"/>
  <c r="DM54" i="1"/>
  <c r="DM121" i="1"/>
  <c r="DM21" i="1"/>
  <c r="DM93" i="1"/>
  <c r="DM133" i="1"/>
  <c r="DM78" i="1"/>
  <c r="DM118" i="1"/>
  <c r="DM130" i="1"/>
  <c r="DM34" i="1"/>
  <c r="DM10" i="1"/>
  <c r="DM45" i="1"/>
  <c r="DM107" i="1"/>
  <c r="DM79" i="1"/>
  <c r="DM59" i="1"/>
  <c r="DM106" i="1"/>
  <c r="DM64" i="1"/>
  <c r="DM126" i="1"/>
  <c r="DM42" i="1"/>
  <c r="DM100" i="1"/>
  <c r="DM74" i="1"/>
  <c r="DM13" i="1"/>
  <c r="DM60" i="1"/>
  <c r="DM104" i="1"/>
  <c r="DM12" i="1"/>
  <c r="DM112" i="1"/>
  <c r="DM51" i="1"/>
  <c r="DM91" i="1"/>
  <c r="DM122" i="1"/>
  <c r="DM38" i="1"/>
  <c r="DM108" i="1"/>
  <c r="DM55" i="1"/>
  <c r="DM117" i="1"/>
  <c r="DM53" i="1"/>
  <c r="DM139" i="1"/>
  <c r="DM39" i="1"/>
  <c r="DM41" i="1"/>
  <c r="DM102" i="1"/>
  <c r="DM29" i="1"/>
  <c r="DM131" i="1"/>
  <c r="DM18" i="1"/>
  <c r="DM81" i="1"/>
  <c r="DM143" i="1"/>
  <c r="DM128" i="1"/>
  <c r="DM120" i="1"/>
  <c r="DM105" i="1"/>
  <c r="DM69" i="1"/>
  <c r="DM140" i="1"/>
  <c r="DM125" i="1"/>
  <c r="DM20" i="1"/>
  <c r="DM70" i="1"/>
  <c r="DM110" i="1"/>
  <c r="DM68" i="1"/>
  <c r="DM89" i="1"/>
  <c r="DM66" i="1"/>
  <c r="DM136" i="1"/>
  <c r="DM71" i="1"/>
  <c r="DM44" i="1"/>
  <c r="DM92" i="1"/>
  <c r="DM56" i="1"/>
  <c r="DM67" i="1"/>
  <c r="DM97" i="1"/>
  <c r="DM82" i="1"/>
  <c r="DM58" i="1"/>
  <c r="DM16" i="1"/>
  <c r="DM141" i="1"/>
  <c r="DM22" i="1"/>
  <c r="DM116" i="1"/>
  <c r="DM137" i="1"/>
  <c r="DM103" i="1"/>
  <c r="DM90" i="1"/>
  <c r="DM35" i="1"/>
  <c r="DM40" i="1"/>
  <c r="DM98" i="1"/>
  <c r="DM46" i="1"/>
  <c r="DM80" i="1"/>
  <c r="DM119" i="1"/>
  <c r="DM43" i="1"/>
  <c r="DM87" i="1"/>
  <c r="DM113" i="1"/>
  <c r="DM77" i="1"/>
  <c r="DM88" i="1"/>
  <c r="DM127" i="1"/>
  <c r="DM36" i="1"/>
  <c r="DM123" i="1"/>
  <c r="DM95" i="1"/>
  <c r="DM85" i="1"/>
  <c r="DM134" i="1"/>
  <c r="DM30" i="1"/>
  <c r="DM52" i="1"/>
  <c r="DM101" i="1"/>
  <c r="DM142" i="1"/>
  <c r="DM14" i="1"/>
  <c r="DM31" i="1"/>
  <c r="DM50" i="1"/>
  <c r="DM15" i="1"/>
  <c r="DM23" i="1"/>
  <c r="DM138" i="1"/>
  <c r="DM17" i="1"/>
  <c r="DM94" i="1"/>
  <c r="DM57" i="1"/>
  <c r="DM84" i="1"/>
  <c r="DM47" i="1"/>
  <c r="DM24" i="1"/>
  <c r="DM132" i="1"/>
  <c r="DM25" i="1"/>
  <c r="DM65" i="1"/>
  <c r="DM19" i="1"/>
  <c r="DM99" i="1"/>
  <c r="DM62" i="1"/>
  <c r="DM32" i="1"/>
  <c r="DM83" i="1"/>
  <c r="DM72" i="1"/>
  <c r="DM111" i="1"/>
  <c r="CR115" i="1"/>
  <c r="CU71" i="1"/>
  <c r="DA101" i="1"/>
  <c r="DJ124" i="1"/>
  <c r="DA68" i="1"/>
  <c r="CU109" i="1"/>
  <c r="DG139" i="1"/>
  <c r="CX47" i="1"/>
  <c r="CU28" i="1"/>
  <c r="DG71" i="1"/>
  <c r="DD11" i="1"/>
  <c r="CX132" i="1"/>
  <c r="DD130" i="1"/>
  <c r="DJ119" i="1"/>
  <c r="DA95" i="1"/>
  <c r="CR50" i="1"/>
  <c r="DG102" i="1"/>
  <c r="CR31" i="1"/>
  <c r="DJ69" i="1"/>
  <c r="DG37" i="1"/>
  <c r="CU67" i="1"/>
  <c r="DA140" i="1"/>
  <c r="DG51" i="1"/>
  <c r="CX40" i="1"/>
  <c r="DJ15" i="1"/>
  <c r="DG117" i="1"/>
  <c r="CR101" i="1"/>
  <c r="CX123" i="1"/>
  <c r="CR70" i="1"/>
  <c r="DA51" i="1"/>
  <c r="CR12" i="1"/>
  <c r="CR39" i="1"/>
  <c r="CX77" i="1"/>
  <c r="DG131" i="1"/>
  <c r="DA62" i="1"/>
  <c r="DJ56" i="1"/>
  <c r="DG124" i="1"/>
  <c r="DG96" i="1"/>
  <c r="DJ131" i="1"/>
  <c r="DJ106" i="1"/>
  <c r="DJ94" i="1"/>
  <c r="CU37" i="1"/>
  <c r="DD57" i="1"/>
  <c r="DD25" i="1"/>
  <c r="DJ99" i="1"/>
  <c r="CX106" i="1"/>
  <c r="DG90" i="1"/>
  <c r="CU96" i="1"/>
  <c r="DA30" i="1"/>
  <c r="DG26" i="1"/>
  <c r="DD111" i="1"/>
  <c r="DJ42" i="1"/>
  <c r="CR103" i="1"/>
  <c r="DA12" i="1"/>
  <c r="CU117" i="1"/>
  <c r="CR87" i="1"/>
  <c r="DD115" i="1"/>
  <c r="DJ132" i="1"/>
  <c r="CU130" i="1"/>
  <c r="DJ125" i="1"/>
  <c r="DG12" i="1"/>
  <c r="DA75" i="1"/>
  <c r="DJ72" i="1"/>
  <c r="DJ98" i="1"/>
  <c r="CU123" i="1"/>
  <c r="CU47" i="1"/>
  <c r="DG105" i="1"/>
  <c r="CU10" i="1"/>
  <c r="DD67" i="1"/>
  <c r="DG129" i="1"/>
  <c r="CR13" i="1"/>
  <c r="CX39" i="1"/>
  <c r="CX25" i="1"/>
  <c r="CR56" i="1"/>
  <c r="CU121" i="1"/>
  <c r="DD137" i="1"/>
  <c r="CR126" i="1"/>
  <c r="CU85" i="1"/>
  <c r="CX98" i="1"/>
  <c r="CU17" i="1"/>
  <c r="CX56" i="1"/>
  <c r="DD131" i="1"/>
  <c r="DA42" i="1"/>
  <c r="BL8" i="1"/>
  <c r="CX11" i="1"/>
  <c r="DG67" i="1"/>
  <c r="DJ95" i="1"/>
  <c r="DG40" i="1"/>
  <c r="CX105" i="1"/>
  <c r="DJ63" i="1"/>
  <c r="CR43" i="1"/>
  <c r="DA107" i="1"/>
  <c r="CU30" i="1"/>
  <c r="DJ84" i="1"/>
  <c r="DA15" i="1"/>
  <c r="DG80" i="1"/>
  <c r="CX113" i="1"/>
  <c r="DG25" i="1"/>
  <c r="CU66" i="1"/>
  <c r="DJ120" i="1"/>
  <c r="CU21" i="1"/>
  <c r="DG61" i="1"/>
  <c r="DA16" i="1"/>
  <c r="CR37" i="1"/>
  <c r="DD44" i="1"/>
  <c r="DJ20" i="1"/>
  <c r="DA29" i="1"/>
  <c r="DA58" i="1"/>
  <c r="DD74" i="1"/>
  <c r="DD126" i="1"/>
  <c r="DJ128" i="1"/>
  <c r="CU45" i="1"/>
  <c r="CX41" i="1"/>
  <c r="DD12" i="1"/>
  <c r="CR81" i="1"/>
  <c r="CU102" i="1"/>
  <c r="CR20" i="1"/>
  <c r="CR100" i="1"/>
  <c r="DG83" i="1"/>
  <c r="DG82" i="1"/>
  <c r="DJ81" i="1"/>
  <c r="CR10" i="1"/>
  <c r="CR117" i="1"/>
  <c r="DA49" i="1"/>
  <c r="DA74" i="1"/>
  <c r="DA53" i="1"/>
  <c r="DD35" i="1"/>
  <c r="CU93" i="1"/>
  <c r="DJ55" i="1"/>
  <c r="DG47" i="1"/>
  <c r="CR42" i="1"/>
  <c r="CR38" i="1"/>
  <c r="CX129" i="1"/>
  <c r="DJ68" i="1"/>
  <c r="CU74" i="1"/>
  <c r="DA137" i="1"/>
  <c r="CX27" i="1"/>
  <c r="DD134" i="1"/>
  <c r="DA86" i="1"/>
  <c r="DA37" i="1"/>
  <c r="CR133" i="1"/>
  <c r="CU75" i="1"/>
  <c r="DA81" i="1"/>
  <c r="DG114" i="1"/>
  <c r="CU40" i="1"/>
  <c r="DG84" i="1"/>
  <c r="DD40" i="1"/>
  <c r="DJ90" i="1"/>
  <c r="CX107" i="1"/>
  <c r="CX15" i="1"/>
  <c r="DG103" i="1"/>
  <c r="DJ60" i="1"/>
  <c r="DD84" i="1"/>
  <c r="CX138" i="1"/>
  <c r="DD136" i="1"/>
  <c r="DG32" i="1"/>
  <c r="DA24" i="1"/>
  <c r="DJ29" i="1"/>
  <c r="DA97" i="1"/>
  <c r="DD42" i="1"/>
  <c r="DA100" i="1"/>
  <c r="CX133" i="1"/>
  <c r="DD127" i="1"/>
  <c r="CR97" i="1"/>
  <c r="DD123" i="1"/>
  <c r="DD41" i="1"/>
  <c r="CU78" i="1"/>
  <c r="CU133" i="1"/>
  <c r="CR67" i="1"/>
  <c r="CU110" i="1"/>
  <c r="DD133" i="1"/>
  <c r="CX79" i="1"/>
  <c r="DD103" i="1"/>
  <c r="DD97" i="1"/>
  <c r="CR118" i="1"/>
  <c r="CU104" i="1"/>
  <c r="CU138" i="1"/>
  <c r="DG142" i="1"/>
  <c r="DD141" i="1"/>
  <c r="DD60" i="1"/>
  <c r="CU55" i="1"/>
  <c r="DJ25" i="1"/>
  <c r="CX12" i="1"/>
  <c r="DD80" i="1"/>
  <c r="DD93" i="1"/>
  <c r="DD94" i="1"/>
  <c r="DA39" i="1"/>
  <c r="DG65" i="1"/>
  <c r="DD83" i="1"/>
  <c r="CX70" i="1"/>
  <c r="DJ113" i="1"/>
  <c r="CU100" i="1"/>
  <c r="DA40" i="1"/>
  <c r="DD69" i="1"/>
  <c r="DJ112" i="1"/>
  <c r="DG55" i="1"/>
  <c r="DD63" i="1"/>
  <c r="DJ54" i="1"/>
  <c r="DA99" i="1"/>
  <c r="DD87" i="1"/>
  <c r="CR141" i="1"/>
  <c r="DD52" i="1"/>
  <c r="DJ44" i="1"/>
  <c r="DD72" i="1"/>
  <c r="CX46" i="1"/>
  <c r="DD20" i="1"/>
  <c r="DA88" i="1"/>
  <c r="DA113" i="1"/>
  <c r="DJ52" i="1"/>
  <c r="CX67" i="1"/>
  <c r="CX126" i="1"/>
  <c r="DJ17" i="1"/>
  <c r="DG21" i="1"/>
  <c r="DG91" i="1"/>
  <c r="DA71" i="1"/>
  <c r="CR137" i="1"/>
  <c r="DA32" i="1"/>
  <c r="DA139" i="1"/>
  <c r="DA35" i="1"/>
  <c r="DG122" i="1"/>
  <c r="DG81" i="1"/>
  <c r="DG66" i="1"/>
  <c r="DJ40" i="1"/>
  <c r="DJ32" i="1"/>
  <c r="CR112" i="1"/>
  <c r="CU122" i="1"/>
  <c r="DJ59" i="1"/>
  <c r="DA120" i="1"/>
  <c r="DG109" i="1"/>
  <c r="CX69" i="1"/>
  <c r="CX57" i="1"/>
  <c r="DD104" i="1"/>
  <c r="CX108" i="1"/>
  <c r="DA17" i="1"/>
  <c r="CX101" i="1"/>
  <c r="CX29" i="1"/>
  <c r="DD88" i="1"/>
  <c r="DJ110" i="1"/>
  <c r="DD27" i="1"/>
  <c r="CR122" i="1"/>
  <c r="CU51" i="1"/>
  <c r="DD91" i="1"/>
  <c r="CX55" i="1"/>
  <c r="DJ88" i="1"/>
  <c r="CX28" i="1"/>
  <c r="DJ36" i="1"/>
  <c r="DG127" i="1"/>
  <c r="CX118" i="1"/>
  <c r="CX90" i="1"/>
  <c r="DD106" i="1"/>
  <c r="CU98" i="1"/>
  <c r="DA82" i="1"/>
  <c r="CU63" i="1"/>
  <c r="DJ83" i="1"/>
  <c r="DA65" i="1"/>
  <c r="DG135" i="1"/>
  <c r="CU57" i="1"/>
  <c r="DA143" i="1"/>
  <c r="CU115" i="1"/>
  <c r="DA83" i="1"/>
  <c r="CX112" i="1"/>
  <c r="DD18" i="1"/>
  <c r="DD47" i="1"/>
  <c r="CR108" i="1"/>
  <c r="CR131" i="1"/>
  <c r="DJ73" i="1"/>
  <c r="DD30" i="1"/>
  <c r="DJ12" i="1"/>
  <c r="CX119" i="1"/>
  <c r="CU44" i="1"/>
  <c r="DG111" i="1"/>
  <c r="CU62" i="1"/>
  <c r="CU34" i="1"/>
  <c r="DJ64" i="1"/>
  <c r="DJ140" i="1"/>
  <c r="DJ70" i="1"/>
  <c r="CR98" i="1"/>
  <c r="CU29" i="1"/>
  <c r="CX38" i="1"/>
  <c r="CR138" i="1"/>
  <c r="CU128" i="1"/>
  <c r="CR91" i="1"/>
  <c r="CX102" i="1"/>
  <c r="DA60" i="1"/>
  <c r="CU95" i="1"/>
  <c r="CR79" i="1"/>
  <c r="DJ117" i="1"/>
  <c r="DJ53" i="1"/>
  <c r="DD90" i="1"/>
  <c r="DG54" i="1"/>
  <c r="CX14" i="1"/>
  <c r="CR120" i="1"/>
  <c r="CX92" i="1"/>
  <c r="DJ50" i="1"/>
  <c r="CR114" i="1"/>
  <c r="DA105" i="1"/>
  <c r="DG72" i="1"/>
  <c r="DA142" i="1"/>
  <c r="CU46" i="1"/>
  <c r="DJ93" i="1"/>
  <c r="CX53" i="1"/>
  <c r="DG107" i="1"/>
  <c r="CX100" i="1"/>
  <c r="DJ34" i="1"/>
  <c r="CX18" i="1"/>
  <c r="DD139" i="1"/>
  <c r="CR34" i="1"/>
  <c r="CU116" i="1"/>
  <c r="DA134" i="1"/>
  <c r="DJ35" i="1"/>
  <c r="DG33" i="1"/>
  <c r="DD79" i="1"/>
  <c r="DD46" i="1"/>
  <c r="DJ79" i="1"/>
  <c r="DD26" i="1"/>
  <c r="CX73" i="1"/>
  <c r="CU92" i="1"/>
  <c r="DJ28" i="1"/>
  <c r="CR51" i="1"/>
  <c r="DD95" i="1"/>
  <c r="CX10" i="1"/>
  <c r="DD36" i="1"/>
  <c r="DG93" i="1"/>
  <c r="DA78" i="1"/>
  <c r="DG56" i="1"/>
  <c r="DD116" i="1"/>
  <c r="CX42" i="1"/>
  <c r="DG30" i="1"/>
  <c r="CU38" i="1"/>
  <c r="CR99" i="1"/>
  <c r="DJ121" i="1"/>
  <c r="CX33" i="1"/>
  <c r="DG95" i="1"/>
  <c r="DA34" i="1"/>
  <c r="DJ85" i="1"/>
  <c r="DG18" i="1"/>
  <c r="CX59" i="1"/>
  <c r="DJ92" i="1"/>
  <c r="DG29" i="1"/>
  <c r="DD129" i="1"/>
  <c r="CR28" i="1"/>
  <c r="CU15" i="1"/>
  <c r="DD110" i="1"/>
  <c r="DD21" i="1"/>
  <c r="DA13" i="1"/>
  <c r="DA56" i="1"/>
  <c r="DD71" i="1"/>
  <c r="CR65" i="1"/>
  <c r="CR19" i="1"/>
  <c r="CU105" i="1"/>
  <c r="CU127" i="1"/>
  <c r="CU91" i="1"/>
  <c r="CU124" i="1"/>
  <c r="DA67" i="1"/>
  <c r="DJ130" i="1"/>
  <c r="CU108" i="1"/>
  <c r="DA104" i="1"/>
  <c r="CR136" i="1"/>
  <c r="DA102" i="1"/>
  <c r="DJ14" i="1"/>
  <c r="CU106" i="1"/>
  <c r="DJ123" i="1"/>
  <c r="DJ49" i="1"/>
  <c r="CU114" i="1"/>
  <c r="CX93" i="1"/>
  <c r="DA36" i="1"/>
  <c r="CR45" i="1"/>
  <c r="DD108" i="1"/>
  <c r="CU12" i="1"/>
  <c r="CR69" i="1"/>
  <c r="CU139" i="1"/>
  <c r="DD70" i="1"/>
  <c r="CU11" i="1"/>
  <c r="CU140" i="1"/>
  <c r="CR17" i="1"/>
  <c r="CU14" i="1"/>
  <c r="DA47" i="1"/>
  <c r="DJ135" i="1"/>
  <c r="CU77" i="1"/>
  <c r="CR119" i="1"/>
  <c r="DA26" i="1"/>
  <c r="CX120" i="1"/>
  <c r="CU86" i="1"/>
  <c r="CU132" i="1"/>
  <c r="DA20" i="1"/>
  <c r="DG45" i="1"/>
  <c r="CU135" i="1"/>
  <c r="CR75" i="1"/>
  <c r="DG106" i="1"/>
  <c r="CR93" i="1"/>
  <c r="CX121" i="1"/>
  <c r="CR29" i="1"/>
  <c r="CX103" i="1"/>
  <c r="CU35" i="1"/>
  <c r="CX26" i="1"/>
  <c r="CR64" i="1"/>
  <c r="DD62" i="1"/>
  <c r="CU94" i="1"/>
  <c r="DD120" i="1"/>
  <c r="CU50" i="1"/>
  <c r="CU64" i="1"/>
  <c r="CX136" i="1"/>
  <c r="CU33" i="1"/>
  <c r="DJ102" i="1"/>
  <c r="DA25" i="1"/>
  <c r="CR92" i="1"/>
  <c r="CR128" i="1"/>
  <c r="DA121" i="1"/>
  <c r="DJ46" i="1"/>
  <c r="DJ76" i="1"/>
  <c r="CU61" i="1"/>
  <c r="DG123" i="1"/>
  <c r="DA27" i="1"/>
  <c r="DJ141" i="1"/>
  <c r="CR16" i="1"/>
  <c r="DJ111" i="1"/>
  <c r="DG63" i="1"/>
  <c r="CX66" i="1"/>
  <c r="CR95" i="1"/>
  <c r="DG133" i="1"/>
  <c r="CX45" i="1"/>
  <c r="DJ38" i="1"/>
  <c r="DG15" i="1"/>
  <c r="DJ39" i="1"/>
  <c r="DJ114" i="1"/>
  <c r="CX78" i="1"/>
  <c r="DA61" i="1"/>
  <c r="CR15" i="1"/>
  <c r="CR26" i="1"/>
  <c r="CX88" i="1"/>
  <c r="DJ67" i="1"/>
  <c r="DG43" i="1"/>
  <c r="DG38" i="1"/>
  <c r="CU54" i="1"/>
  <c r="DG69" i="1"/>
  <c r="DD64" i="1"/>
  <c r="CU20" i="1"/>
  <c r="DJ101" i="1"/>
  <c r="CU73" i="1"/>
  <c r="CR80" i="1"/>
  <c r="DD19" i="1"/>
  <c r="DJ136" i="1"/>
  <c r="DG140" i="1"/>
  <c r="DJ58" i="1"/>
  <c r="CX19" i="1"/>
  <c r="DD38" i="1"/>
  <c r="DA94" i="1"/>
  <c r="DA117" i="1"/>
  <c r="CU79" i="1"/>
  <c r="CX48" i="1"/>
  <c r="DJ77" i="1"/>
  <c r="CU42" i="1"/>
  <c r="DD43" i="1"/>
  <c r="DA72" i="1"/>
  <c r="CR106" i="1"/>
  <c r="DA96" i="1"/>
  <c r="DA50" i="1"/>
  <c r="DJ62" i="1"/>
  <c r="CP4" i="1"/>
  <c r="DD100" i="1"/>
  <c r="DD113" i="1"/>
  <c r="DA126" i="1"/>
  <c r="DD78" i="1"/>
  <c r="DG87" i="1"/>
  <c r="DA131" i="1"/>
  <c r="DJ75" i="1"/>
  <c r="DG115" i="1"/>
  <c r="DD125" i="1"/>
  <c r="CU107" i="1"/>
  <c r="CU22" i="1"/>
  <c r="CX17" i="1"/>
  <c r="DG41" i="1"/>
  <c r="CX36" i="1"/>
  <c r="CX91" i="1"/>
  <c r="DG35" i="1"/>
  <c r="CR86" i="1"/>
  <c r="DJ74" i="1"/>
  <c r="DD128" i="1"/>
  <c r="DG94" i="1"/>
  <c r="CU69" i="1"/>
  <c r="DG120" i="1"/>
  <c r="DG125" i="1"/>
  <c r="DG137" i="1"/>
  <c r="CU26" i="1"/>
  <c r="DA10" i="1"/>
  <c r="DD33" i="1"/>
  <c r="CR142" i="1"/>
  <c r="DG138" i="1"/>
  <c r="DJ86" i="1"/>
  <c r="DD14" i="1"/>
  <c r="DJ139" i="1"/>
  <c r="CX62" i="1"/>
  <c r="CR44" i="1"/>
  <c r="CX23" i="1"/>
  <c r="DJ91" i="1"/>
  <c r="CU70" i="1"/>
  <c r="CX34" i="1"/>
  <c r="DA66" i="1"/>
  <c r="DD58" i="1"/>
  <c r="CX104" i="1"/>
  <c r="DA44" i="1"/>
  <c r="DG27" i="1"/>
  <c r="DA118" i="1"/>
  <c r="CX60" i="1"/>
  <c r="DJ16" i="1"/>
  <c r="DA33" i="1"/>
  <c r="DA136" i="1"/>
  <c r="DA115" i="1"/>
  <c r="CX81" i="1"/>
  <c r="DG59" i="1"/>
  <c r="DA14" i="1"/>
  <c r="DJ115" i="1"/>
  <c r="CX130" i="1"/>
  <c r="DJ30" i="1"/>
  <c r="DJ137" i="1"/>
  <c r="CR83" i="1"/>
  <c r="CR57" i="1"/>
  <c r="DA129" i="1"/>
  <c r="CU119" i="1"/>
  <c r="DG60" i="1"/>
  <c r="CU41" i="1"/>
  <c r="DG46" i="1"/>
  <c r="DA85" i="1"/>
  <c r="DA130" i="1"/>
  <c r="CU89" i="1"/>
  <c r="CU129" i="1"/>
  <c r="DD66" i="1"/>
  <c r="DD135" i="1"/>
  <c r="CU53" i="1"/>
  <c r="DA103" i="1"/>
  <c r="DA106" i="1"/>
  <c r="DD140" i="1"/>
  <c r="DD13" i="1"/>
  <c r="DG121" i="1"/>
  <c r="DG113" i="1"/>
  <c r="DD32" i="1"/>
  <c r="DA110" i="1"/>
  <c r="DJ96" i="1"/>
  <c r="CX44" i="1"/>
  <c r="DA128" i="1"/>
  <c r="CR129" i="1"/>
  <c r="DJ126" i="1"/>
  <c r="DD65" i="1"/>
  <c r="DJ26" i="1"/>
  <c r="DA80" i="1"/>
  <c r="CR130" i="1"/>
  <c r="DD16" i="1"/>
  <c r="CX31" i="1"/>
  <c r="DA108" i="1"/>
  <c r="CX85" i="1"/>
  <c r="DD102" i="1"/>
  <c r="CX135" i="1"/>
  <c r="CR59" i="1"/>
  <c r="DG42" i="1"/>
  <c r="DA28" i="1"/>
  <c r="DJ23" i="1"/>
  <c r="CX30" i="1"/>
  <c r="CR48" i="1"/>
  <c r="DA18" i="1"/>
  <c r="DA64" i="1"/>
  <c r="CX110" i="1"/>
  <c r="DG98" i="1"/>
  <c r="CX35" i="1"/>
  <c r="DJ43" i="1"/>
  <c r="CU59" i="1"/>
  <c r="DD107" i="1"/>
  <c r="CR96" i="1"/>
  <c r="DA91" i="1"/>
  <c r="CX124" i="1"/>
  <c r="DJ47" i="1"/>
  <c r="CU48" i="1"/>
  <c r="DD85" i="1"/>
  <c r="DD124" i="1"/>
  <c r="DA52" i="1"/>
  <c r="CR25" i="1"/>
  <c r="DJ45" i="1"/>
  <c r="DJ138" i="1"/>
  <c r="CR22" i="1"/>
  <c r="CR107" i="1"/>
  <c r="CX80" i="1"/>
  <c r="DA45" i="1"/>
  <c r="DA57" i="1"/>
  <c r="CR47" i="1"/>
  <c r="DJ134" i="1"/>
  <c r="CU126" i="1"/>
  <c r="CU87" i="1"/>
  <c r="CX116" i="1"/>
  <c r="DJ41" i="1"/>
  <c r="CX32" i="1"/>
  <c r="DG89" i="1"/>
  <c r="DD37" i="1"/>
  <c r="CR102" i="1"/>
  <c r="DD34" i="1"/>
  <c r="DG101" i="1"/>
  <c r="DA79" i="1"/>
  <c r="CX58" i="1"/>
  <c r="DG141" i="1"/>
  <c r="DA92" i="1"/>
  <c r="DD105" i="1"/>
  <c r="DD112" i="1"/>
  <c r="DG126" i="1"/>
  <c r="DD49" i="1"/>
  <c r="CU13" i="1"/>
  <c r="DA76" i="1"/>
  <c r="DG10" i="1"/>
  <c r="CX76" i="1"/>
  <c r="CX128" i="1"/>
  <c r="CR27" i="1"/>
  <c r="DA21" i="1"/>
  <c r="CX13" i="1"/>
  <c r="DD117" i="1"/>
  <c r="CR30" i="1"/>
  <c r="DG77" i="1"/>
  <c r="CX54" i="1"/>
  <c r="CR77" i="1"/>
  <c r="DA141" i="1"/>
  <c r="DD48" i="1"/>
  <c r="DG118" i="1"/>
  <c r="CR18" i="1"/>
  <c r="CR40" i="1"/>
  <c r="CR24" i="1"/>
  <c r="DJ13" i="1"/>
  <c r="CX83" i="1"/>
  <c r="DG70" i="1"/>
  <c r="DG36" i="1"/>
  <c r="DD51" i="1"/>
  <c r="DG57" i="1"/>
  <c r="CU103" i="1"/>
  <c r="CX21" i="1"/>
  <c r="DA77" i="1"/>
  <c r="CR105" i="1"/>
  <c r="CR124" i="1"/>
  <c r="CX127" i="1"/>
  <c r="CR23" i="1"/>
  <c r="DD50" i="1"/>
  <c r="DD55" i="1"/>
  <c r="DG58" i="1"/>
  <c r="DD96" i="1"/>
  <c r="CR116" i="1"/>
  <c r="CR78" i="1"/>
  <c r="DA123" i="1"/>
  <c r="DD142" i="1"/>
  <c r="DG74" i="1"/>
  <c r="CR110" i="1"/>
  <c r="DD138" i="1"/>
  <c r="CX61" i="1"/>
  <c r="CR72" i="1"/>
  <c r="DG108" i="1"/>
  <c r="DG130" i="1"/>
  <c r="DG68" i="1"/>
  <c r="DA90" i="1"/>
  <c r="DD28" i="1"/>
  <c r="CR33" i="1"/>
  <c r="DG119" i="1"/>
  <c r="DD56" i="1"/>
  <c r="CR61" i="1"/>
  <c r="DG24" i="1"/>
  <c r="CX115" i="1"/>
  <c r="DJ21" i="1"/>
  <c r="CX64" i="1"/>
  <c r="DA89" i="1"/>
  <c r="CU19" i="1"/>
  <c r="CU32" i="1"/>
  <c r="CU90" i="1"/>
  <c r="CX72" i="1"/>
  <c r="CU99" i="1"/>
  <c r="CR41" i="1"/>
  <c r="DD68" i="1"/>
  <c r="DA43" i="1"/>
  <c r="DA112" i="1"/>
  <c r="CU76" i="1"/>
  <c r="CR76" i="1"/>
  <c r="CU137" i="1"/>
  <c r="DJ116" i="1"/>
  <c r="CU120" i="1"/>
  <c r="DG112" i="1"/>
  <c r="DG16" i="1"/>
  <c r="DG134" i="1"/>
  <c r="DJ10" i="1"/>
  <c r="DD109" i="1"/>
  <c r="DA125" i="1"/>
  <c r="CR111" i="1"/>
  <c r="CX131" i="1"/>
  <c r="CR89" i="1"/>
  <c r="CX86" i="1"/>
  <c r="DA41" i="1"/>
  <c r="CR55" i="1"/>
  <c r="CU80" i="1"/>
  <c r="DJ61" i="1"/>
  <c r="DJ97" i="1"/>
  <c r="CR84" i="1"/>
  <c r="CR52" i="1"/>
  <c r="DD122" i="1"/>
  <c r="CR140" i="1"/>
  <c r="DA132" i="1"/>
  <c r="CR54" i="1"/>
  <c r="CR63" i="1"/>
  <c r="DD45" i="1"/>
  <c r="DD73" i="1"/>
  <c r="DD61" i="1"/>
  <c r="DD82" i="1"/>
  <c r="DD76" i="1"/>
  <c r="CX24" i="1"/>
  <c r="DJ51" i="1"/>
  <c r="CU131" i="1"/>
  <c r="DJ33" i="1"/>
  <c r="DG97" i="1"/>
  <c r="DD29" i="1"/>
  <c r="CR74" i="1"/>
  <c r="CU52" i="1"/>
  <c r="CX137" i="1"/>
  <c r="DD99" i="1"/>
  <c r="DA122" i="1"/>
  <c r="CR132" i="1"/>
  <c r="DJ127" i="1"/>
  <c r="CU136" i="1"/>
  <c r="DD114" i="1"/>
  <c r="DA73" i="1"/>
  <c r="DJ66" i="1"/>
  <c r="DA23" i="1"/>
  <c r="CU18" i="1"/>
  <c r="DG22" i="1"/>
  <c r="CR66" i="1"/>
  <c r="DD98" i="1"/>
  <c r="CX111" i="1"/>
  <c r="DG78" i="1"/>
  <c r="DG28" i="1"/>
  <c r="CR109" i="1"/>
  <c r="CU56" i="1"/>
  <c r="DG49" i="1"/>
  <c r="DA109" i="1"/>
  <c r="DG39" i="1"/>
  <c r="CX22" i="1"/>
  <c r="CR14" i="1"/>
  <c r="CR94" i="1"/>
  <c r="CX114" i="1"/>
  <c r="CU23" i="1"/>
  <c r="CU111" i="1"/>
  <c r="DA46" i="1"/>
  <c r="CX68" i="1"/>
  <c r="CU134" i="1"/>
  <c r="DG31" i="1"/>
  <c r="DD119" i="1"/>
  <c r="DG11" i="1"/>
  <c r="CU82" i="1"/>
  <c r="DG62" i="1"/>
  <c r="DG86" i="1"/>
  <c r="CX95" i="1"/>
  <c r="CX49" i="1"/>
  <c r="DA114" i="1"/>
  <c r="DG88" i="1"/>
  <c r="DG136" i="1"/>
  <c r="CU68" i="1"/>
  <c r="CU31" i="1"/>
  <c r="DD31" i="1"/>
  <c r="CR21" i="1"/>
  <c r="DJ57" i="1"/>
  <c r="DG76" i="1"/>
  <c r="DD77" i="1"/>
  <c r="CR68" i="1"/>
  <c r="CX99" i="1"/>
  <c r="DG53" i="1"/>
  <c r="DD143" i="1"/>
  <c r="CX122" i="1"/>
  <c r="DG100" i="1"/>
  <c r="DA87" i="1"/>
  <c r="CR62" i="1"/>
  <c r="CX94" i="1"/>
  <c r="CR73" i="1"/>
  <c r="DG128" i="1"/>
  <c r="CU16" i="1"/>
  <c r="DD86" i="1"/>
  <c r="DJ48" i="1"/>
  <c r="DG116" i="1"/>
  <c r="DD121" i="1"/>
  <c r="CU43" i="1"/>
  <c r="DJ133" i="1"/>
  <c r="CX96" i="1"/>
  <c r="DJ31" i="1"/>
  <c r="CR46" i="1"/>
  <c r="DJ18" i="1"/>
  <c r="CU65" i="1"/>
  <c r="DG85" i="1"/>
  <c r="CR127" i="1"/>
  <c r="CU72" i="1"/>
  <c r="DJ107" i="1"/>
  <c r="CR85" i="1"/>
  <c r="DG48" i="1"/>
  <c r="DA63" i="1"/>
  <c r="DG110" i="1"/>
  <c r="DA69" i="1"/>
  <c r="CX109" i="1"/>
  <c r="CU143" i="1"/>
  <c r="DG19" i="1"/>
  <c r="CX97" i="1"/>
  <c r="CU58" i="1"/>
  <c r="DJ24" i="1"/>
  <c r="CU60" i="1"/>
  <c r="DG44" i="1"/>
  <c r="CX51" i="1"/>
  <c r="CU112" i="1"/>
  <c r="DA116" i="1"/>
  <c r="DJ65" i="1"/>
  <c r="DA98" i="1"/>
  <c r="CR121" i="1"/>
  <c r="DD89" i="1"/>
  <c r="DA22" i="1"/>
  <c r="DG20" i="1"/>
  <c r="CR113" i="1"/>
  <c r="CR88" i="1"/>
  <c r="DD92" i="1"/>
  <c r="DD15" i="1"/>
  <c r="DA48" i="1"/>
  <c r="CR36" i="1"/>
  <c r="DD53" i="1"/>
  <c r="DD24" i="1"/>
  <c r="DD23" i="1"/>
  <c r="DJ89" i="1"/>
  <c r="DJ71" i="1"/>
  <c r="CX84" i="1"/>
  <c r="CX125" i="1"/>
  <c r="CX37" i="1"/>
  <c r="DD118" i="1"/>
  <c r="DJ11" i="1"/>
  <c r="DD17" i="1"/>
  <c r="CU141" i="1"/>
  <c r="CR58" i="1"/>
  <c r="CU113" i="1"/>
  <c r="CR104" i="1"/>
  <c r="DG23" i="1"/>
  <c r="DJ19" i="1"/>
  <c r="DD59" i="1"/>
  <c r="DJ87" i="1"/>
  <c r="DG52" i="1"/>
  <c r="CU49" i="1"/>
  <c r="CR134" i="1"/>
  <c r="DJ27" i="1"/>
  <c r="CU36" i="1"/>
  <c r="DG99" i="1"/>
  <c r="DA19" i="1"/>
  <c r="CX140" i="1"/>
  <c r="CX134" i="1"/>
  <c r="CR135" i="1"/>
  <c r="CU84" i="1"/>
  <c r="DA11" i="1"/>
  <c r="DG64" i="1"/>
  <c r="DJ37" i="1"/>
  <c r="CU97" i="1"/>
  <c r="DA55" i="1"/>
  <c r="DA54" i="1"/>
  <c r="CU118" i="1"/>
  <c r="CX43" i="1"/>
  <c r="CU88" i="1"/>
  <c r="CR35" i="1"/>
  <c r="DG75" i="1"/>
  <c r="DA84" i="1"/>
  <c r="DJ22" i="1"/>
  <c r="DA59" i="1"/>
  <c r="CR49" i="1"/>
  <c r="DD54" i="1"/>
  <c r="CR53" i="1"/>
  <c r="DG132" i="1"/>
  <c r="DJ82" i="1"/>
  <c r="CU25" i="1"/>
  <c r="CX52" i="1"/>
  <c r="DJ103" i="1"/>
  <c r="CU24" i="1"/>
  <c r="DA31" i="1"/>
  <c r="DJ118" i="1"/>
  <c r="CR90" i="1"/>
  <c r="DG14" i="1"/>
  <c r="CR125" i="1"/>
  <c r="DA135" i="1"/>
  <c r="DJ104" i="1"/>
  <c r="DA119" i="1"/>
  <c r="CR11" i="1"/>
  <c r="CX82" i="1"/>
  <c r="DJ109" i="1"/>
  <c r="DA138" i="1"/>
  <c r="CU101" i="1"/>
  <c r="CR60" i="1"/>
  <c r="CU83" i="1"/>
  <c r="DG79" i="1"/>
  <c r="DJ122" i="1"/>
  <c r="CU39" i="1"/>
  <c r="DA133" i="1"/>
  <c r="CR139" i="1"/>
  <c r="CX87" i="1"/>
  <c r="CU27" i="1"/>
  <c r="DG50" i="1"/>
  <c r="DA111" i="1"/>
  <c r="DJ100" i="1"/>
  <c r="CR123" i="1"/>
  <c r="DG92" i="1"/>
  <c r="CU142" i="1"/>
  <c r="DG34" i="1"/>
  <c r="DD75" i="1"/>
  <c r="CX65" i="1"/>
  <c r="DA93" i="1"/>
  <c r="CX63" i="1"/>
  <c r="DJ78" i="1"/>
  <c r="DA127" i="1"/>
  <c r="DJ80" i="1"/>
  <c r="DD132" i="1"/>
  <c r="CX50" i="1"/>
  <c r="CX74" i="1"/>
  <c r="DD101" i="1"/>
  <c r="DJ108" i="1"/>
  <c r="CX16" i="1"/>
  <c r="DG13" i="1"/>
  <c r="DA70" i="1"/>
  <c r="DD22" i="1"/>
  <c r="DD39" i="1"/>
  <c r="CX75" i="1"/>
  <c r="DG73" i="1"/>
  <c r="CX117" i="1"/>
  <c r="DG17" i="1"/>
  <c r="CU81" i="1"/>
  <c r="DJ142" i="1"/>
  <c r="DJ105" i="1"/>
  <c r="DJ129" i="1"/>
  <c r="DD10" i="1"/>
  <c r="CX20" i="1"/>
  <c r="CR32" i="1"/>
  <c r="CX141" i="1"/>
  <c r="CX139" i="1"/>
  <c r="DD81" i="1"/>
  <c r="DA38" i="1"/>
  <c r="CR82" i="1"/>
  <c r="CX89" i="1"/>
  <c r="DA124" i="1"/>
  <c r="DG104" i="1"/>
  <c r="CU125" i="1"/>
  <c r="CX71" i="1"/>
  <c r="CJ7" i="1"/>
  <c r="AB7" i="1"/>
  <c r="AB8" i="1"/>
  <c r="BI8" i="1"/>
  <c r="BI7" i="1"/>
  <c r="AN8" i="1"/>
  <c r="AN7" i="1"/>
  <c r="AH8" i="1"/>
  <c r="AH7" i="1"/>
  <c r="V8" i="1"/>
  <c r="V7" i="1"/>
  <c r="CD8" i="1"/>
  <c r="CD7" i="1"/>
  <c r="AT8" i="1"/>
  <c r="AT7" i="1"/>
  <c r="BX8" i="1"/>
  <c r="BX7" i="1"/>
  <c r="CA7" i="1"/>
  <c r="CA8" i="1"/>
  <c r="AW8" i="1"/>
  <c r="AW7" i="1"/>
  <c r="M7" i="1"/>
  <c r="M8" i="1"/>
  <c r="P7" i="1"/>
  <c r="P8" i="1"/>
  <c r="DH7" i="1"/>
  <c r="DH8" i="1"/>
  <c r="CV8" i="1"/>
  <c r="CV7" i="1"/>
  <c r="BO8" i="1"/>
  <c r="BO7" i="1"/>
  <c r="DE7" i="1"/>
  <c r="DE8" i="1"/>
  <c r="S7" i="1"/>
  <c r="S8" i="1"/>
  <c r="BF7" i="1"/>
  <c r="BF8" i="1"/>
  <c r="Y7" i="1"/>
  <c r="Y8" i="1"/>
  <c r="BR8" i="1"/>
  <c r="BR7" i="1"/>
  <c r="CM7" i="1"/>
  <c r="CM8" i="1"/>
  <c r="AZ8" i="1"/>
  <c r="AZ7" i="1"/>
  <c r="AE8" i="1"/>
  <c r="AE7" i="1"/>
  <c r="AK7" i="1"/>
  <c r="AK8" i="1"/>
  <c r="J8" i="1"/>
  <c r="BU8" i="1"/>
  <c r="BU7" i="1"/>
  <c r="CG7" i="1"/>
  <c r="CG8" i="1"/>
  <c r="K143" i="1"/>
  <c r="L143" i="1" s="1"/>
  <c r="CK143" i="1"/>
  <c r="CL143" i="1" s="1"/>
  <c r="BJ143" i="1"/>
  <c r="BK143" i="1" s="1"/>
  <c r="N143" i="1"/>
  <c r="O143" i="1" s="1"/>
  <c r="DF143" i="1"/>
  <c r="DG143" i="1" s="1"/>
  <c r="AC143" i="1"/>
  <c r="AD143" i="1" s="1"/>
  <c r="AI143" i="1"/>
  <c r="AJ143" i="1" s="1"/>
  <c r="AL143" i="1"/>
  <c r="AM143" i="1" s="1"/>
  <c r="AO143" i="1"/>
  <c r="AP143" i="1" s="1"/>
  <c r="CB143" i="1"/>
  <c r="CC143" i="1" s="1"/>
  <c r="BS143" i="1"/>
  <c r="BT143" i="1" s="1"/>
  <c r="Z143" i="1"/>
  <c r="AA143" i="1" s="1"/>
  <c r="AR143" i="1"/>
  <c r="AS143" i="1" s="1"/>
  <c r="CE143" i="1"/>
  <c r="CF143" i="1" s="1"/>
  <c r="BY143" i="1"/>
  <c r="BZ143" i="1" s="1"/>
  <c r="BM143" i="1"/>
  <c r="BN143" i="1" s="1"/>
  <c r="CQ143" i="1"/>
  <c r="CR143" i="1" s="1"/>
  <c r="DI143" i="1"/>
  <c r="DJ143" i="1" s="1"/>
  <c r="H143" i="1"/>
  <c r="I143" i="1" s="1"/>
  <c r="BA143" i="1"/>
  <c r="BB143" i="1" s="1"/>
  <c r="BD143" i="1"/>
  <c r="BE143" i="1" s="1"/>
  <c r="BP143" i="1"/>
  <c r="BQ143" i="1" s="1"/>
  <c r="AF143" i="1"/>
  <c r="AG143" i="1" s="1"/>
  <c r="CH143" i="1"/>
  <c r="CI143" i="1" s="1"/>
  <c r="CW143" i="1"/>
  <c r="CX143" i="1" s="1"/>
  <c r="T143" i="1"/>
  <c r="U143" i="1" s="1"/>
  <c r="AU143" i="1"/>
  <c r="AV143" i="1" s="1"/>
  <c r="AX143" i="1"/>
  <c r="AY143" i="1" s="1"/>
  <c r="W143" i="1"/>
  <c r="X143" i="1" s="1"/>
  <c r="Q143" i="1"/>
  <c r="R143" i="1" s="1"/>
  <c r="BV143" i="1"/>
  <c r="BW143" i="1" s="1"/>
  <c r="CN143" i="1"/>
  <c r="CO143" i="1" s="1"/>
  <c r="BG143" i="1"/>
  <c r="BH143" i="1" s="1"/>
  <c r="W20" i="6" l="1"/>
  <c r="X20" i="6"/>
  <c r="W13" i="6"/>
  <c r="X13" i="6"/>
  <c r="W29" i="6"/>
  <c r="X29" i="6"/>
  <c r="W12" i="6"/>
  <c r="X12" i="6"/>
  <c r="W26" i="6"/>
  <c r="X26" i="6"/>
  <c r="W10" i="6"/>
  <c r="X10" i="6"/>
  <c r="W16" i="6"/>
  <c r="X16" i="6"/>
  <c r="W17" i="6"/>
  <c r="X17" i="6"/>
  <c r="X11" i="6"/>
  <c r="W11" i="6"/>
  <c r="W15" i="6"/>
  <c r="X15" i="6"/>
  <c r="W27" i="6"/>
  <c r="X27" i="6"/>
  <c r="W19" i="6"/>
  <c r="X19" i="6"/>
  <c r="W24" i="6"/>
  <c r="X24" i="6"/>
  <c r="W25" i="6"/>
  <c r="X25" i="6"/>
  <c r="W23" i="6"/>
  <c r="X23" i="6"/>
  <c r="W28" i="6"/>
  <c r="X28" i="6"/>
  <c r="W18" i="6"/>
  <c r="X18" i="6"/>
  <c r="W30" i="6"/>
  <c r="X30" i="6"/>
  <c r="W21" i="6"/>
  <c r="X21" i="6"/>
  <c r="W8" i="6"/>
  <c r="X8" i="6"/>
  <c r="W22" i="6"/>
  <c r="X22" i="6"/>
  <c r="E17" i="2"/>
  <c r="F17" i="2" s="1"/>
  <c r="H17" i="2" s="1"/>
  <c r="L17" i="2" s="1"/>
  <c r="E9" i="2"/>
  <c r="F9" i="2" s="1"/>
  <c r="H9" i="2" s="1"/>
  <c r="E13" i="2"/>
  <c r="F13" i="2" s="1"/>
  <c r="H13" i="2" s="1"/>
  <c r="L13" i="2" s="1"/>
  <c r="E5" i="2"/>
  <c r="F5" i="2" s="1"/>
  <c r="H5" i="2" s="1"/>
  <c r="L5" i="2" s="1"/>
  <c r="E16" i="2"/>
  <c r="F16" i="2" s="1"/>
  <c r="H16" i="2" s="1"/>
  <c r="K16" i="2" s="1"/>
  <c r="E8" i="2"/>
  <c r="F8" i="2" s="1"/>
  <c r="H8" i="2" s="1"/>
  <c r="E4" i="2"/>
  <c r="F4" i="2" s="1"/>
  <c r="H4" i="2" s="1"/>
  <c r="L4" i="2" s="1"/>
  <c r="E12" i="2"/>
  <c r="F12" i="2" s="1"/>
  <c r="H12" i="2" s="1"/>
  <c r="L12" i="2" s="1"/>
  <c r="AQ8" i="1"/>
  <c r="T18" i="6"/>
  <c r="H18" i="6"/>
  <c r="V18" i="6"/>
  <c r="U18" i="6"/>
  <c r="G18" i="6"/>
  <c r="S18" i="6"/>
  <c r="E14" i="2"/>
  <c r="F14" i="2" s="1"/>
  <c r="H14" i="2" s="1"/>
  <c r="E10" i="2"/>
  <c r="F10" i="2" s="1"/>
  <c r="H10" i="2" s="1"/>
  <c r="E6" i="2"/>
  <c r="F6" i="2" s="1"/>
  <c r="H6" i="2" s="1"/>
  <c r="E18" i="2"/>
  <c r="F18" i="2" s="1"/>
  <c r="H18" i="2" s="1"/>
  <c r="S24" i="6"/>
  <c r="H24" i="6"/>
  <c r="V24" i="6"/>
  <c r="T24" i="6"/>
  <c r="U24" i="6"/>
  <c r="G24" i="6"/>
  <c r="T17" i="6"/>
  <c r="U17" i="6"/>
  <c r="H17" i="6"/>
  <c r="G17" i="6"/>
  <c r="S17" i="6"/>
  <c r="V17" i="6"/>
  <c r="S23" i="6"/>
  <c r="U23" i="6"/>
  <c r="G23" i="6"/>
  <c r="T23" i="6"/>
  <c r="H23" i="6"/>
  <c r="V23" i="6"/>
  <c r="K13" i="2"/>
  <c r="S29" i="6"/>
  <c r="G29" i="6"/>
  <c r="V29" i="6"/>
  <c r="U29" i="6"/>
  <c r="T29" i="6"/>
  <c r="H29" i="6"/>
  <c r="S30" i="6"/>
  <c r="U30" i="6"/>
  <c r="T30" i="6"/>
  <c r="H30" i="6"/>
  <c r="G30" i="6"/>
  <c r="V30" i="6"/>
  <c r="S11" i="6"/>
  <c r="T11" i="6"/>
  <c r="U11" i="6"/>
  <c r="H11" i="6"/>
  <c r="V11" i="6"/>
  <c r="G11" i="6"/>
  <c r="K17" i="2"/>
  <c r="I31" i="6"/>
  <c r="D31" i="6"/>
  <c r="I14" i="6"/>
  <c r="D14" i="6"/>
  <c r="S15" i="6"/>
  <c r="T15" i="6"/>
  <c r="V15" i="6"/>
  <c r="H15" i="6"/>
  <c r="G15" i="6"/>
  <c r="U15" i="6"/>
  <c r="S16" i="6"/>
  <c r="H16" i="6"/>
  <c r="T16" i="6"/>
  <c r="U16" i="6"/>
  <c r="V16" i="6"/>
  <c r="G16" i="6"/>
  <c r="U19" i="6"/>
  <c r="G19" i="6"/>
  <c r="H19" i="6"/>
  <c r="T19" i="6"/>
  <c r="V19" i="6"/>
  <c r="S19" i="6"/>
  <c r="T25" i="6"/>
  <c r="S25" i="6"/>
  <c r="H25" i="6"/>
  <c r="V25" i="6"/>
  <c r="U25" i="6"/>
  <c r="G25" i="6"/>
  <c r="S13" i="6"/>
  <c r="U13" i="6"/>
  <c r="T13" i="6"/>
  <c r="G13" i="6"/>
  <c r="V13" i="6"/>
  <c r="H13" i="6"/>
  <c r="S27" i="6"/>
  <c r="H27" i="6"/>
  <c r="T27" i="6"/>
  <c r="U27" i="6"/>
  <c r="G27" i="6"/>
  <c r="V27" i="6"/>
  <c r="E3" i="2"/>
  <c r="F3" i="2" s="1"/>
  <c r="E7" i="2"/>
  <c r="F7" i="2" s="1"/>
  <c r="E11" i="2"/>
  <c r="F11" i="2" s="1"/>
  <c r="E15" i="2"/>
  <c r="F15" i="2" s="1"/>
  <c r="S20" i="6"/>
  <c r="V20" i="6"/>
  <c r="U20" i="6"/>
  <c r="H20" i="6"/>
  <c r="G20" i="6"/>
  <c r="T20" i="6"/>
  <c r="S12" i="6"/>
  <c r="V12" i="6"/>
  <c r="U12" i="6"/>
  <c r="H12" i="6"/>
  <c r="G12" i="6"/>
  <c r="T12" i="6"/>
  <c r="V26" i="6"/>
  <c r="T26" i="6"/>
  <c r="G26" i="6"/>
  <c r="S26" i="6"/>
  <c r="U26" i="6"/>
  <c r="H26" i="6"/>
  <c r="U10" i="6"/>
  <c r="T10" i="6"/>
  <c r="H10" i="6"/>
  <c r="V10" i="6"/>
  <c r="S10" i="6"/>
  <c r="G10" i="6"/>
  <c r="S28" i="6"/>
  <c r="G28" i="6"/>
  <c r="H28" i="6"/>
  <c r="V28" i="6"/>
  <c r="U28" i="6"/>
  <c r="T28" i="6"/>
  <c r="S21" i="6"/>
  <c r="V21" i="6"/>
  <c r="H21" i="6"/>
  <c r="U21" i="6"/>
  <c r="G21" i="6"/>
  <c r="T21" i="6"/>
  <c r="S8" i="6"/>
  <c r="V8" i="6"/>
  <c r="H8" i="6"/>
  <c r="G8" i="6"/>
  <c r="T8" i="6"/>
  <c r="U8" i="6"/>
  <c r="S22" i="6"/>
  <c r="V22" i="6"/>
  <c r="G22" i="6"/>
  <c r="U22" i="6"/>
  <c r="H22" i="6"/>
  <c r="T22" i="6"/>
  <c r="CP8" i="1"/>
  <c r="CP7" i="1"/>
  <c r="B3" i="6" l="1"/>
  <c r="W31" i="6"/>
  <c r="X31" i="6"/>
  <c r="W14" i="6"/>
  <c r="X14" i="6"/>
  <c r="K4" i="2"/>
  <c r="K5" i="2"/>
  <c r="L16" i="2"/>
  <c r="K12" i="2"/>
  <c r="K14" i="2"/>
  <c r="L14" i="2"/>
  <c r="K8" i="2"/>
  <c r="L8" i="2"/>
  <c r="S14" i="6"/>
  <c r="V14" i="6"/>
  <c r="G14" i="6"/>
  <c r="T14" i="6"/>
  <c r="H14" i="6"/>
  <c r="U14" i="6"/>
  <c r="H11" i="2"/>
  <c r="B6" i="6"/>
  <c r="B5" i="6"/>
  <c r="H7" i="2"/>
  <c r="S31" i="6"/>
  <c r="H31" i="6"/>
  <c r="U31" i="6"/>
  <c r="V31" i="6"/>
  <c r="T31" i="6"/>
  <c r="G31" i="6"/>
  <c r="K18" i="2"/>
  <c r="L18" i="2"/>
  <c r="K9" i="2"/>
  <c r="L9" i="2"/>
  <c r="K10" i="2"/>
  <c r="L10" i="2"/>
  <c r="H15" i="2"/>
  <c r="B4" i="6"/>
  <c r="H3" i="2"/>
  <c r="L6" i="2"/>
  <c r="K6" i="2"/>
  <c r="L3" i="2" l="1"/>
  <c r="K3" i="2"/>
  <c r="K7" i="2"/>
  <c r="L7" i="2"/>
  <c r="I3" i="6"/>
  <c r="D3" i="6"/>
  <c r="I5" i="6"/>
  <c r="D5" i="6"/>
  <c r="I4" i="6"/>
  <c r="D4" i="6"/>
  <c r="D6" i="6"/>
  <c r="I6" i="6"/>
  <c r="K15" i="2"/>
  <c r="L15" i="2"/>
  <c r="L11" i="2"/>
  <c r="K11" i="2"/>
  <c r="G3" i="6" l="1"/>
  <c r="S3" i="6"/>
  <c r="H3" i="6"/>
  <c r="W4" i="6"/>
  <c r="X4" i="6"/>
  <c r="X5" i="6"/>
  <c r="W5" i="6"/>
  <c r="W6" i="6"/>
  <c r="X6" i="6"/>
  <c r="W3" i="6"/>
  <c r="X3" i="6"/>
  <c r="U3" i="6"/>
  <c r="V3" i="6"/>
  <c r="T3" i="6"/>
  <c r="G5" i="6"/>
  <c r="S5" i="6"/>
  <c r="T5" i="6"/>
  <c r="U5" i="6"/>
  <c r="H5" i="6"/>
  <c r="V5" i="6"/>
  <c r="U6" i="6"/>
  <c r="H6" i="6"/>
  <c r="G6" i="6"/>
  <c r="S6" i="6"/>
  <c r="V6" i="6"/>
  <c r="T6" i="6"/>
  <c r="U4" i="6"/>
  <c r="S4" i="6"/>
  <c r="H4" i="6"/>
  <c r="V4" i="6"/>
  <c r="T4" i="6"/>
  <c r="G4" i="6"/>
</calcChain>
</file>

<file path=xl/sharedStrings.xml><?xml version="1.0" encoding="utf-8"?>
<sst xmlns="http://schemas.openxmlformats.org/spreadsheetml/2006/main" count="5438" uniqueCount="1434">
  <si>
    <t>#</t>
  </si>
  <si>
    <t xml:space="preserve">Ingerident Name </t>
  </si>
  <si>
    <t>اسم المكون</t>
  </si>
  <si>
    <t>التكلفة قبل الضريبة (للمصفى)</t>
  </si>
  <si>
    <t>الصافي</t>
  </si>
  <si>
    <t>المصفى</t>
  </si>
  <si>
    <t>اسم الوصفة</t>
  </si>
  <si>
    <t>اوصال لحم بيستو</t>
  </si>
  <si>
    <t>كباب لحم</t>
  </si>
  <si>
    <t>شيش طاووق</t>
  </si>
  <si>
    <t>كباب دجاج</t>
  </si>
  <si>
    <t>حمسة لحم</t>
  </si>
  <si>
    <t>دجاج فاهيتا</t>
  </si>
  <si>
    <t>لبنة مع خضار</t>
  </si>
  <si>
    <t>مصقعة باذنجان</t>
  </si>
  <si>
    <t>تبولة</t>
  </si>
  <si>
    <t>فتوش</t>
  </si>
  <si>
    <t>بابا غنوج</t>
  </si>
  <si>
    <t>ورق عنب</t>
  </si>
  <si>
    <t>ملفوف محشي</t>
  </si>
  <si>
    <t>حمص كلاسيك</t>
  </si>
  <si>
    <t>حمص بيستو</t>
  </si>
  <si>
    <t>متبل باذنجان</t>
  </si>
  <si>
    <t>متبل خضار مشوية</t>
  </si>
  <si>
    <t>ارز الزعفران</t>
  </si>
  <si>
    <t>ذرة مشوية</t>
  </si>
  <si>
    <t>كبة مقلية</t>
  </si>
  <si>
    <t>زهرة مقلية</t>
  </si>
  <si>
    <t>بطاطا حارة</t>
  </si>
  <si>
    <t>بطاطا مشوية بالاعشاب</t>
  </si>
  <si>
    <t>حمص لحم</t>
  </si>
  <si>
    <t>صلصة ثوم</t>
  </si>
  <si>
    <t>صلصة طحينة</t>
  </si>
  <si>
    <t>صلصة الجبنة</t>
  </si>
  <si>
    <t>صلصة الزبادي</t>
  </si>
  <si>
    <t>صلصة المايونيز الحارة</t>
  </si>
  <si>
    <t>متبل محضر 1 كيلو</t>
  </si>
  <si>
    <t>بيستو صوص 1 كيلو</t>
  </si>
  <si>
    <t>حمص محضر 1 كيلو</t>
  </si>
  <si>
    <t>خضار مشوية 1 كيلو</t>
  </si>
  <si>
    <t>صوص فتوش</t>
  </si>
  <si>
    <t>ذرة محضر 1 كيلو</t>
  </si>
  <si>
    <t>صلصة طماطم محضرة</t>
  </si>
  <si>
    <t>التكلفة قبل الضريبة</t>
  </si>
  <si>
    <t>تكلفة التوصيل</t>
  </si>
  <si>
    <t>التكلفة الكلية</t>
  </si>
  <si>
    <t>البيع شامل الضريبة</t>
  </si>
  <si>
    <t>الضريبة</t>
  </si>
  <si>
    <t>نسبة التكلفة</t>
  </si>
  <si>
    <t>التكلفة شامل الضريبة</t>
  </si>
  <si>
    <t>الكمية</t>
  </si>
  <si>
    <t>التكلفة</t>
  </si>
  <si>
    <t>Shawarma chicken</t>
  </si>
  <si>
    <t>دجاج شاورما</t>
  </si>
  <si>
    <t>Tenderloin</t>
  </si>
  <si>
    <t>لحم تندرلوين</t>
  </si>
  <si>
    <t>Beef Brisket</t>
  </si>
  <si>
    <t>لحم بريسكت</t>
  </si>
  <si>
    <t>Beef chuck</t>
  </si>
  <si>
    <t>لحم تشك</t>
  </si>
  <si>
    <t>Chicken breast</t>
  </si>
  <si>
    <t>صدور دجاج</t>
  </si>
  <si>
    <t xml:space="preserve">All spice </t>
  </si>
  <si>
    <t>بهارات مشكلة</t>
  </si>
  <si>
    <t>Almonds</t>
  </si>
  <si>
    <t>لوز</t>
  </si>
  <si>
    <t>Arabic spice</t>
  </si>
  <si>
    <t>بهارات عربية</t>
  </si>
  <si>
    <t>Argula</t>
  </si>
  <si>
    <t>جرجير</t>
  </si>
  <si>
    <t>Balsamic vinegar</t>
  </si>
  <si>
    <t>خل بالسمك</t>
  </si>
  <si>
    <t>Barkla</t>
  </si>
  <si>
    <t>باركلا</t>
  </si>
  <si>
    <t>WALIMA RICE</t>
  </si>
  <si>
    <t>ارز بسمتى</t>
  </si>
  <si>
    <t>BAY LEAFS</t>
  </si>
  <si>
    <t>أوراق غار</t>
  </si>
  <si>
    <t>Bbq seasoning</t>
  </si>
  <si>
    <t>بهارات مشاوى</t>
  </si>
  <si>
    <t>Black Olives</t>
  </si>
  <si>
    <t>زيتون اسود</t>
  </si>
  <si>
    <t xml:space="preserve">Black pepper </t>
  </si>
  <si>
    <t>فلفل اسود</t>
  </si>
  <si>
    <t xml:space="preserve">Boiled chickpeas </t>
  </si>
  <si>
    <t>حمص مغلى</t>
  </si>
  <si>
    <t>Bread regular</t>
  </si>
  <si>
    <t>خبز عادى</t>
  </si>
  <si>
    <t>Breadcrumbs</t>
  </si>
  <si>
    <t>فتات خبز</t>
  </si>
  <si>
    <t>Breads toasted</t>
  </si>
  <si>
    <t>خبز توست</t>
  </si>
  <si>
    <t>Burgul</t>
  </si>
  <si>
    <t>برغل</t>
  </si>
  <si>
    <t>BUTTER</t>
  </si>
  <si>
    <t>زبدة</t>
  </si>
  <si>
    <t>CABBAGE</t>
  </si>
  <si>
    <t>ملفوف</t>
  </si>
  <si>
    <t>CANOILA OIL</t>
  </si>
  <si>
    <t>زيت كانيولا</t>
  </si>
  <si>
    <t>cardmom</t>
  </si>
  <si>
    <t>هيل</t>
  </si>
  <si>
    <t>CAULIFLWER</t>
  </si>
  <si>
    <t>زهرة</t>
  </si>
  <si>
    <t>Chilli Powder</t>
  </si>
  <si>
    <t>فلفل حار</t>
  </si>
  <si>
    <t>Chopped Garlic</t>
  </si>
  <si>
    <t>ثوم مفروم</t>
  </si>
  <si>
    <t>Chopped Mint</t>
  </si>
  <si>
    <t>نعناع مفروم</t>
  </si>
  <si>
    <t>Chopped Onions</t>
  </si>
  <si>
    <t>بصل مفروم</t>
  </si>
  <si>
    <t>Chopped Parsley</t>
  </si>
  <si>
    <t>بقدونس مفروم</t>
  </si>
  <si>
    <t>cinnamon</t>
  </si>
  <si>
    <t>قرفة</t>
  </si>
  <si>
    <t>Cinnamon powder</t>
  </si>
  <si>
    <t>قرفة مطحون</t>
  </si>
  <si>
    <t>CLOVES</t>
  </si>
  <si>
    <t>قرنفل</t>
  </si>
  <si>
    <t>coriander</t>
  </si>
  <si>
    <t>كزبرة</t>
  </si>
  <si>
    <t>CORIANDER POWDER</t>
  </si>
  <si>
    <t>كزبرة مطحونة</t>
  </si>
  <si>
    <t>Corn</t>
  </si>
  <si>
    <t>ذرة</t>
  </si>
  <si>
    <t>Corn Oil</t>
  </si>
  <si>
    <t>زيت ذرة</t>
  </si>
  <si>
    <t>Cucumber</t>
  </si>
  <si>
    <t>خيار</t>
  </si>
  <si>
    <t>cumin powder</t>
  </si>
  <si>
    <t>كمون بودرة</t>
  </si>
  <si>
    <t>CURRY POWDER</t>
  </si>
  <si>
    <t>مسحوق الكاري</t>
  </si>
  <si>
    <t>Cutlery Set</t>
  </si>
  <si>
    <t>مجموعة أدوات المائدة</t>
  </si>
  <si>
    <t>Demi-Glace</t>
  </si>
  <si>
    <t>كنور لحم</t>
  </si>
  <si>
    <t>Dill</t>
  </si>
  <si>
    <t>شبت</t>
  </si>
  <si>
    <t>Dojon mustard</t>
  </si>
  <si>
    <t>ديجون الخردل</t>
  </si>
  <si>
    <t>EGGPLANT</t>
  </si>
  <si>
    <t>باذنجان</t>
  </si>
  <si>
    <t>EGYPTIAN RICE</t>
  </si>
  <si>
    <t>أرز مصري</t>
  </si>
  <si>
    <t>Fat</t>
  </si>
  <si>
    <t>دهن</t>
  </si>
  <si>
    <t>FRESH CILANTRO</t>
  </si>
  <si>
    <t>الكزبرة الطازجة</t>
  </si>
  <si>
    <t>fresh cream</t>
  </si>
  <si>
    <t>كريمة طازجة</t>
  </si>
  <si>
    <t>Fresh mint</t>
  </si>
  <si>
    <t>النعناع الطازج</t>
  </si>
  <si>
    <t>Fresh parsley</t>
  </si>
  <si>
    <t>البقدونس الطازج</t>
  </si>
  <si>
    <t>Fried Eggplant</t>
  </si>
  <si>
    <t>باذنجان مقلي</t>
  </si>
  <si>
    <t>Fried Onions</t>
  </si>
  <si>
    <t>بصل مقلي</t>
  </si>
  <si>
    <t>garlic</t>
  </si>
  <si>
    <t>ثوم</t>
  </si>
  <si>
    <t>Garlic Powder</t>
  </si>
  <si>
    <t>مسحوق الثوم</t>
  </si>
  <si>
    <t>Garlic Sauce</t>
  </si>
  <si>
    <t>صلصة الثوم</t>
  </si>
  <si>
    <t>Green Bell Peppers</t>
  </si>
  <si>
    <t>الفلفل الأخضر</t>
  </si>
  <si>
    <t>Green cardamom powder</t>
  </si>
  <si>
    <t>مسحوق الهيل الأخضر</t>
  </si>
  <si>
    <t>GREEN ONION</t>
  </si>
  <si>
    <t>بصل أخضر</t>
  </si>
  <si>
    <t>GREEN PEPPER</t>
  </si>
  <si>
    <t>فلفل أخضر</t>
  </si>
  <si>
    <t>Grill Vegetable</t>
  </si>
  <si>
    <t xml:space="preserve"> الخضار مشوى</t>
  </si>
  <si>
    <t>Ice</t>
  </si>
  <si>
    <t>ثلج</t>
  </si>
  <si>
    <t>Iceberg Lettuce</t>
  </si>
  <si>
    <t>خس ايسبرغ</t>
  </si>
  <si>
    <t>Lebna</t>
  </si>
  <si>
    <t>لبنة</t>
  </si>
  <si>
    <t>Lemon</t>
  </si>
  <si>
    <t>ليمون</t>
  </si>
  <si>
    <t>lemon juice</t>
  </si>
  <si>
    <t>عصير ليمون</t>
  </si>
  <si>
    <t xml:space="preserve">Lemon slice </t>
  </si>
  <si>
    <t xml:space="preserve">شرائح ليمون </t>
  </si>
  <si>
    <t>Mayonnaise</t>
  </si>
  <si>
    <t>مايونيز</t>
  </si>
  <si>
    <t>Milk</t>
  </si>
  <si>
    <t>حليب</t>
  </si>
  <si>
    <t>Mint leafs</t>
  </si>
  <si>
    <t>أوراق النعناع</t>
  </si>
  <si>
    <t>MOLASSES</t>
  </si>
  <si>
    <t>دبس</t>
  </si>
  <si>
    <t>mutton boneless</t>
  </si>
  <si>
    <t>لحم ضأن منزوع العظم</t>
  </si>
  <si>
    <t>nutmeg</t>
  </si>
  <si>
    <t>جوز الطيب</t>
  </si>
  <si>
    <t>Olive oil</t>
  </si>
  <si>
    <t>زيت الزيتون</t>
  </si>
  <si>
    <t>Onions Slice</t>
  </si>
  <si>
    <t>بصل شرائح</t>
  </si>
  <si>
    <t>Onions</t>
  </si>
  <si>
    <t>البصل</t>
  </si>
  <si>
    <t>Oreagano</t>
  </si>
  <si>
    <t>أوريغانو</t>
  </si>
  <si>
    <t>PAPRIKA</t>
  </si>
  <si>
    <t>الفلفل الحلو</t>
  </si>
  <si>
    <t xml:space="preserve">Paprika powder </t>
  </si>
  <si>
    <t xml:space="preserve">مسحوق الفلفل الحلو </t>
  </si>
  <si>
    <t>PARSLEY</t>
  </si>
  <si>
    <t>بقدونس</t>
  </si>
  <si>
    <t>Parsley Chopped</t>
  </si>
  <si>
    <t>pepper paste</t>
  </si>
  <si>
    <t>معجون الفلفل</t>
  </si>
  <si>
    <t>PAPER Bag</t>
  </si>
  <si>
    <t>كيس ورقى</t>
  </si>
  <si>
    <t>Pomegranate</t>
  </si>
  <si>
    <t>رمان</t>
  </si>
  <si>
    <t>POTATOES</t>
  </si>
  <si>
    <t>البطاطا</t>
  </si>
  <si>
    <t>Prepared Cheese Sauce</t>
  </si>
  <si>
    <t>صلصة الجبن المحضرة</t>
  </si>
  <si>
    <t>prepared hummus</t>
  </si>
  <si>
    <t>الحمص المحضر</t>
  </si>
  <si>
    <t>Prepared Tomato sauce</t>
  </si>
  <si>
    <t>صلصة الطماطم المحضرة</t>
  </si>
  <si>
    <t>Rectangular Plate</t>
  </si>
  <si>
    <t>صحن مستطيل</t>
  </si>
  <si>
    <t>Red Bell Peppers</t>
  </si>
  <si>
    <t>الفلفل الأحمر</t>
  </si>
  <si>
    <t>RED PEPPER Paste</t>
  </si>
  <si>
    <t>معجون الفلفل الأحمر</t>
  </si>
  <si>
    <t>Red reddish</t>
  </si>
  <si>
    <t>فجل احمر</t>
  </si>
  <si>
    <t>Romaine Lettuce</t>
  </si>
  <si>
    <t>الخس عادى</t>
  </si>
  <si>
    <t>Rosemary</t>
  </si>
  <si>
    <t>اكليل الجبل</t>
  </si>
  <si>
    <t>SAFFRON</t>
  </si>
  <si>
    <t>زعفران</t>
  </si>
  <si>
    <t>SALAD BOWL</t>
  </si>
  <si>
    <t>علبة سلطة</t>
  </si>
  <si>
    <t>salt</t>
  </si>
  <si>
    <t>ملح</t>
  </si>
  <si>
    <t>sand spice</t>
  </si>
  <si>
    <t>توابل اسناد</t>
  </si>
  <si>
    <t>sauce bowl</t>
  </si>
  <si>
    <t>صلصة بويل</t>
  </si>
  <si>
    <t>sumac powder</t>
  </si>
  <si>
    <t>مسحوق السماق</t>
  </si>
  <si>
    <t>sundried tomato</t>
  </si>
  <si>
    <t>طماطم مجففة بالشمس</t>
  </si>
  <si>
    <t>Tahina</t>
  </si>
  <si>
    <t>الطحينه</t>
  </si>
  <si>
    <t>Thyme</t>
  </si>
  <si>
    <t>زعتر</t>
  </si>
  <si>
    <t>Tomato paste</t>
  </si>
  <si>
    <t>معجون الطماطم</t>
  </si>
  <si>
    <t>Tomato sauce</t>
  </si>
  <si>
    <t>صلصة الطماطم</t>
  </si>
  <si>
    <t xml:space="preserve">Tomato slice </t>
  </si>
  <si>
    <t xml:space="preserve">شريحة طماطم </t>
  </si>
  <si>
    <t>Tomatoes</t>
  </si>
  <si>
    <t>طماطم</t>
  </si>
  <si>
    <t>Turkish spice</t>
  </si>
  <si>
    <t>التوابل التركية</t>
  </si>
  <si>
    <t>Walnuts</t>
  </si>
  <si>
    <t>الجوز</t>
  </si>
  <si>
    <t xml:space="preserve">Warq enab </t>
  </si>
  <si>
    <t xml:space="preserve">ورق عنب </t>
  </si>
  <si>
    <t>WHITE PEPPER</t>
  </si>
  <si>
    <t>فلفل أبيض</t>
  </si>
  <si>
    <t>YELLOW PEPPER</t>
  </si>
  <si>
    <t>فلفل أصفر</t>
  </si>
  <si>
    <t>yogurt</t>
  </si>
  <si>
    <t>زبادي</t>
  </si>
  <si>
    <t>vinger</t>
  </si>
  <si>
    <t>خل</t>
  </si>
  <si>
    <t>onion powder</t>
  </si>
  <si>
    <t>بودرة بصل</t>
  </si>
  <si>
    <t>CORN COB</t>
  </si>
  <si>
    <t>كورن كب</t>
  </si>
  <si>
    <t>CORN FLOUR</t>
  </si>
  <si>
    <t>نشاء</t>
  </si>
  <si>
    <t>FLOUR</t>
  </si>
  <si>
    <t>طحين</t>
  </si>
  <si>
    <t>EGGS</t>
  </si>
  <si>
    <t>بيض</t>
  </si>
  <si>
    <t>ROUND BOX</t>
  </si>
  <si>
    <t>علبة دائرية</t>
  </si>
  <si>
    <t>YELLOW ONIONS</t>
  </si>
  <si>
    <t>بصل اصفر</t>
  </si>
  <si>
    <t>PESTO SAUCE</t>
  </si>
  <si>
    <t>صوص بستو</t>
  </si>
  <si>
    <t>BASIL</t>
  </si>
  <si>
    <t>ريحان</t>
  </si>
  <si>
    <t>LEMON SALT</t>
  </si>
  <si>
    <t>ملح الليمون</t>
  </si>
  <si>
    <t>prepared MUTABLE</t>
  </si>
  <si>
    <t>متبل محضر</t>
  </si>
  <si>
    <t>CASHWNUT</t>
  </si>
  <si>
    <t>كاجو</t>
  </si>
  <si>
    <t>PARMEZAN CHEESE</t>
  </si>
  <si>
    <t>جبنة بارميزان</t>
  </si>
  <si>
    <t>CHICKPEAS 12</t>
  </si>
  <si>
    <t>حمص  12</t>
  </si>
  <si>
    <t>zucchini</t>
  </si>
  <si>
    <t>كوسا</t>
  </si>
  <si>
    <t>SUCHI PLATE</t>
  </si>
  <si>
    <t>صحن سوشى</t>
  </si>
  <si>
    <t>FATUSH SALAD SAUCE</t>
  </si>
  <si>
    <t>CARBON</t>
  </si>
  <si>
    <t>كاربون</t>
  </si>
  <si>
    <t>CORN COB prep</t>
  </si>
  <si>
    <t>المشاوي واحتماليات الاطباق</t>
  </si>
  <si>
    <t>الوصفة الرئيسية</t>
  </si>
  <si>
    <t>اختيارك من</t>
  </si>
  <si>
    <t>الريسي</t>
  </si>
  <si>
    <t>الفرعي</t>
  </si>
  <si>
    <t>تكلفة الخام</t>
  </si>
  <si>
    <t>اجمالي التكلفة</t>
  </si>
  <si>
    <t>البيع</t>
  </si>
  <si>
    <t>صافي الربح</t>
  </si>
  <si>
    <t>اوصال لحم</t>
  </si>
  <si>
    <t>رز + سلطة</t>
  </si>
  <si>
    <t>كبة + زهرة + تبولة</t>
  </si>
  <si>
    <t>بطاطا مشوية + ذرة + حمص</t>
  </si>
  <si>
    <t>بطاطا حارة + ورق عنب + متبل باذنجان</t>
  </si>
  <si>
    <t>تكاليف أبو غسان</t>
  </si>
  <si>
    <t>الوصفة</t>
  </si>
  <si>
    <t>سعر البيع
المقترح</t>
  </si>
  <si>
    <t>البيع بتكلفة 30%</t>
  </si>
  <si>
    <t xml:space="preserve">تكلفة التوصيل </t>
  </si>
  <si>
    <t>البيع بتكلفة 35%</t>
  </si>
  <si>
    <t>نسبة التكلفة شامل الضريبة</t>
  </si>
  <si>
    <t>السعر بتكلفة 20%</t>
  </si>
  <si>
    <t>السعر بتكلفة 30%</t>
  </si>
  <si>
    <t>السعر بتكلفة 40%</t>
  </si>
  <si>
    <t>السعر بتكلفة 50%</t>
  </si>
  <si>
    <t>السعر بتكلفة 60%</t>
  </si>
  <si>
    <t>اكبر من 50%</t>
  </si>
  <si>
    <t>من 40% - 50%</t>
  </si>
  <si>
    <t>من 30% - 40%</t>
  </si>
  <si>
    <t>من 20% - 30%</t>
  </si>
  <si>
    <t>اصغر من 20 %</t>
  </si>
  <si>
    <t>بطاطا مشوية</t>
  </si>
  <si>
    <t>صلصة المايونيز</t>
  </si>
  <si>
    <t>طريقة الحساب</t>
  </si>
  <si>
    <t>حقل تكلفة الخام</t>
  </si>
  <si>
    <t>تم حسابها من المواد الخام بالكمية المحددة لكل وصفة</t>
  </si>
  <si>
    <t>تكلفة اكبر من 50%</t>
  </si>
  <si>
    <t>حقل تكلفة التوصيل</t>
  </si>
  <si>
    <t>نسبة 18% من سعر البيع المقترح</t>
  </si>
  <si>
    <t>تكلفة من 40% - 50%</t>
  </si>
  <si>
    <t>حقل التكلفة الكلية</t>
  </si>
  <si>
    <t>اجمالي تكلفة الخام + تكلفة التوصيل</t>
  </si>
  <si>
    <t>تكلفة من 30% - 40%</t>
  </si>
  <si>
    <t>سعر البيع المقترح</t>
  </si>
  <si>
    <t>سعر مقترح من قبلنا بناء ع التكاليف</t>
  </si>
  <si>
    <t>تكلفة من 20% - 30%</t>
  </si>
  <si>
    <t>نسبة 15% من سعر البيع</t>
  </si>
  <si>
    <t>تكلفة اقل من 20%</t>
  </si>
  <si>
    <t>(تكلفة الخام + تكلفة التوصيل) مقسومة على (سعر البيع - الضريبة)</t>
  </si>
  <si>
    <t xml:space="preserve">صافي الربح </t>
  </si>
  <si>
    <t>سعر البيع - الضريبة - تكلفة الخام - تكلفة التوصيل</t>
  </si>
  <si>
    <t>(تكلفة الخام + تكلفة التوصيل) مقسومة على (سعر البيع)</t>
  </si>
  <si>
    <t xml:space="preserve">السعر بتكلفة X </t>
  </si>
  <si>
    <t>(تكلفة الخام + تكلفة التوصيل) مقسومة على X%</t>
  </si>
  <si>
    <t xml:space="preserve">   حساب تكلفة المشاوي : يوجد أربعة خيارات متاحة لكل وجبة مشاوي. لكل وجبة تم احتساب تكلفة الوجبة الرئيسية + متوسط اجمالي تكلفة الأربعة الخيارات المتاحة. مع ملاحضة استبعاد مواد التغليف من داخل تكاليف الأصناف المتاحة كخيارات وكذلك اعتبار ان الوجبة المتاحة كخيار فرعي لوصفة المشاوي تعتبر كميتها 33% مما لو كانت كوجبة رئيسية</t>
  </si>
  <si>
    <t>ملخص التكاليف</t>
  </si>
  <si>
    <t>حساب الاطباق الجانبية</t>
  </si>
  <si>
    <t>الاطباق الجانبية 33% من كونه طبق أساسي</t>
  </si>
  <si>
    <t>الاسم</t>
  </si>
  <si>
    <t>تكلفة التغليف</t>
  </si>
  <si>
    <t xml:space="preserve">تكلفة الوجبة الجانبية 33% من كونها اساسية </t>
  </si>
  <si>
    <t>بطاطا مشوي</t>
  </si>
  <si>
    <t>ارز</t>
  </si>
  <si>
    <t>حمص</t>
  </si>
  <si>
    <t>الاختيارات</t>
  </si>
  <si>
    <t>هدف ربح المبيعات</t>
  </si>
  <si>
    <t>المصاريف التشغيلية</t>
  </si>
  <si>
    <t xml:space="preserve">النسبة </t>
  </si>
  <si>
    <t>التحمل</t>
  </si>
  <si>
    <t xml:space="preserve">تحمل المصاريف التشغيلية </t>
  </si>
  <si>
    <t>سعر البيع</t>
  </si>
  <si>
    <t>التوصيل</t>
  </si>
  <si>
    <t>الصافي 1</t>
  </si>
  <si>
    <t xml:space="preserve">التكلفة </t>
  </si>
  <si>
    <t xml:space="preserve">الصافي بعد التكلفة </t>
  </si>
  <si>
    <t>المبيعات</t>
  </si>
  <si>
    <t>التقرير</t>
  </si>
  <si>
    <t>الوصف</t>
  </si>
  <si>
    <t>التكرار</t>
  </si>
  <si>
    <t>المعادلة</t>
  </si>
  <si>
    <t>تقرير الميزانية الشهرية المتوقعة</t>
  </si>
  <si>
    <t>تقرير الاستهلاك الشهري من كل متتج</t>
  </si>
  <si>
    <t>حساب معدل الإيرادات والمصروفات ومقارنتها واستخراج تقرير أرباح</t>
  </si>
  <si>
    <t>شهري</t>
  </si>
  <si>
    <t>المصروفات =&gt;&lt; الإيرادات</t>
  </si>
  <si>
    <t>حساب الاستهلاك اليومي من كل صنف والفائض يؤدي هذا الى اعداد خطة ميزانية شهرية للشهر التالي بناء على مصروفات الشهر السابق</t>
  </si>
  <si>
    <t>الميزانية الشهري المقترحة لمصروفات الشهر</t>
  </si>
  <si>
    <t>الاستهلاك الشهري من كل منتج يساعد اعداد الاوردرات الشهرية لكافة المنتجات</t>
  </si>
  <si>
    <t>يومي - شهري</t>
  </si>
  <si>
    <t>خطة معدة مسبقا</t>
  </si>
  <si>
    <t>بناء على المصروفات الشهرية المعدة مسبقا من الشهر االسابق</t>
  </si>
  <si>
    <t xml:space="preserve">من السجل اليومي لاستهلاك المنتج </t>
  </si>
  <si>
    <t>تقرير الإيرادات اليومي</t>
  </si>
  <si>
    <t>تقرير الاستهلاك اليومي والفائض والهدر</t>
  </si>
  <si>
    <t>قائمة التدفقات النقدية</t>
  </si>
  <si>
    <t>قائمة التغير في حقوق الملكية</t>
  </si>
  <si>
    <t xml:space="preserve">الأصول ورأس المال والالتزامات التي تخص الشركة خلال الفترة المالية </t>
  </si>
  <si>
    <t>حسابات النقد الداخل والخارج ودورة رأس المال العامل والفترة المتوقعة لاسترداد رأس المال بالإضافة وضع الاستثمار قصير وطويل الاجل</t>
  </si>
  <si>
    <t>التغير ف رأس المال بالزيادة او النقصان وكذلك التغير ف نسب الشركاء إن وجدوا</t>
  </si>
  <si>
    <t xml:space="preserve">تقارير الموردين </t>
  </si>
  <si>
    <t>تقارير العملاء والتحصيل</t>
  </si>
  <si>
    <t>متابعة وضع التحصيل والدفع</t>
  </si>
  <si>
    <t>متابعة ومطابقة كشوفات المودين وعملية الدفع</t>
  </si>
  <si>
    <t>تقرير اتلاف المعدات</t>
  </si>
  <si>
    <t>تقرير بقائمة الأصول والاهلاك</t>
  </si>
  <si>
    <t>الجرد المعدات ومعرفة النقص</t>
  </si>
  <si>
    <t>تقرير عن الصيانات</t>
  </si>
  <si>
    <t>تقرير عن كسر وتلف المعدات وسبب التلف وتاريخه</t>
  </si>
  <si>
    <t>جرد شهري للمعدات ومعرفة النقص وسببه</t>
  </si>
  <si>
    <t>تقرير عن الصيانات للأصول وكل مايخص المطعم والعمال.</t>
  </si>
  <si>
    <t xml:space="preserve">قائمة الأصول وتقدير الاهلاك المتوقع للاصل </t>
  </si>
  <si>
    <t>سنوي</t>
  </si>
  <si>
    <t>مجمل الإيرادات اليومية</t>
  </si>
  <si>
    <t>ربع سنوي</t>
  </si>
  <si>
    <t>أسبوعيا</t>
  </si>
  <si>
    <t>تقرير والزكاة والدخل</t>
  </si>
  <si>
    <t xml:space="preserve">حساب الضرائب حسب الفترة الضريبية المتبعة  </t>
  </si>
  <si>
    <t>حساب الزكاة سنويا</t>
  </si>
  <si>
    <t>الأصول والالتزامات ورأس المال</t>
  </si>
  <si>
    <t>النقد</t>
  </si>
  <si>
    <t>المورد</t>
  </si>
  <si>
    <t>الشركاء ورأس المال</t>
  </si>
  <si>
    <t>تقرير الضريبة</t>
  </si>
  <si>
    <t>المبيعات =&gt;&lt; الإيرادات</t>
  </si>
  <si>
    <t>صافى الأرباح</t>
  </si>
  <si>
    <t xml:space="preserve">كشوفات حساب الموردين </t>
  </si>
  <si>
    <t>قائمة الأصول</t>
  </si>
  <si>
    <t xml:space="preserve">كشوفات العملاء </t>
  </si>
  <si>
    <t>إحصائية</t>
  </si>
  <si>
    <t xml:space="preserve">المركز المالى </t>
  </si>
  <si>
    <t>قائمة الدخل</t>
  </si>
  <si>
    <t>المطابقات البنكية</t>
  </si>
  <si>
    <t>كشف حساب البنك</t>
  </si>
  <si>
    <t xml:space="preserve">المشتريات </t>
  </si>
  <si>
    <t>تفصيل المشتريات</t>
  </si>
  <si>
    <t>فواتير الشراء</t>
  </si>
  <si>
    <t>مطابقة كشف حساب البنك</t>
  </si>
  <si>
    <t>الريسيبى</t>
  </si>
  <si>
    <t>مراجعة حساب تكلفة الوجبات</t>
  </si>
  <si>
    <t>تطبيقات التوصيل</t>
  </si>
  <si>
    <t>المتابعة والتحصيل من التطبيقات</t>
  </si>
  <si>
    <t>الإيرادات</t>
  </si>
  <si>
    <t>بيان</t>
  </si>
  <si>
    <t>مردودات المبيعات</t>
  </si>
  <si>
    <t>مسمحوحات المبيعات</t>
  </si>
  <si>
    <t>صافى المبيعات</t>
  </si>
  <si>
    <t>مخزون اول المدة</t>
  </si>
  <si>
    <t>مردودات المشتريات</t>
  </si>
  <si>
    <t>صافى المشتريات</t>
  </si>
  <si>
    <t>تكلفة البضاعة المتاحة للبيع</t>
  </si>
  <si>
    <t>مخزون اخر المدة</t>
  </si>
  <si>
    <t>تكلفة البضاعة المباعة</t>
  </si>
  <si>
    <t>صافى الربح او الخسارة</t>
  </si>
  <si>
    <t>إيرادات أخرى</t>
  </si>
  <si>
    <t>مجمل الربح او الخسارة</t>
  </si>
  <si>
    <t>جزئى</t>
  </si>
  <si>
    <t>اجمالي الإيرادات</t>
  </si>
  <si>
    <t>المردود</t>
  </si>
  <si>
    <t>الخصم والمسموحات</t>
  </si>
  <si>
    <t>الايرادات - المردود - مسموحات المبيعات</t>
  </si>
  <si>
    <t>جرد المخزون</t>
  </si>
  <si>
    <t>اجمالي المستريات</t>
  </si>
  <si>
    <t xml:space="preserve">المردود من المشتريات </t>
  </si>
  <si>
    <t>اجمالي المشتريات - المردودات</t>
  </si>
  <si>
    <t>مخزون اول المدة + صافي المشتريات</t>
  </si>
  <si>
    <t>البضاغة المتاحة للبيع - مخون اخر المدة</t>
  </si>
  <si>
    <t>صافي المبيعات - تكلفة البضاعة المباعة</t>
  </si>
  <si>
    <t>أي ارادات أخرى مثل خصومات الرواتب و...</t>
  </si>
  <si>
    <t>مجمل الربح او الخسارة + مصروفات أخرى - إيرادات أخرى</t>
  </si>
  <si>
    <t>كلي</t>
  </si>
  <si>
    <t>المبلغ</t>
  </si>
  <si>
    <t>البند</t>
  </si>
  <si>
    <t>التدفقات النقدية من الأنشطة التشغيلية</t>
  </si>
  <si>
    <t>النقدية المقبوطة من العملاء</t>
  </si>
  <si>
    <t>النقدية المدفوعة للموردين</t>
  </si>
  <si>
    <t>النقدية المدفوعة على مصروفات الضرائب والزكاة</t>
  </si>
  <si>
    <t>صافى التدفقات النقدية من الأنشطة التشغيلة</t>
  </si>
  <si>
    <t>النقد المحصل من توزيعات الأرباح</t>
  </si>
  <si>
    <t>قائمة الدخل  (شهرية)</t>
  </si>
  <si>
    <t>قائمة التدفقات النقدية (شهرية)</t>
  </si>
  <si>
    <t xml:space="preserve">رقم الفاتورة </t>
  </si>
  <si>
    <t>التاريخ</t>
  </si>
  <si>
    <t>التصنيف</t>
  </si>
  <si>
    <t>يناير</t>
  </si>
  <si>
    <t>فبراير</t>
  </si>
  <si>
    <t>مارس</t>
  </si>
  <si>
    <t>ابريل</t>
  </si>
  <si>
    <t xml:space="preserve">مايو </t>
  </si>
  <si>
    <t>يوليو</t>
  </si>
  <si>
    <t>أغسطس</t>
  </si>
  <si>
    <t>سبتمبر</t>
  </si>
  <si>
    <t>أكتوبر</t>
  </si>
  <si>
    <t xml:space="preserve">نوفمبر </t>
  </si>
  <si>
    <t>ديسمر</t>
  </si>
  <si>
    <t>الشهر</t>
  </si>
  <si>
    <t>يونيو</t>
  </si>
  <si>
    <t>الإجمالي</t>
  </si>
  <si>
    <t>المشتريات خلال شهر</t>
  </si>
  <si>
    <t>قائمة المركز المالى</t>
  </si>
  <si>
    <t>الأصول الثابتة</t>
  </si>
  <si>
    <t>الخصوم قصيرة الاجل</t>
  </si>
  <si>
    <t>سيارات</t>
  </si>
  <si>
    <t>الدائنون</t>
  </si>
  <si>
    <t>معدات</t>
  </si>
  <si>
    <t>أوراق الدفع</t>
  </si>
  <si>
    <t>قروض قصيرة الاجل</t>
  </si>
  <si>
    <t>**</t>
  </si>
  <si>
    <t>مجموع الأصول الثابتة</t>
  </si>
  <si>
    <t>مجموع الخصوم قصيرة الاجل</t>
  </si>
  <si>
    <t>الأصول المتداولة</t>
  </si>
  <si>
    <t>الخصوم طويلة الاجل</t>
  </si>
  <si>
    <t>قروض طويلة الاجل</t>
  </si>
  <si>
    <t>أوراق قبض</t>
  </si>
  <si>
    <t>خصوم أخرى طويلة الاجل</t>
  </si>
  <si>
    <t>مدينون</t>
  </si>
  <si>
    <t>الأرصدة الدائنة الأخرى</t>
  </si>
  <si>
    <t>مجموع الأصول المتداولة</t>
  </si>
  <si>
    <t>مصروفات مستحقة</t>
  </si>
  <si>
    <t>إيرادات مدفوعة مقدما</t>
  </si>
  <si>
    <t>الأصول الغير ملموسة</t>
  </si>
  <si>
    <t>شهرة المحل</t>
  </si>
  <si>
    <t>العلامة التجارية</t>
  </si>
  <si>
    <t>مجموع الأرصدة الدائنة الأخرى</t>
  </si>
  <si>
    <t>مجموع الأصول غير الملموسة</t>
  </si>
  <si>
    <t>حقوق الملكية</t>
  </si>
  <si>
    <t>الأرصدة المدينة الأخرى</t>
  </si>
  <si>
    <t>رأس المال</t>
  </si>
  <si>
    <t>مصروفات مدفوعة مقدما</t>
  </si>
  <si>
    <t>(+) الربح</t>
  </si>
  <si>
    <t>إيرادات مستحقة</t>
  </si>
  <si>
    <t>(-) الخسارة</t>
  </si>
  <si>
    <t xml:space="preserve">(-) المسحوبات </t>
  </si>
  <si>
    <t>اجمالى الأرصدة المدينة الأخرى</t>
  </si>
  <si>
    <t>صافى حقوق الملكية</t>
  </si>
  <si>
    <t>*****</t>
  </si>
  <si>
    <t>اجمالى الأصول</t>
  </si>
  <si>
    <t>اجمالى الخصوم وحقوق الملكية</t>
  </si>
  <si>
    <t>في حال عدم تساوى اجمالى الأصول مع اجمالى الخصوم وحقوق الملكية النتيجة خطأ في العمل او طريقة العمل</t>
  </si>
  <si>
    <t>اسم المورد</t>
  </si>
  <si>
    <t>البيان</t>
  </si>
  <si>
    <t>رقم الفاتورة / السداد</t>
  </si>
  <si>
    <t>وارد</t>
  </si>
  <si>
    <t>صادر</t>
  </si>
  <si>
    <t>رصيد</t>
  </si>
  <si>
    <t>الموردين</t>
  </si>
  <si>
    <t>قائمة الموردين</t>
  </si>
  <si>
    <t>النقد المحقق من الانشطة التشغيلية</t>
  </si>
  <si>
    <t>.</t>
  </si>
  <si>
    <t>ركن المغرب</t>
  </si>
  <si>
    <t>ركن الموردون</t>
  </si>
  <si>
    <t>فتكر</t>
  </si>
  <si>
    <t>طريق الأطعمة</t>
  </si>
  <si>
    <t>الوارد</t>
  </si>
  <si>
    <t>الصادر</t>
  </si>
  <si>
    <t>الرصيد</t>
  </si>
  <si>
    <t>اجمالي الوارد</t>
  </si>
  <si>
    <t>اجمالي الصادر</t>
  </si>
  <si>
    <t>ملخص رصيد المورد</t>
  </si>
  <si>
    <t>تصنيفات المصروفات</t>
  </si>
  <si>
    <t>خضار وفواكه</t>
  </si>
  <si>
    <t>بهارات</t>
  </si>
  <si>
    <t>قائمة المصروفات التشيغيلة (الكاش)</t>
  </si>
  <si>
    <t>كيفية الصرف</t>
  </si>
  <si>
    <t xml:space="preserve">     عهدة مسؤول المشتريات</t>
  </si>
  <si>
    <t>مبلغ العهدة</t>
  </si>
  <si>
    <t>ملخص العهدة</t>
  </si>
  <si>
    <t>العهدة خلال الشهر</t>
  </si>
  <si>
    <t>ملخص المشتريات</t>
  </si>
  <si>
    <t>ملخص المصروفات</t>
  </si>
  <si>
    <t>ملخص  العهدات</t>
  </si>
  <si>
    <t>الملخص الصافي</t>
  </si>
  <si>
    <t>اجمالي العهدة الكلية</t>
  </si>
  <si>
    <t>العهدة خلال</t>
  </si>
  <si>
    <t>المشتريات</t>
  </si>
  <si>
    <t>النقدية المدفوعة للمصروفات الثابتة</t>
  </si>
  <si>
    <t>ملخص رصيد الموردين</t>
  </si>
  <si>
    <t>اجمالي الموردين</t>
  </si>
  <si>
    <t>اجمالي مشتريات الموردين</t>
  </si>
  <si>
    <t>ملخص مشتريات الشهر</t>
  </si>
  <si>
    <t>مشتريات موردين</t>
  </si>
  <si>
    <t>مصروفات تشغيلية  (كاش)</t>
  </si>
  <si>
    <t>النقدية المدفوعة لشركات التوصيل</t>
  </si>
  <si>
    <t xml:space="preserve">ملخص شهر </t>
  </si>
  <si>
    <t>المصروفات الثابتة (مطعم السليمانية)</t>
  </si>
  <si>
    <t>الافراد الشهري</t>
  </si>
  <si>
    <t>العدد</t>
  </si>
  <si>
    <t>المصروف الشهري</t>
  </si>
  <si>
    <t>المصروف اليومي</t>
  </si>
  <si>
    <t>كهرباء
ماء
غاز
زيت</t>
  </si>
  <si>
    <t>كهرباء السليمانيه</t>
  </si>
  <si>
    <t>مياه السليمانية</t>
  </si>
  <si>
    <t>غاز</t>
  </si>
  <si>
    <t>زيت</t>
  </si>
  <si>
    <t>رواتب</t>
  </si>
  <si>
    <t>رواتب عامل تحضيرنشوان</t>
  </si>
  <si>
    <t>رواتب عامل تحضيراحمد</t>
  </si>
  <si>
    <t>راتب عامل طبخ منير</t>
  </si>
  <si>
    <t>راتب عامل طبخ غلام</t>
  </si>
  <si>
    <t>راتب الشيف حاتم</t>
  </si>
  <si>
    <t>صادق</t>
  </si>
  <si>
    <t>كاشير</t>
  </si>
  <si>
    <t>كهرباء , ماء , غاز</t>
  </si>
  <si>
    <t>ايجارات</t>
  </si>
  <si>
    <t>ايجار مطعم السليمانية</t>
  </si>
  <si>
    <t>ايجار مكتب السليمانية</t>
  </si>
  <si>
    <t>اهلاك السيارات</t>
  </si>
  <si>
    <t>تأمين السيارات</t>
  </si>
  <si>
    <t>شؤون موظفين</t>
  </si>
  <si>
    <t>بنزين السيارات</t>
  </si>
  <si>
    <t xml:space="preserve">حكومة </t>
  </si>
  <si>
    <t>تسويق</t>
  </si>
  <si>
    <t>شوؤن موظفين</t>
  </si>
  <si>
    <t>اقامات ورخص عمل</t>
  </si>
  <si>
    <t>الكروت الصحية</t>
  </si>
  <si>
    <t>التأمينات الاجتماعية</t>
  </si>
  <si>
    <t xml:space="preserve">التأمين الطبي </t>
  </si>
  <si>
    <t>زي العمال</t>
  </si>
  <si>
    <t xml:space="preserve">م . نت وتليفون </t>
  </si>
  <si>
    <t>اجازات سنوية</t>
  </si>
  <si>
    <t>نهاية الخدمة</t>
  </si>
  <si>
    <t>حكومة</t>
  </si>
  <si>
    <t>البلدية</t>
  </si>
  <si>
    <t>الحاوية</t>
  </si>
  <si>
    <t>البريد</t>
  </si>
  <si>
    <t>الدفاع المدني</t>
  </si>
  <si>
    <t>ابشر</t>
  </si>
  <si>
    <t>مدد</t>
  </si>
  <si>
    <t>اعلان</t>
  </si>
  <si>
    <t>الإجمالي الكلي</t>
  </si>
  <si>
    <t>ملخص المصروفات الثابتة</t>
  </si>
  <si>
    <t>المصروفات الثابتة</t>
  </si>
  <si>
    <t>المصروفات الثابتة الشهرية</t>
  </si>
  <si>
    <t>المصروفات الثابتة السنوية</t>
  </si>
  <si>
    <t xml:space="preserve">الميزانية الشهرية المتوقعة </t>
  </si>
  <si>
    <t>رقم اليوم</t>
  </si>
  <si>
    <t>مبيعات الشهر</t>
  </si>
  <si>
    <t>نسبة التوصيل</t>
  </si>
  <si>
    <t>كمية البيع</t>
  </si>
  <si>
    <t>البيع بحسب الفئة</t>
  </si>
  <si>
    <t>التكاليف</t>
  </si>
  <si>
    <t>الاجمالي</t>
  </si>
  <si>
    <t xml:space="preserve">تكلفة المبيعات </t>
  </si>
  <si>
    <t>الإيرادات المتوقعة</t>
  </si>
  <si>
    <t>الربح او الخسارة</t>
  </si>
  <si>
    <t>النسبة</t>
  </si>
  <si>
    <t>جرد الأصول الثابتة</t>
  </si>
  <si>
    <t>الأصل</t>
  </si>
  <si>
    <t>القيمة</t>
  </si>
  <si>
    <t>العمر الافتراضي</t>
  </si>
  <si>
    <t>معدل الاهلاك</t>
  </si>
  <si>
    <t>قيمة الاهلاك الشهري</t>
  </si>
  <si>
    <t>ملخص الأصول الثابتة</t>
  </si>
  <si>
    <t xml:space="preserve">اجمالي قيمة الأصول </t>
  </si>
  <si>
    <t>قيمة الاهلاك الشهري للأصول</t>
  </si>
  <si>
    <t>الافراد</t>
  </si>
  <si>
    <t>العناصر</t>
  </si>
  <si>
    <t>السعر</t>
  </si>
  <si>
    <t>نموذج الجرد الشهري اول المدة</t>
  </si>
  <si>
    <t>ملاحظات</t>
  </si>
  <si>
    <t>ملخص المخزون</t>
  </si>
  <si>
    <t>نموذج الجرد الشهري اخر المدة</t>
  </si>
  <si>
    <t>هنغرستيشن</t>
  </si>
  <si>
    <t xml:space="preserve">كاش </t>
  </si>
  <si>
    <t>نسبة الدفع 2.5%</t>
  </si>
  <si>
    <t>تطبيـــــــــــــــــــــــــــــــــــــــــــــــــــــــقات التوصيـــــــــــــــــــــــــــــــــــــــــل</t>
  </si>
  <si>
    <t>الصافى</t>
  </si>
  <si>
    <t>جاهز</t>
  </si>
  <si>
    <t>مرسول</t>
  </si>
  <si>
    <t>شقردى</t>
  </si>
  <si>
    <t>اونلاين</t>
  </si>
  <si>
    <t>ذا شيفز</t>
  </si>
  <si>
    <t xml:space="preserve">ضريبة المبيعات </t>
  </si>
  <si>
    <t>تكلفة التوصيل للمبيعات الشهرية</t>
  </si>
  <si>
    <t>اجمالي المصروفات الأخرى</t>
  </si>
  <si>
    <t>كاش</t>
  </si>
  <si>
    <t>تحويل لحسابي</t>
  </si>
  <si>
    <t xml:space="preserve"> فاتورة منتجات تغليف</t>
  </si>
  <si>
    <t xml:space="preserve">سداد قسط </t>
  </si>
  <si>
    <t>ملف تفاصيل العهدة</t>
  </si>
  <si>
    <t>اجمالي تفاصيل الفواتير</t>
  </si>
  <si>
    <t>مشتريات ضريبية</t>
  </si>
  <si>
    <t>العهدة السابقة</t>
  </si>
  <si>
    <t>العهدة الجديدة</t>
  </si>
  <si>
    <t>اجمالي الضريبة</t>
  </si>
  <si>
    <t>العهدة الحالية</t>
  </si>
  <si>
    <t>الاثبات</t>
  </si>
  <si>
    <t>فاتورة ضريبية</t>
  </si>
  <si>
    <t>الرقم الضريبى</t>
  </si>
  <si>
    <t>شامل الضريبة</t>
  </si>
  <si>
    <t>الاجمالى</t>
  </si>
  <si>
    <t>المجمل</t>
  </si>
  <si>
    <t>خضار وفاكهة</t>
  </si>
  <si>
    <t>توابل</t>
  </si>
  <si>
    <t>الوقود</t>
  </si>
  <si>
    <t xml:space="preserve">بنزين </t>
  </si>
  <si>
    <t xml:space="preserve">النجمه الخضراء </t>
  </si>
  <si>
    <t>الوحدة</t>
  </si>
  <si>
    <t xml:space="preserve">دواجن البان </t>
  </si>
  <si>
    <t>نثريات عمال</t>
  </si>
  <si>
    <t>حبه شويه مع رز</t>
  </si>
  <si>
    <t>السليمانيه</t>
  </si>
  <si>
    <t>حبه</t>
  </si>
  <si>
    <t xml:space="preserve">ماء </t>
  </si>
  <si>
    <t>مطاعم ميرا</t>
  </si>
  <si>
    <t>حبه الفهم رز بخاري+بيس</t>
  </si>
  <si>
    <t xml:space="preserve">مواد نظافه </t>
  </si>
  <si>
    <t xml:space="preserve">منظفات فرن </t>
  </si>
  <si>
    <t>ماركت غازي</t>
  </si>
  <si>
    <t>PCS</t>
  </si>
  <si>
    <t>طيب</t>
  </si>
  <si>
    <t>واحة القريه</t>
  </si>
  <si>
    <t>بادنجال</t>
  </si>
  <si>
    <t>CTN</t>
  </si>
  <si>
    <t>ملفوف ابيض</t>
  </si>
  <si>
    <t>زهره</t>
  </si>
  <si>
    <t>ماء+بيبسي</t>
  </si>
  <si>
    <t xml:space="preserve">أسواق كشكول </t>
  </si>
  <si>
    <t>شاي</t>
  </si>
  <si>
    <t>تغميس</t>
  </si>
  <si>
    <t>الغاز</t>
  </si>
  <si>
    <t xml:space="preserve">فحم شويه </t>
  </si>
  <si>
    <t xml:space="preserve">محمد احمد بن إبراهيم </t>
  </si>
  <si>
    <t>كيلو</t>
  </si>
  <si>
    <t>المخبوزات</t>
  </si>
  <si>
    <t>مفرود</t>
  </si>
  <si>
    <t>موسسة الشاهين</t>
  </si>
  <si>
    <t>الاطعمه الجافة</t>
  </si>
  <si>
    <t>محامص ومكسرات</t>
  </si>
  <si>
    <t>هايبر النهدي</t>
  </si>
  <si>
    <t>صلصة طماطم مجففة اورينت</t>
  </si>
  <si>
    <t>دبس رمان حدائق 520مم</t>
  </si>
  <si>
    <t>نص فحم ساده</t>
  </si>
  <si>
    <t>مطاعم سامي</t>
  </si>
  <si>
    <t>رز بشاور</t>
  </si>
  <si>
    <t>حمضيات عائلي</t>
  </si>
  <si>
    <t>نص شوايه مع رز</t>
  </si>
  <si>
    <t>زيت الجري</t>
  </si>
  <si>
    <t>لتر</t>
  </si>
  <si>
    <t>غسيل</t>
  </si>
  <si>
    <t>مؤسسة بدور نجد</t>
  </si>
  <si>
    <t>سباكة وكهرباء</t>
  </si>
  <si>
    <t>شططروم كهرباء</t>
  </si>
  <si>
    <t>تلال السليمانيه</t>
  </si>
  <si>
    <t>أدوات مكتبية</t>
  </si>
  <si>
    <t>شاحن كمبيوتر</t>
  </si>
  <si>
    <t>امين للكمبيوتر</t>
  </si>
  <si>
    <t xml:space="preserve">مستلزمة مطعم </t>
  </si>
  <si>
    <t xml:space="preserve">اسياخ مسطح ستيل 18 مل </t>
  </si>
  <si>
    <t>اسياخ مسطح ستيل 18 مل (مرتجع)</t>
  </si>
  <si>
    <t>مؤسسة قمة المبتكر</t>
  </si>
  <si>
    <t xml:space="preserve">اسياخ كباب مبروم ستيل 6 مل </t>
  </si>
  <si>
    <t xml:space="preserve">اسياخ مسطح ستيل 12 مل </t>
  </si>
  <si>
    <t>ميزان الكتروني 30 كيلو كامري</t>
  </si>
  <si>
    <t xml:space="preserve">ميزان قهوة اسود </t>
  </si>
  <si>
    <t>صيانه سيارات</t>
  </si>
  <si>
    <t>حساس</t>
  </si>
  <si>
    <t>شركة عبداللة عمر العمودي</t>
  </si>
  <si>
    <t>فحم امريكي</t>
  </si>
  <si>
    <t>شركة روازن</t>
  </si>
  <si>
    <t>كيس</t>
  </si>
  <si>
    <t xml:space="preserve">توصيلة </t>
  </si>
  <si>
    <t>سخان فالنسيا 80 لتر ا</t>
  </si>
  <si>
    <t xml:space="preserve">انارة المدينة </t>
  </si>
  <si>
    <t>لي اسبانى 80 سم</t>
  </si>
  <si>
    <t>تركيب وصيانه</t>
  </si>
  <si>
    <t>مركز المراكب الذهبية</t>
  </si>
  <si>
    <t>VALVE ORGNAL NAHAS</t>
  </si>
  <si>
    <t>CHANAL PATI TAPE</t>
  </si>
  <si>
    <t>ENGLE VALVE CROME</t>
  </si>
  <si>
    <t>Electric socket 13 amr</t>
  </si>
  <si>
    <t>Plastice box7/7</t>
  </si>
  <si>
    <t>Electric wair</t>
  </si>
  <si>
    <t>تعبئة وتغليف</t>
  </si>
  <si>
    <t>كيس كعبي بني</t>
  </si>
  <si>
    <t>شركة لامينا</t>
  </si>
  <si>
    <t>كليشة</t>
  </si>
  <si>
    <t>مفتوح</t>
  </si>
  <si>
    <t>حبه شوايه</t>
  </si>
  <si>
    <t>نص شوايه بخ</t>
  </si>
  <si>
    <t>بيبسي 1.5 لتر</t>
  </si>
  <si>
    <t>مطعم مذاق</t>
  </si>
  <si>
    <t>ماء رامه</t>
  </si>
  <si>
    <t>تموينات هنا دمشق</t>
  </si>
  <si>
    <t xml:space="preserve">مياه البركه 4 جالون </t>
  </si>
  <si>
    <t>تموينات الباقه البيضاء</t>
  </si>
  <si>
    <t>فطاير</t>
  </si>
  <si>
    <t>ماء</t>
  </si>
  <si>
    <t xml:space="preserve">معقم ومطهر </t>
  </si>
  <si>
    <t>كلوركس</t>
  </si>
  <si>
    <t>مكس رول</t>
  </si>
  <si>
    <t>ترمومتر قياس درجه الحراره</t>
  </si>
  <si>
    <t>صيدليه صحة ورعايه</t>
  </si>
  <si>
    <t>ميرندا 2.23 لتر</t>
  </si>
  <si>
    <t>سندوتس فول</t>
  </si>
  <si>
    <t xml:space="preserve">فلافل </t>
  </si>
  <si>
    <t>بهارات كركم مطحون</t>
  </si>
  <si>
    <t xml:space="preserve">ذرة </t>
  </si>
  <si>
    <t xml:space="preserve">ماء مكه المكرمه 330 </t>
  </si>
  <si>
    <t>صلصة سراشا الحاره</t>
  </si>
  <si>
    <t xml:space="preserve">بصل احمر </t>
  </si>
  <si>
    <t>رجلة</t>
  </si>
  <si>
    <t>توصيله لشبكه wifi</t>
  </si>
  <si>
    <t>مؤسسة امل العتيبي</t>
  </si>
  <si>
    <t>اللحوم</t>
  </si>
  <si>
    <t>شحم غنم</t>
  </si>
  <si>
    <t>ملحمة</t>
  </si>
  <si>
    <t xml:space="preserve">مفاتيح </t>
  </si>
  <si>
    <t>مؤسسة فاطمة ظافر</t>
  </si>
  <si>
    <t>led bulb 50 w</t>
  </si>
  <si>
    <t>gataa electric 7*7</t>
  </si>
  <si>
    <t>gataa electric 20*20</t>
  </si>
  <si>
    <t>huk dafa mdni salender</t>
  </si>
  <si>
    <t>screw</t>
  </si>
  <si>
    <t>electral tape</t>
  </si>
  <si>
    <t>silicon</t>
  </si>
  <si>
    <t>colour tape</t>
  </si>
  <si>
    <t>breaker 3 pol</t>
  </si>
  <si>
    <t>box break</t>
  </si>
  <si>
    <t>putty wall</t>
  </si>
  <si>
    <t>PAINT SILVER</t>
  </si>
  <si>
    <t>Metar</t>
  </si>
  <si>
    <t xml:space="preserve">شطرطون </t>
  </si>
  <si>
    <t>led4 m</t>
  </si>
  <si>
    <t>DECORE 16*16</t>
  </si>
  <si>
    <t>bulb holder</t>
  </si>
  <si>
    <t>led</t>
  </si>
  <si>
    <t>pipe gelu</t>
  </si>
  <si>
    <t>STOPER2</t>
  </si>
  <si>
    <t>Spray paint white</t>
  </si>
  <si>
    <t>عربيه نظافة</t>
  </si>
  <si>
    <t>شركة ريثان</t>
  </si>
  <si>
    <t>pcs</t>
  </si>
  <si>
    <t xml:space="preserve">كمون قصيمي مطحون </t>
  </si>
  <si>
    <t>كزبره مطحون 1 ك</t>
  </si>
  <si>
    <t>بابريكا ناعم 1ك</t>
  </si>
  <si>
    <t>ثومه مطحون 1 ك</t>
  </si>
  <si>
    <t xml:space="preserve">بصل مطحون ابيض شد 10 ك </t>
  </si>
  <si>
    <t>بهار حلو 1 ك</t>
  </si>
  <si>
    <t xml:space="preserve">هيل امريكي رقم 1 </t>
  </si>
  <si>
    <t xml:space="preserve">قرفه مطحون 1 ك </t>
  </si>
  <si>
    <t>كركم مطحون 1 ك</t>
  </si>
  <si>
    <t>زعتر يمني شد 35 ك</t>
  </si>
  <si>
    <t>دبس رمان رغد الشام 500 جم *24ح</t>
  </si>
  <si>
    <t xml:space="preserve">التاج العربي </t>
  </si>
  <si>
    <t>كجم</t>
  </si>
  <si>
    <t>كرتون</t>
  </si>
  <si>
    <t>ETC 3000 Thermostate</t>
  </si>
  <si>
    <t>المطيري لقطع غيار التبريد</t>
  </si>
  <si>
    <t>طايع باوزير</t>
  </si>
  <si>
    <t>ربطه</t>
  </si>
  <si>
    <t xml:space="preserve">علب 250 مل شفاف مايكروبف </t>
  </si>
  <si>
    <t xml:space="preserve">علب 250 مل اسود مايكروبف </t>
  </si>
  <si>
    <t>علب 450 مل اسود مايكروبف</t>
  </si>
  <si>
    <t>علب 450 مل شفاف مايكروبف</t>
  </si>
  <si>
    <t>صحن سوشي اسود رقم 7020*شد 460</t>
  </si>
  <si>
    <t xml:space="preserve">شركة مدائن </t>
  </si>
  <si>
    <t>صيدليه فايبر مقاس</t>
  </si>
  <si>
    <t>الخبرة الاساسيه</t>
  </si>
  <si>
    <t xml:space="preserve">طفايه حريق بودره جافه 6 كيلو </t>
  </si>
  <si>
    <t xml:space="preserve">شركة هبة </t>
  </si>
  <si>
    <t>طفايه حريق بثاني أكسيد الكربون</t>
  </si>
  <si>
    <t>frimeka</t>
  </si>
  <si>
    <t>jawaya</t>
  </si>
  <si>
    <t>ورشة الالمنيوم</t>
  </si>
  <si>
    <t>THERMOMETER DIGITAL</t>
  </si>
  <si>
    <t xml:space="preserve">موسسه الاعمال الاهليه </t>
  </si>
  <si>
    <t xml:space="preserve">صيانه لمبات </t>
  </si>
  <si>
    <t>بدون فاتور</t>
  </si>
  <si>
    <t>أغراض بيت السليمانيه</t>
  </si>
  <si>
    <t xml:space="preserve">استندات </t>
  </si>
  <si>
    <t>موسسة خدمات الفصول الأربع</t>
  </si>
  <si>
    <t>غلافات كروت العمل</t>
  </si>
  <si>
    <t>ترومتر قياس بروده</t>
  </si>
  <si>
    <t>موسسه قمه المبتكر</t>
  </si>
  <si>
    <t>فلاشات</t>
  </si>
  <si>
    <t xml:space="preserve">متبه دار النبلاء </t>
  </si>
  <si>
    <t>فحم</t>
  </si>
  <si>
    <t>مؤسسة محمد احمد بن إبراهيم</t>
  </si>
  <si>
    <t>ماء البركه 4 جالون</t>
  </si>
  <si>
    <t>أكياس نفايات</t>
  </si>
  <si>
    <t>ماء اوسكا</t>
  </si>
  <si>
    <t>طماطم كيلو</t>
  </si>
  <si>
    <t>ورقيات</t>
  </si>
  <si>
    <t>بادنجال1</t>
  </si>
  <si>
    <t>بادنجال2</t>
  </si>
  <si>
    <t>بانجال3</t>
  </si>
  <si>
    <t>بادنجال4</t>
  </si>
  <si>
    <t>Pcs</t>
  </si>
  <si>
    <t>خبز ابيض عربي</t>
  </si>
  <si>
    <t>تموينات ركن المهل</t>
  </si>
  <si>
    <t>استبدال اسطوانه غاز+تحميل وتنزيل</t>
  </si>
  <si>
    <t>مؤسسة علي سعيد</t>
  </si>
  <si>
    <t xml:space="preserve">ماء صحه 4 جالون </t>
  </si>
  <si>
    <t>موب سيركلي عصاء المينوم</t>
  </si>
  <si>
    <t xml:space="preserve">مكنسه ناعم </t>
  </si>
  <si>
    <t>مساحه سيركلي</t>
  </si>
  <si>
    <t>رايه الريان</t>
  </si>
  <si>
    <t>جهاز ريموت</t>
  </si>
  <si>
    <t>محل تلال للسباكه والكهرباء</t>
  </si>
  <si>
    <t>ماء ابيض</t>
  </si>
  <si>
    <t>بيسي +خبز+تونه +زبادي</t>
  </si>
  <si>
    <t>ثلج الاسكا كاسات</t>
  </si>
  <si>
    <t xml:space="preserve">مياة مويا+حمضيات+بيبسي+خبز </t>
  </si>
  <si>
    <t>خبزكبير</t>
  </si>
  <si>
    <t>قراشه بطاطيس</t>
  </si>
  <si>
    <t>خبز لبناني</t>
  </si>
  <si>
    <t>صامولي</t>
  </si>
  <si>
    <t>موسسه الطبيعه الخضراء</t>
  </si>
  <si>
    <t>سلك كهرباء +شطرطون</t>
  </si>
  <si>
    <t>led bulb 12 w</t>
  </si>
  <si>
    <t>soprt buib</t>
  </si>
  <si>
    <t>cable 4 m</t>
  </si>
  <si>
    <t>nail fasher</t>
  </si>
  <si>
    <t>box cower</t>
  </si>
  <si>
    <t xml:space="preserve">Electric socket </t>
  </si>
  <si>
    <t>dokor</t>
  </si>
  <si>
    <t>hammer drili</t>
  </si>
  <si>
    <t>أدوات كهرباء</t>
  </si>
  <si>
    <t>أدوات كهرباء+300 شغل يد</t>
  </si>
  <si>
    <t>عداد ثلاجه</t>
  </si>
  <si>
    <t>200شغل كهرباء+ 300 شغل تركيب عدادات</t>
  </si>
  <si>
    <t>مرواه كمبيوتر تايوان</t>
  </si>
  <si>
    <t xml:space="preserve">condector 3 pool japan+دجتل ترمومتر </t>
  </si>
  <si>
    <t xml:space="preserve">رلي صيني+protection relay chine </t>
  </si>
  <si>
    <t>حراب كوري دبل +حلاط مجله كون فلو</t>
  </si>
  <si>
    <t>مؤسسة العمل المتقدم</t>
  </si>
  <si>
    <t>لمبه غطاء</t>
  </si>
  <si>
    <t>مؤسسة درة الضاحية</t>
  </si>
  <si>
    <t xml:space="preserve">بيبسي 1.5 لتر </t>
  </si>
  <si>
    <t>نص شوايه بخ+حبه شوايه بخا</t>
  </si>
  <si>
    <t>رز بخاري ساده</t>
  </si>
  <si>
    <t>ماء +بيسي</t>
  </si>
  <si>
    <t>استشوار كاترينا هوائي</t>
  </si>
  <si>
    <t>شركة لمسة فيفا التجاريه</t>
  </si>
  <si>
    <t>مويه+ولعات</t>
  </si>
  <si>
    <t xml:space="preserve">تموينات دورد الخير </t>
  </si>
  <si>
    <t>محطة حنين</t>
  </si>
  <si>
    <t>muassast shaaman</t>
  </si>
  <si>
    <t>شركه رادكم</t>
  </si>
  <si>
    <t>علبة بلاستيك 10305</t>
  </si>
  <si>
    <t>طرق التوفير</t>
  </si>
  <si>
    <t>بيسي</t>
  </si>
  <si>
    <t>موسسه الركن النابلسي</t>
  </si>
  <si>
    <t xml:space="preserve">مويه 5  لتر </t>
  </si>
  <si>
    <t xml:space="preserve">مياه رامه </t>
  </si>
  <si>
    <t xml:space="preserve">ملاقط تقليب شويه </t>
  </si>
  <si>
    <t xml:space="preserve">مؤسسه محمد احمد </t>
  </si>
  <si>
    <t>غداء عمال</t>
  </si>
  <si>
    <t>لحم +كباب</t>
  </si>
  <si>
    <t>ملحمه أوائل الشام</t>
  </si>
  <si>
    <t>مياه فرح 10 لتر +مناديل ماكس رول 3000م</t>
  </si>
  <si>
    <t>بيبسي +حمضيات+خبز كبير</t>
  </si>
  <si>
    <t>صحن مستطيل رقم 3 بلاستيك</t>
  </si>
  <si>
    <t>ليه خروف</t>
  </si>
  <si>
    <t>ملحمة ركن النهدي</t>
  </si>
  <si>
    <t>وزن فرامل معا شر جلنط مع تنسيم فرامل</t>
  </si>
  <si>
    <t xml:space="preserve">مركز حماد حمد لصيانه </t>
  </si>
  <si>
    <t xml:space="preserve">تركيب دقمه باب خلفي وترهيم </t>
  </si>
  <si>
    <t>مركز الشهري للصيانه س</t>
  </si>
  <si>
    <t>مصافي استيل 15*16*34</t>
  </si>
  <si>
    <t>الخنبشى للادوات المطابخ</t>
  </si>
  <si>
    <t xml:space="preserve">شبك قلي استيل باكستاني 11*23*25 سم </t>
  </si>
  <si>
    <t>شركة اناء الجزيره</t>
  </si>
  <si>
    <t>كفر بلاك ارو</t>
  </si>
  <si>
    <t>شركة ياسر النهدي</t>
  </si>
  <si>
    <t>وزن اذرعه ومقصات</t>
  </si>
  <si>
    <t>كرتون ماء نوفا 330مل</t>
  </si>
  <si>
    <t xml:space="preserve">مها بن احمد </t>
  </si>
  <si>
    <t>TRFI CLEENEX</t>
  </si>
  <si>
    <t>بطاريه سي ديلكو  50</t>
  </si>
  <si>
    <t xml:space="preserve">بنشر موطن الابداع </t>
  </si>
  <si>
    <t xml:space="preserve">بنشر السيارات </t>
  </si>
  <si>
    <t>فلتر هواء يارس</t>
  </si>
  <si>
    <t>زيت فوكس جبر</t>
  </si>
  <si>
    <t xml:space="preserve">زيت غسيل اوريزاون 4 لتر </t>
  </si>
  <si>
    <t>سيفون هيلكس حديد اصلي</t>
  </si>
  <si>
    <t>زيت بترو مين 20-50</t>
  </si>
  <si>
    <t>غيار زيت موطن الابداع</t>
  </si>
  <si>
    <t>مسدس سليكون + سيلكون</t>
  </si>
  <si>
    <t>نقل شوايه من الصناعيه الي السليمانيه</t>
  </si>
  <si>
    <t>نقل وتوصيل</t>
  </si>
  <si>
    <t>سطحه نقل باص هايس 3465</t>
  </si>
  <si>
    <t>ملح ليمون + كربوبنه</t>
  </si>
  <si>
    <t>سلك كهرباء</t>
  </si>
  <si>
    <t>غسيل سياره</t>
  </si>
  <si>
    <t>مغسله ذوق الابداع</t>
  </si>
  <si>
    <t>محطه بترولي</t>
  </si>
  <si>
    <t>منحطة زيت الجري</t>
  </si>
  <si>
    <t>خل صناعي رنا 474 ملي</t>
  </si>
  <si>
    <t>صحون مايكرويف 300</t>
  </si>
  <si>
    <t>بيت الشواية</t>
  </si>
  <si>
    <t>مطاعم القمر</t>
  </si>
  <si>
    <t>مؤسسة التاسس الوطنية</t>
  </si>
  <si>
    <t>ماء +بيبسي</t>
  </si>
  <si>
    <t>فاين رول ميجا 1000 قطعه شد 6</t>
  </si>
  <si>
    <t xml:space="preserve">مناديل سانتيا ماكس 3000متر +50متر </t>
  </si>
  <si>
    <t xml:space="preserve">سانيتا شديد الامتصاص 200 متر </t>
  </si>
  <si>
    <t>مساحه قطن + منظف مراحيض</t>
  </si>
  <si>
    <t>غداء عمال+ماء</t>
  </si>
  <si>
    <t>تكسير +سباكه وكهرباء</t>
  </si>
  <si>
    <t>صيانه المطعم</t>
  </si>
  <si>
    <t>مقابل بناء البلك</t>
  </si>
  <si>
    <t xml:space="preserve">بلاط </t>
  </si>
  <si>
    <t>نقل من لبن للسليمانيه</t>
  </si>
  <si>
    <t>غراء سلك</t>
  </si>
  <si>
    <t>أدوات سباكه</t>
  </si>
  <si>
    <t xml:space="preserve">مفتاح </t>
  </si>
  <si>
    <t>برش</t>
  </si>
  <si>
    <t xml:space="preserve">منال فايع </t>
  </si>
  <si>
    <t>أدوات كهرباء وسباكه</t>
  </si>
  <si>
    <t>مركز السليمانيه</t>
  </si>
  <si>
    <t xml:space="preserve">مؤسسة انجاز </t>
  </si>
  <si>
    <t>مؤسسة الماسة الفنية</t>
  </si>
  <si>
    <t xml:space="preserve">الوان الفيحاء للرخام </t>
  </si>
  <si>
    <t>LM GALAXY BLACK SLABS 2 CM</t>
  </si>
  <si>
    <t>بلاط 20*30 خزف +بلاط31.8*31.8</t>
  </si>
  <si>
    <t xml:space="preserve">شركه أبناء حمد بن ناصر </t>
  </si>
  <si>
    <t>متر</t>
  </si>
  <si>
    <t>س وطني مقاس 20*30 ابيض</t>
  </si>
  <si>
    <t>س الخزف 40*40*1.5 بيج</t>
  </si>
  <si>
    <t>غراء سيمفكس بو رسلان 20 كج</t>
  </si>
  <si>
    <t xml:space="preserve">تروبيه 20كغ فيتونيت </t>
  </si>
  <si>
    <t xml:space="preserve">أجور نقل </t>
  </si>
  <si>
    <t>س سعودي 42*42 تركوتا</t>
  </si>
  <si>
    <t>مؤسسة ليمارؤ البنخبه</t>
  </si>
  <si>
    <t>متر مربع</t>
  </si>
  <si>
    <t xml:space="preserve">ايجار اصلاح الدينموا </t>
  </si>
  <si>
    <t>COOKJACKET AND PANTS</t>
  </si>
  <si>
    <t>BANDANA</t>
  </si>
  <si>
    <t xml:space="preserve">APRON FULLمريله </t>
  </si>
  <si>
    <t>شركة أمواج الحوطه</t>
  </si>
  <si>
    <t>زهره و ذره</t>
  </si>
  <si>
    <t>علاج حاتم</t>
  </si>
  <si>
    <t>النهدي</t>
  </si>
  <si>
    <t>ضض</t>
  </si>
  <si>
    <t>مفرود+خبز لبناني</t>
  </si>
  <si>
    <t>مفرود7</t>
  </si>
  <si>
    <t xml:space="preserve">مياه فالي 16 لتر </t>
  </si>
  <si>
    <t>ارز صنوايب</t>
  </si>
  <si>
    <t>قفازات</t>
  </si>
  <si>
    <t>مناديل ماكس رول شديد الامتصاص</t>
  </si>
  <si>
    <t>فاين جامبو رول 150م*2لفات</t>
  </si>
  <si>
    <t>طباعه ملونه +ROCO LAMINATING</t>
  </si>
  <si>
    <t>مؤسسة خدمات الفصول الاربع</t>
  </si>
  <si>
    <t>مقص</t>
  </si>
  <si>
    <t>مياه شرب هنا 40 حبه</t>
  </si>
  <si>
    <t>شركة امتياز التموين</t>
  </si>
  <si>
    <t>اتش بي الكمبيوتر المحمول</t>
  </si>
  <si>
    <t>شركة جرير للتسويق</t>
  </si>
  <si>
    <t xml:space="preserve">اوريكس سوبر جي تي بلاستيك </t>
  </si>
  <si>
    <t>سمات الثقه</t>
  </si>
  <si>
    <t>فلتر زيت جيب جديد</t>
  </si>
  <si>
    <t>قلتر مكيف استون</t>
  </si>
  <si>
    <t>بكرة لازاله النسالة</t>
  </si>
  <si>
    <t>ساكو</t>
  </si>
  <si>
    <t>غاز العليا والسليمانيه</t>
  </si>
  <si>
    <t>لية خروف</t>
  </si>
  <si>
    <t>اصلاح قفل باص 2012</t>
  </si>
  <si>
    <t>مفتاح العز</t>
  </si>
  <si>
    <t>شحم عنم</t>
  </si>
  <si>
    <t>ملحمه ركن النهدي</t>
  </si>
  <si>
    <t xml:space="preserve">استبدال لوحة مفاتيح كمبيوتر </t>
  </si>
  <si>
    <t>موسسة الإنجاز المنشود</t>
  </si>
  <si>
    <t>sticker 1</t>
  </si>
  <si>
    <t xml:space="preserve">بوينت كاربه </t>
  </si>
  <si>
    <t>sticker 2</t>
  </si>
  <si>
    <t>مقياس جوده الزيت تيستو الماني</t>
  </si>
  <si>
    <t>سلة بصل 1 دور تيربو الفريدي</t>
  </si>
  <si>
    <t>العوبثاني للبلاستيك</t>
  </si>
  <si>
    <t xml:space="preserve">علبة طعام مستطيل 5 لتر </t>
  </si>
  <si>
    <t xml:space="preserve">مسن حجر صيني </t>
  </si>
  <si>
    <t>محقان بلاستيك وسط 517</t>
  </si>
  <si>
    <t>جالون عصير 10 لتر شد 12</t>
  </si>
  <si>
    <t>المواد الغذائية</t>
  </si>
  <si>
    <t>بيبسي علب 2 ريال</t>
  </si>
  <si>
    <t xml:space="preserve">شركة طازج واكثر </t>
  </si>
  <si>
    <t>كولا علب 30*25</t>
  </si>
  <si>
    <t>سبرايت علب 24*330</t>
  </si>
  <si>
    <t>مالابار للاغذيه</t>
  </si>
  <si>
    <t>CRT</t>
  </si>
  <si>
    <t>طقم بخاخ 350 مل</t>
  </si>
  <si>
    <t>مناديل وتر كت نابكو 20*120</t>
  </si>
  <si>
    <t>ربطه*3حبه</t>
  </si>
  <si>
    <t>كرتون ش6</t>
  </si>
  <si>
    <t>مكينه تغليف كوري</t>
  </si>
  <si>
    <t>قدر استيل لماع</t>
  </si>
  <si>
    <t xml:space="preserve">مزيته استيل </t>
  </si>
  <si>
    <t>جاط استيل م18</t>
  </si>
  <si>
    <t>ملاحه استيل 3363</t>
  </si>
  <si>
    <t>سكين برازيلي كبير احمر</t>
  </si>
  <si>
    <t>سكين برازيلي كبير اصفر</t>
  </si>
  <si>
    <t>سكين برازيلي كبير بني</t>
  </si>
  <si>
    <t xml:space="preserve">سكين برازيلي كبير اخضر </t>
  </si>
  <si>
    <t xml:space="preserve">ملاعقه ايسكريم كبير </t>
  </si>
  <si>
    <t>كف حراري سيلكون</t>
  </si>
  <si>
    <t>طقم استيل معيار 4 حبه</t>
  </si>
  <si>
    <t xml:space="preserve">طقم معيار استيل </t>
  </si>
  <si>
    <t xml:space="preserve">مغناطيس سكاكين 51 سم </t>
  </si>
  <si>
    <t xml:space="preserve">استاند فواتير 70 سم </t>
  </si>
  <si>
    <t>قدر استيل كركماز مسطح 15*32</t>
  </si>
  <si>
    <t>علبه كتشب 1834</t>
  </si>
  <si>
    <t>شركه اسطوره الاواني</t>
  </si>
  <si>
    <t>طقم</t>
  </si>
  <si>
    <t>ماقاط استيل 12 هنش</t>
  </si>
  <si>
    <t>ملقاط استيل 11 هنش</t>
  </si>
  <si>
    <t>لوح تقطيع 60*40*3 حمر</t>
  </si>
  <si>
    <t>لوح تقطيع 60*40*3اخضر</t>
  </si>
  <si>
    <t>لوح تقطيع 60*40*اصفر 3 ملي</t>
  </si>
  <si>
    <t xml:space="preserve">صينيه بقلاوه تركي </t>
  </si>
  <si>
    <t xml:space="preserve">درام دعسه بلاستيك 78 لتر </t>
  </si>
  <si>
    <t xml:space="preserve">مجراف استيل يد </t>
  </si>
  <si>
    <t>حافظه فلين ابيض كبير 60*40*30</t>
  </si>
  <si>
    <t xml:space="preserve">مؤسسة أبراج الخدمة </t>
  </si>
  <si>
    <t>مصفى مفرمه لحم</t>
  </si>
  <si>
    <t>شركة ميزان الربيع</t>
  </si>
  <si>
    <t>ربع حمل نيوزيلندي</t>
  </si>
  <si>
    <t>فخذ لامب بدون غظم استرالي</t>
  </si>
  <si>
    <t>وجهة الغذاء</t>
  </si>
  <si>
    <t>فلفل اسود مطحون 1 ك</t>
  </si>
  <si>
    <t>باريكا ناعم 1 ك</t>
  </si>
  <si>
    <t xml:space="preserve">مسحوق كاري مهران 1000 جم </t>
  </si>
  <si>
    <t xml:space="preserve">كريم مطحون 1ك </t>
  </si>
  <si>
    <t xml:space="preserve">سماق اكستر اردني شد 20 </t>
  </si>
  <si>
    <t>ملح ليمون شد 25 ك</t>
  </si>
  <si>
    <t xml:space="preserve"> كمون قصمي مطحون 1ك</t>
  </si>
  <si>
    <t xml:space="preserve">ملح خشن </t>
  </si>
  <si>
    <t>ملوان طعام صفار الزعفران</t>
  </si>
  <si>
    <t>برغل ناعم شد 15 ك</t>
  </si>
  <si>
    <t>لوز شرائح 1 ك</t>
  </si>
  <si>
    <t xml:space="preserve">حمص مكسكي 14 ملم شد 15 كجم </t>
  </si>
  <si>
    <t>ثوم مطحون 1 ك</t>
  </si>
  <si>
    <t xml:space="preserve">سيلك مفرد لفه </t>
  </si>
  <si>
    <t xml:space="preserve">علبه </t>
  </si>
  <si>
    <t xml:space="preserve">نيفل </t>
  </si>
  <si>
    <t>سيلك 1 متر</t>
  </si>
  <si>
    <t>نقاش كرم</t>
  </si>
  <si>
    <t xml:space="preserve">مسمار </t>
  </si>
  <si>
    <t>لي غسله</t>
  </si>
  <si>
    <t xml:space="preserve">ديكور </t>
  </si>
  <si>
    <t xml:space="preserve">عيلبه </t>
  </si>
  <si>
    <t>soket</t>
  </si>
  <si>
    <t xml:space="preserve">العمل المتقدم للمقاولات </t>
  </si>
  <si>
    <t>شغل يدي</t>
  </si>
  <si>
    <t xml:space="preserve">مسحب برازيلي جاجو 2.5كغ*4 </t>
  </si>
  <si>
    <t>ركن الموردن</t>
  </si>
  <si>
    <t>زيت هاله تنك 17 ل</t>
  </si>
  <si>
    <t xml:space="preserve">رز السفير 40 كغ </t>
  </si>
  <si>
    <t>خل ابيض رنا شد 12</t>
  </si>
  <si>
    <t>ذره حاوه حب تايلندي 3 كغ</t>
  </si>
  <si>
    <t>ارز صوايت 5 كغ</t>
  </si>
  <si>
    <t>شاى ليبتون خيط 20غ*100حبه</t>
  </si>
  <si>
    <t>سكر ناعم 10 كغ</t>
  </si>
  <si>
    <t xml:space="preserve">صابون صحون موبي 1 ليتر </t>
  </si>
  <si>
    <t>صلصة سراشا الحاره481</t>
  </si>
  <si>
    <t>جوز عين جمل 10 كغ</t>
  </si>
  <si>
    <t>تنك</t>
  </si>
  <si>
    <t>شوال</t>
  </si>
  <si>
    <t>شد6</t>
  </si>
  <si>
    <t>شد12</t>
  </si>
  <si>
    <t>زيتون اسود شرائح اسباني</t>
  </si>
  <si>
    <t xml:space="preserve">جبنه بارميزان إيطالي </t>
  </si>
  <si>
    <t xml:space="preserve">باذنجال مشوي مثلج </t>
  </si>
  <si>
    <t xml:space="preserve">زيت زيتون القريه 10 ليتر </t>
  </si>
  <si>
    <t xml:space="preserve">دبس رمان بيدر </t>
  </si>
  <si>
    <t>صلصه فلفل تركي</t>
  </si>
  <si>
    <t>مسحوق ذره بودره</t>
  </si>
  <si>
    <t xml:space="preserve">رز الوليمه الأصلي </t>
  </si>
  <si>
    <t xml:space="preserve">صلصه طماطم تركي </t>
  </si>
  <si>
    <t xml:space="preserve">لبنه داري 2.75 كغ </t>
  </si>
  <si>
    <t xml:space="preserve">طحينه الجميل </t>
  </si>
  <si>
    <t>مايونيز دارنا</t>
  </si>
  <si>
    <t xml:space="preserve">ليمون جوس بيدر </t>
  </si>
  <si>
    <t>صلصه طماطم عماني</t>
  </si>
  <si>
    <t xml:space="preserve">زبادي سطل 10 كغ </t>
  </si>
  <si>
    <t xml:space="preserve">زيت قلي منوع </t>
  </si>
  <si>
    <t xml:space="preserve">صوص جبنه شيدر امريكي </t>
  </si>
  <si>
    <t>شد 6</t>
  </si>
  <si>
    <t>شد4</t>
  </si>
  <si>
    <t>سطل</t>
  </si>
  <si>
    <t>ملعقه اسود قويه بلاستيك 50 حبه</t>
  </si>
  <si>
    <t>CLEANING SPONGE</t>
  </si>
  <si>
    <t>قناعه الوجه 40 ربط *50 حبه</t>
  </si>
  <si>
    <t>غطاء راس ابيض 10 كيس *100حبه</t>
  </si>
  <si>
    <t>أكياس نفيه 70 جالون 10 كغ</t>
  </si>
  <si>
    <t>عادل الاحمدي</t>
  </si>
  <si>
    <t>BDL</t>
  </si>
  <si>
    <t>لفة تغليف نايلون 30 سم*300 م</t>
  </si>
  <si>
    <t>لفه تغليف نايلون 45سم*6كجم</t>
  </si>
  <si>
    <t>قفازات فينيل كبير بدون بودره 10*80حبه</t>
  </si>
  <si>
    <t>قصدير ورقي</t>
  </si>
  <si>
    <t xml:space="preserve">بطاقه بنك </t>
  </si>
  <si>
    <t>شركة جرير للتسوق</t>
  </si>
  <si>
    <t>ثلج للمشاوي</t>
  </si>
  <si>
    <t>فيليه بقر برازيلي</t>
  </si>
  <si>
    <t>دلتا الغذاء</t>
  </si>
  <si>
    <t xml:space="preserve">لحم توب سايد </t>
  </si>
  <si>
    <t xml:space="preserve">شركة فتكر للتجاره </t>
  </si>
  <si>
    <t>يقر استرالي توب سايد بلاك انجوس مبرد</t>
  </si>
  <si>
    <t xml:space="preserve">بقر استرالى بريسكت بلاك انجوس مبرد </t>
  </si>
  <si>
    <t>بقر استرالي تشاك اند بليد بلاك انجوس مبرد</t>
  </si>
  <si>
    <t>اللحم الذهبي العالمية</t>
  </si>
  <si>
    <t>سكاكين متوسط القوه اسود 500 ربط</t>
  </si>
  <si>
    <t>شفاف +غطاء 2000حبه</t>
  </si>
  <si>
    <t>750ML BAGASSE SUGARCANE</t>
  </si>
  <si>
    <t>علبه السوشي رقم 1 اسود مع الغطاء</t>
  </si>
  <si>
    <t xml:space="preserve">لفة مناديل ورقي منفرد 6 حبه </t>
  </si>
  <si>
    <t>صحن 250 مل مدور</t>
  </si>
  <si>
    <t xml:space="preserve">الفحص الفني الدوري </t>
  </si>
  <si>
    <t>فحص فني3465</t>
  </si>
  <si>
    <t>فحص فني3466</t>
  </si>
  <si>
    <t>زجاج امامي هيلكس 2006</t>
  </si>
  <si>
    <t xml:space="preserve">مفتاح الحالي </t>
  </si>
  <si>
    <t xml:space="preserve">لمبات </t>
  </si>
  <si>
    <t xml:space="preserve">بخاخ ابرو </t>
  </si>
  <si>
    <t>اسطب خلفي هيلكس</t>
  </si>
  <si>
    <t>لمبه كوري</t>
  </si>
  <si>
    <t>زينه سيارات</t>
  </si>
  <si>
    <t>GROUND BLACK PEPPER 6/16OZ</t>
  </si>
  <si>
    <t>OREGANO LEAVES 6/5 OZ</t>
  </si>
  <si>
    <t xml:space="preserve"> ONION POWDER 6/24 OZ</t>
  </si>
  <si>
    <t>GARLIC POWDER 6/24 OZ</t>
  </si>
  <si>
    <t>SWEET PAPRIKA 6/16 OZ</t>
  </si>
  <si>
    <t xml:space="preserve">ROSEMARY LAVES 6/6 OZ </t>
  </si>
  <si>
    <t>THYME LEAVES 6/7 OZ</t>
  </si>
  <si>
    <t xml:space="preserve">SEVEN SPICE 12/7.75 OZ </t>
  </si>
  <si>
    <t>تموين الشرق للتجاره</t>
  </si>
  <si>
    <t xml:space="preserve">مفرود </t>
  </si>
  <si>
    <t>مفرود +خبز لبناني</t>
  </si>
  <si>
    <t>دجاج مفرد</t>
  </si>
  <si>
    <t>عزة الغامدي للدواجن</t>
  </si>
  <si>
    <t>نعناع</t>
  </si>
  <si>
    <t>موسسة انتاج البلد</t>
  </si>
  <si>
    <t xml:space="preserve">كلوركس </t>
  </si>
  <si>
    <t>تصوير طباعة</t>
  </si>
  <si>
    <t xml:space="preserve">الفصول الأربعة </t>
  </si>
  <si>
    <t>ROCO LAMINATING</t>
  </si>
  <si>
    <t>ملون تصوير وطباعة</t>
  </si>
  <si>
    <t xml:space="preserve">مياة فالي 16 لتر </t>
  </si>
  <si>
    <t>خمات غاز العليا والسليمانيه</t>
  </si>
  <si>
    <t xml:space="preserve">زيت ذرة الوليد 17 ليتر </t>
  </si>
  <si>
    <t xml:space="preserve">دجاج 1000 اوكراني </t>
  </si>
  <si>
    <t xml:space="preserve">نقل سياره السليمانيه من العزيزيه الي الصناعيه </t>
  </si>
  <si>
    <t xml:space="preserve">سطحة </t>
  </si>
  <si>
    <t>بكرة مكيف هايلكس</t>
  </si>
  <si>
    <t xml:space="preserve">سير دينمو هايلكس سير واحد </t>
  </si>
  <si>
    <t xml:space="preserve">ركن الرواد </t>
  </si>
  <si>
    <t>فحم امريكي 20 كيلو</t>
  </si>
  <si>
    <t xml:space="preserve">شركة روازن الدولية </t>
  </si>
  <si>
    <t>قودي خردل 227 غ</t>
  </si>
  <si>
    <t>بترو العمران</t>
  </si>
  <si>
    <t>فحمات امامي</t>
  </si>
  <si>
    <t>سالم الراشدي</t>
  </si>
  <si>
    <t>امريكانا</t>
  </si>
  <si>
    <t>خبز</t>
  </si>
  <si>
    <t>الشاهين</t>
  </si>
  <si>
    <t>مخابز الحطب</t>
  </si>
  <si>
    <t>مياة البركة 4 جالون</t>
  </si>
  <si>
    <t>الباقة البيضاء</t>
  </si>
  <si>
    <t>الشياهين</t>
  </si>
  <si>
    <t>انترنت</t>
  </si>
  <si>
    <t>STC</t>
  </si>
  <si>
    <t xml:space="preserve">ركن المهل </t>
  </si>
  <si>
    <t>مياه</t>
  </si>
  <si>
    <t>ركن المهل</t>
  </si>
  <si>
    <t>رقعة خارجية</t>
  </si>
  <si>
    <t>عائشة المشهوري</t>
  </si>
  <si>
    <t>مترو ماركت</t>
  </si>
  <si>
    <t>ماحمة روابي</t>
  </si>
  <si>
    <t>طقم مصفي</t>
  </si>
  <si>
    <t xml:space="preserve">الصرح الشامل </t>
  </si>
  <si>
    <t>ولاع فحم</t>
  </si>
  <si>
    <t>خبر</t>
  </si>
  <si>
    <t>جودة الخليج</t>
  </si>
  <si>
    <t xml:space="preserve">قصب سكر 24 او نص </t>
  </si>
  <si>
    <t>وردة الشمس</t>
  </si>
  <si>
    <t>قصب سكر 750 شد 300</t>
  </si>
  <si>
    <t xml:space="preserve">مناديل ورقي </t>
  </si>
  <si>
    <t>تغليف نايلون 30 سنتمتر</t>
  </si>
  <si>
    <t>أكياس نفاية 70 جالون</t>
  </si>
  <si>
    <t xml:space="preserve">ECO FRIENDL FOOD 450 ML </t>
  </si>
  <si>
    <t>ECO FRIENDL SQURE 16 OZ</t>
  </si>
  <si>
    <t>عظم كتف غنم</t>
  </si>
  <si>
    <t>الخليج الوسطى</t>
  </si>
  <si>
    <t>KG</t>
  </si>
  <si>
    <t>روزان الدولية</t>
  </si>
  <si>
    <t>دسك قطاعة خضار مخرم H7</t>
  </si>
  <si>
    <t xml:space="preserve">قمة المبتكر </t>
  </si>
  <si>
    <t>حبة</t>
  </si>
  <si>
    <t xml:space="preserve">كتف غنم نيوزلندي </t>
  </si>
  <si>
    <t xml:space="preserve">كغ </t>
  </si>
  <si>
    <t xml:space="preserve">فخذ غنم بدون عظم استرالي </t>
  </si>
  <si>
    <t>0003638 - PANT</t>
  </si>
  <si>
    <t>أمواج الحوطة</t>
  </si>
  <si>
    <t>سترة</t>
  </si>
  <si>
    <t>صيانة فرن تركيب مروحة</t>
  </si>
  <si>
    <t>طلب الفرات للصيانة</t>
  </si>
  <si>
    <t>عبدالله حسن شحاته</t>
  </si>
  <si>
    <t>كرسي مكينة</t>
  </si>
  <si>
    <t>16207-30081</t>
  </si>
  <si>
    <t>فلنجة هوب امامي هاي اس</t>
  </si>
  <si>
    <t>العريجاء</t>
  </si>
  <si>
    <t>رمان امامي هاي اس</t>
  </si>
  <si>
    <t>MO446-26420</t>
  </si>
  <si>
    <t xml:space="preserve">صيانة سيارة </t>
  </si>
  <si>
    <t xml:space="preserve">حماد حمد القحطاني </t>
  </si>
  <si>
    <t>ماء اييض</t>
  </si>
  <si>
    <t>علاج</t>
  </si>
  <si>
    <t>عيادات شفاء الجزيرة</t>
  </si>
  <si>
    <t xml:space="preserve">حدائق شتورة </t>
  </si>
  <si>
    <t>هوى الرياض</t>
  </si>
  <si>
    <t>فوم دقيق اسمر</t>
  </si>
  <si>
    <t>خميرة</t>
  </si>
  <si>
    <t>باكنج بودر</t>
  </si>
  <si>
    <t>سمبوسة</t>
  </si>
  <si>
    <t>JAZEERA ALBAHARAIN</t>
  </si>
  <si>
    <t>فلتر زيت تويوتا</t>
  </si>
  <si>
    <t>زيت بتراس 50-20</t>
  </si>
  <si>
    <t>الركن النابلسي</t>
  </si>
  <si>
    <t>Olvic supper power</t>
  </si>
  <si>
    <t>انتاج البلد</t>
  </si>
  <si>
    <t>شطافة ارضيات</t>
  </si>
  <si>
    <t>فخد بدون عظم استرالي مجمد</t>
  </si>
  <si>
    <t>ثوب سايد مبرد برازيلي</t>
  </si>
  <si>
    <t>لمبتكرات الحديثة</t>
  </si>
  <si>
    <t>ماكس رول</t>
  </si>
  <si>
    <t>أكياس بلدية</t>
  </si>
  <si>
    <t>خدمات غاز عليا والسليمانية</t>
  </si>
  <si>
    <t>استيكرات</t>
  </si>
  <si>
    <t>ليبارا</t>
  </si>
  <si>
    <t>تاكسي</t>
  </si>
  <si>
    <t>سعود الحمالي</t>
  </si>
  <si>
    <t>روازا الرياض</t>
  </si>
  <si>
    <t>سعد غشام العتيبي</t>
  </si>
  <si>
    <t>المشعان</t>
  </si>
  <si>
    <t>بطانية</t>
  </si>
  <si>
    <t>3 نجوم</t>
  </si>
  <si>
    <t xml:space="preserve">compressar 3/4 </t>
  </si>
  <si>
    <t>condactor 2 pol</t>
  </si>
  <si>
    <t>filter italy</t>
  </si>
  <si>
    <t>ترفل المحدودة</t>
  </si>
  <si>
    <t>لي غاز</t>
  </si>
  <si>
    <t>تلال السلمانية للتجارة</t>
  </si>
  <si>
    <t xml:space="preserve">بخاخ  </t>
  </si>
  <si>
    <t>ليا  خروف نعيمي</t>
  </si>
  <si>
    <t>خبز  partha</t>
  </si>
  <si>
    <t>شركة سيد الخبازين</t>
  </si>
  <si>
    <t>جاد للتجارة اجرة عامة</t>
  </si>
  <si>
    <t>الصقر الرمادي</t>
  </si>
  <si>
    <t>العاذرية الدولية</t>
  </si>
  <si>
    <t>روازن الدولية</t>
  </si>
  <si>
    <t>أبريل</t>
  </si>
  <si>
    <t>منفخات ارز</t>
  </si>
  <si>
    <t>ماجيك توابل الشواء</t>
  </si>
  <si>
    <t>أسواق التميمي</t>
  </si>
  <si>
    <t>مايو</t>
  </si>
  <si>
    <t>نيدو الدعم</t>
  </si>
  <si>
    <t>لولو</t>
  </si>
  <si>
    <t>دقيق</t>
  </si>
  <si>
    <t xml:space="preserve">زبادي </t>
  </si>
  <si>
    <t>TIKKAWAY</t>
  </si>
  <si>
    <t>ساندوتش</t>
  </si>
  <si>
    <t>محل صفاء دبي للكماليات</t>
  </si>
  <si>
    <t>وصف الزعفران</t>
  </si>
  <si>
    <t>سرايا البطحاء للكماليات</t>
  </si>
  <si>
    <t>دجاج</t>
  </si>
  <si>
    <t>عبدالله حمدان</t>
  </si>
  <si>
    <t>سيخ تميس</t>
  </si>
  <si>
    <t xml:space="preserve">محال هشام عبدالخالق </t>
  </si>
  <si>
    <t>سيخ كباب</t>
  </si>
  <si>
    <t>مخبازة تميس</t>
  </si>
  <si>
    <t>بنزين</t>
  </si>
  <si>
    <t>WIFI</t>
  </si>
  <si>
    <t xml:space="preserve">كارفور </t>
  </si>
  <si>
    <t>مناشف للمطبخ</t>
  </si>
  <si>
    <t>ميهران</t>
  </si>
  <si>
    <t>كاليكو الدجاج</t>
  </si>
  <si>
    <t xml:space="preserve">فرشلي كاتشب </t>
  </si>
  <si>
    <t>خبز مفرود</t>
  </si>
  <si>
    <t>شابورة</t>
  </si>
  <si>
    <t>رول</t>
  </si>
  <si>
    <t>قفاز فانيل</t>
  </si>
  <si>
    <t xml:space="preserve">شركة كوكا كولا </t>
  </si>
  <si>
    <t>مشروبات  غازية</t>
  </si>
  <si>
    <t xml:space="preserve">موسسة عادل محمد علي وصل الاحمدي </t>
  </si>
  <si>
    <t>رول تغليف</t>
  </si>
  <si>
    <t xml:space="preserve">موسسة بن ليث </t>
  </si>
  <si>
    <t>قطع غيار سيارات</t>
  </si>
  <si>
    <t>ورشة الدهام لصيانة السيارات</t>
  </si>
  <si>
    <t>شركة منيف الأولى التجارية</t>
  </si>
  <si>
    <t>رديتر موية</t>
  </si>
  <si>
    <t>نيدو المدعم</t>
  </si>
  <si>
    <t>شركة النهدي الطبية</t>
  </si>
  <si>
    <t>أغراض</t>
  </si>
  <si>
    <t xml:space="preserve">فيش </t>
  </si>
  <si>
    <t>شركة ادم الطبية</t>
  </si>
  <si>
    <t>شركة رعاية الأولية</t>
  </si>
  <si>
    <t>transit</t>
  </si>
  <si>
    <t>زنجبيل</t>
  </si>
  <si>
    <t>التميمي</t>
  </si>
  <si>
    <t>صيانة سخان</t>
  </si>
  <si>
    <t>رمز الشهامة</t>
  </si>
  <si>
    <t>شركة ناصر فالح</t>
  </si>
  <si>
    <t>شركة ترفل</t>
  </si>
  <si>
    <t>امازون</t>
  </si>
  <si>
    <t>نجوم العرب</t>
  </si>
  <si>
    <t>جاد للاجرة</t>
  </si>
  <si>
    <t>موسسة عبدالله العريفي للاجرة العامة</t>
  </si>
  <si>
    <t xml:space="preserve">تصوير </t>
  </si>
  <si>
    <t>شركة جاد</t>
  </si>
  <si>
    <t>محل انارة المدينة</t>
  </si>
  <si>
    <t>ديزل</t>
  </si>
  <si>
    <t>محطة بتروزيد</t>
  </si>
  <si>
    <t>شركة نجوم العرب</t>
  </si>
  <si>
    <t>نقاء الأعشاب</t>
  </si>
  <si>
    <t>دنيا العربه</t>
  </si>
  <si>
    <t xml:space="preserve">محل هشام عبدالخالق </t>
  </si>
  <si>
    <t>تنور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</si>
</sst>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* #,##0.00\ &quot;ر.س.‏&quot;_-;\-* #,##0.00\ &quot;ر.س.‏&quot;_-;_-* &quot;-&quot;??\ &quot;ر.س.‏&quot;_-;_-@_-"/>
    <numFmt numFmtId="164" formatCode="_(* #,##0.00_);_(* \(#,##0.00\);_(* &quot;-&quot;??_);_(@_)"/>
    <numFmt numFmtId="165" formatCode="0.000"/>
    <numFmt numFmtId="166" formatCode="_-* #,##0.00\ _ر_._س_._‏_-;\-* #,##0.00\ _ر_._س_._‏_-;_-* &quot;-&quot;??\ _ر_._س_._‏_-;_-@_-"/>
    <numFmt numFmtId="167" formatCode="#,##0.0"/>
    <numFmt numFmtId="168" formatCode="0.0"/>
    <numFmt numFmtId="169" formatCode="yyyy\-mm\-dd;@"/>
    <numFmt numFmtId="170" formatCode="[$-409]d\-mmm;@"/>
  </numFmts>
  <fonts count="33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2"/>
      <color theme="0"/>
      <name val="Arial"/>
      <family val="2"/>
      <scheme val="minor"/>
    </font>
    <font>
      <b/>
      <sz val="14"/>
      <color theme="0"/>
      <name val="Arial"/>
      <family val="2"/>
      <scheme val="minor"/>
    </font>
    <font>
      <sz val="14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12"/>
      <color theme="0"/>
      <name val="Arial"/>
      <family val="2"/>
      <scheme val="minor"/>
    </font>
    <font>
      <b/>
      <sz val="20"/>
      <color theme="0"/>
      <name val="Arial"/>
      <family val="2"/>
      <scheme val="minor"/>
    </font>
    <font>
      <b/>
      <sz val="16"/>
      <color theme="0"/>
      <name val="Arial"/>
      <family val="2"/>
      <scheme val="minor"/>
    </font>
    <font>
      <sz val="14"/>
      <color theme="0"/>
      <name val="Arial"/>
      <family val="2"/>
      <scheme val="minor"/>
    </font>
    <font>
      <sz val="11"/>
      <color theme="1"/>
      <name val="Arial"/>
      <family val="2"/>
      <charset val="178"/>
      <scheme val="minor"/>
    </font>
    <font>
      <b/>
      <sz val="22"/>
      <color theme="0"/>
      <name val="Arial"/>
      <family val="2"/>
      <scheme val="minor"/>
    </font>
    <font>
      <b/>
      <sz val="11"/>
      <color theme="2" tint="-0.89999084444715716"/>
      <name val="Arial"/>
      <family val="2"/>
      <scheme val="minor"/>
    </font>
    <font>
      <b/>
      <sz val="15"/>
      <color theme="0"/>
      <name val="Arial"/>
      <family val="2"/>
      <scheme val="minor"/>
    </font>
    <font>
      <sz val="18"/>
      <color theme="1"/>
      <name val="Arial"/>
      <family val="2"/>
      <scheme val="minor"/>
    </font>
    <font>
      <sz val="18"/>
      <color theme="0"/>
      <name val="Arial"/>
      <family val="2"/>
      <scheme val="minor"/>
    </font>
    <font>
      <sz val="11"/>
      <color theme="1"/>
      <name val="Arial Black"/>
      <family val="2"/>
    </font>
    <font>
      <b/>
      <sz val="14"/>
      <color theme="0"/>
      <name val="Arial Black"/>
      <family val="2"/>
    </font>
    <font>
      <sz val="11"/>
      <color rgb="FFFF0000"/>
      <name val="Arial Black"/>
      <family val="2"/>
    </font>
    <font>
      <b/>
      <sz val="14"/>
      <color theme="1"/>
      <name val="Arial Black"/>
      <family val="2"/>
    </font>
    <font>
      <sz val="11"/>
      <color theme="0"/>
      <name val="Arial Black"/>
      <family val="2"/>
    </font>
    <font>
      <sz val="12"/>
      <color theme="1"/>
      <name val="Arial"/>
      <family val="2"/>
    </font>
    <font>
      <sz val="14"/>
      <color theme="0"/>
      <name val="Arial"/>
      <family val="2"/>
    </font>
    <font>
      <sz val="11"/>
      <name val="Arial Black"/>
      <family val="2"/>
    </font>
    <font>
      <b/>
      <sz val="12"/>
      <color theme="0"/>
      <name val="Arial Black"/>
      <family val="2"/>
    </font>
    <font>
      <b/>
      <sz val="18"/>
      <color theme="0"/>
      <name val="Arial"/>
      <family val="2"/>
      <scheme val="minor"/>
    </font>
    <font>
      <sz val="11"/>
      <name val="Arial"/>
      <family val="2"/>
      <scheme val="minor"/>
    </font>
    <font>
      <sz val="16"/>
      <color theme="0"/>
      <name val="Arial"/>
      <family val="2"/>
      <scheme val="minor"/>
    </font>
    <font>
      <sz val="8"/>
      <name val="Arial"/>
      <family val="2"/>
      <scheme val="minor"/>
    </font>
    <font>
      <sz val="10"/>
      <color theme="1"/>
      <name val="Arial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3" fillId="0" borderId="0"/>
    <xf numFmtId="0" fontId="19" fillId="0" borderId="0"/>
  </cellStyleXfs>
  <cellXfs count="29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0" fillId="0" borderId="5" xfId="0" applyBorder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2" fontId="4" fillId="0" borderId="1" xfId="0" applyNumberFormat="1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0" fillId="0" borderId="7" xfId="0" applyBorder="1"/>
    <xf numFmtId="165" fontId="4" fillId="3" borderId="1" xfId="0" applyNumberFormat="1" applyFont="1" applyFill="1" applyBorder="1" applyAlignment="1">
      <alignment horizontal="center"/>
    </xf>
    <xf numFmtId="165" fontId="4" fillId="3" borderId="6" xfId="0" applyNumberFormat="1" applyFont="1" applyFill="1" applyBorder="1" applyAlignment="1">
      <alignment horizontal="center"/>
    </xf>
    <xf numFmtId="165" fontId="4" fillId="3" borderId="4" xfId="1" applyNumberFormat="1" applyFont="1" applyFill="1" applyBorder="1" applyAlignment="1">
      <alignment horizontal="center"/>
    </xf>
    <xf numFmtId="165" fontId="4" fillId="3" borderId="1" xfId="0" applyNumberFormat="1" applyFont="1" applyFill="1" applyBorder="1" applyAlignment="1">
      <alignment horizontal="center" vertical="center"/>
    </xf>
    <xf numFmtId="165" fontId="4" fillId="3" borderId="6" xfId="0" applyNumberFormat="1" applyFont="1" applyFill="1" applyBorder="1" applyAlignment="1">
      <alignment horizontal="center" vertical="center"/>
    </xf>
    <xf numFmtId="165" fontId="4" fillId="3" borderId="4" xfId="1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4" fillId="0" borderId="6" xfId="0" applyNumberFormat="1" applyFon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165" fontId="4" fillId="0" borderId="4" xfId="1" applyNumberFormat="1" applyFont="1" applyFill="1" applyBorder="1" applyAlignment="1">
      <alignment horizontal="center"/>
    </xf>
    <xf numFmtId="2" fontId="0" fillId="0" borderId="0" xfId="0" applyNumberFormat="1"/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9" fontId="3" fillId="2" borderId="4" xfId="1" applyFont="1" applyFill="1" applyBorder="1" applyAlignment="1">
      <alignment horizontal="center" vertical="center" wrapText="1"/>
    </xf>
    <xf numFmtId="9" fontId="4" fillId="3" borderId="4" xfId="1" applyFont="1" applyFill="1" applyBorder="1" applyAlignment="1">
      <alignment horizontal="center"/>
    </xf>
    <xf numFmtId="9" fontId="4" fillId="0" borderId="4" xfId="1" applyFont="1" applyFill="1" applyBorder="1" applyAlignment="1">
      <alignment horizontal="center"/>
    </xf>
    <xf numFmtId="9" fontId="4" fillId="3" borderId="4" xfId="1" applyFont="1" applyFill="1" applyBorder="1" applyAlignment="1">
      <alignment horizontal="center" vertical="center"/>
    </xf>
    <xf numFmtId="9" fontId="0" fillId="0" borderId="5" xfId="1" applyFont="1" applyBorder="1"/>
    <xf numFmtId="9" fontId="3" fillId="2" borderId="1" xfId="1" applyFont="1" applyFill="1" applyBorder="1" applyAlignment="1">
      <alignment horizontal="center" vertical="center" wrapText="1"/>
    </xf>
    <xf numFmtId="9" fontId="4" fillId="3" borderId="1" xfId="1" applyFont="1" applyFill="1" applyBorder="1" applyAlignment="1">
      <alignment horizontal="center"/>
    </xf>
    <xf numFmtId="9" fontId="4" fillId="0" borderId="1" xfId="1" applyFont="1" applyBorder="1" applyAlignment="1">
      <alignment horizontal="center"/>
    </xf>
    <xf numFmtId="9" fontId="4" fillId="3" borderId="1" xfId="1" applyFont="1" applyFill="1" applyBorder="1" applyAlignment="1">
      <alignment horizontal="center" vertical="center"/>
    </xf>
    <xf numFmtId="9" fontId="0" fillId="0" borderId="0" xfId="1" applyFont="1"/>
    <xf numFmtId="0" fontId="0" fillId="5" borderId="1" xfId="0" applyFill="1" applyBorder="1"/>
    <xf numFmtId="0" fontId="0" fillId="0" borderId="1" xfId="0" applyBorder="1"/>
    <xf numFmtId="0" fontId="0" fillId="5" borderId="0" xfId="0" applyFill="1"/>
    <xf numFmtId="0" fontId="2" fillId="5" borderId="1" xfId="0" applyFont="1" applyFill="1" applyBorder="1"/>
    <xf numFmtId="0" fontId="0" fillId="6" borderId="1" xfId="0" applyFill="1" applyBorder="1"/>
    <xf numFmtId="2" fontId="0" fillId="6" borderId="1" xfId="0" applyNumberFormat="1" applyFill="1" applyBorder="1"/>
    <xf numFmtId="0" fontId="2" fillId="0" borderId="0" xfId="0" applyFont="1"/>
    <xf numFmtId="0" fontId="0" fillId="7" borderId="1" xfId="0" applyFill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/>
    </xf>
    <xf numFmtId="9" fontId="0" fillId="8" borderId="1" xfId="1" applyFont="1" applyFill="1" applyBorder="1" applyAlignment="1">
      <alignment horizontal="center" vertical="center"/>
    </xf>
    <xf numFmtId="9" fontId="0" fillId="9" borderId="1" xfId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4" fillId="5" borderId="1" xfId="0" applyFont="1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13" borderId="1" xfId="0" applyFill="1" applyBorder="1" applyAlignment="1">
      <alignment horizontal="center" vertical="center" wrapText="1"/>
    </xf>
    <xf numFmtId="2" fontId="0" fillId="13" borderId="1" xfId="0" applyNumberForma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9" fontId="0" fillId="0" borderId="1" xfId="1" applyFont="1" applyFill="1" applyBorder="1" applyAlignment="1">
      <alignment horizontal="center"/>
    </xf>
    <xf numFmtId="9" fontId="0" fillId="0" borderId="1" xfId="1" applyFont="1" applyFill="1" applyBorder="1" applyAlignment="1">
      <alignment horizontal="center" vertical="center"/>
    </xf>
    <xf numFmtId="165" fontId="4" fillId="8" borderId="1" xfId="0" applyNumberFormat="1" applyFont="1" applyFill="1" applyBorder="1" applyAlignment="1">
      <alignment horizontal="center"/>
    </xf>
    <xf numFmtId="165" fontId="4" fillId="8" borderId="6" xfId="0" applyNumberFormat="1" applyFont="1" applyFill="1" applyBorder="1" applyAlignment="1">
      <alignment horizontal="center"/>
    </xf>
    <xf numFmtId="0" fontId="0" fillId="8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4" fillId="17" borderId="0" xfId="0" applyFont="1" applyFill="1"/>
    <xf numFmtId="2" fontId="4" fillId="17" borderId="0" xfId="0" applyNumberFormat="1" applyFont="1" applyFill="1"/>
    <xf numFmtId="2" fontId="4" fillId="17" borderId="0" xfId="0" applyNumberFormat="1" applyFont="1" applyFill="1" applyAlignment="1">
      <alignment horizontal="center"/>
    </xf>
    <xf numFmtId="0" fontId="4" fillId="17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 wrapText="1"/>
    </xf>
    <xf numFmtId="2" fontId="4" fillId="0" borderId="0" xfId="0" applyNumberFormat="1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1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13" fillId="0" borderId="0" xfId="2"/>
    <xf numFmtId="0" fontId="13" fillId="0" borderId="1" xfId="2" applyBorder="1" applyAlignment="1">
      <alignment horizontal="center" vertical="center"/>
    </xf>
    <xf numFmtId="0" fontId="13" fillId="0" borderId="0" xfId="2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0" fontId="15" fillId="2" borderId="17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13" borderId="1" xfId="2" applyFont="1" applyFill="1" applyBorder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44" fontId="0" fillId="0" borderId="16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21" fillId="0" borderId="0" xfId="3" applyFont="1"/>
    <xf numFmtId="3" fontId="22" fillId="21" borderId="1" xfId="3" applyNumberFormat="1" applyFont="1" applyFill="1" applyBorder="1" applyAlignment="1">
      <alignment horizontal="center" vertical="center" wrapText="1"/>
    </xf>
    <xf numFmtId="167" fontId="3" fillId="21" borderId="1" xfId="3" applyNumberFormat="1" applyFont="1" applyFill="1" applyBorder="1" applyAlignment="1">
      <alignment horizontal="center" vertical="center" wrapText="1"/>
    </xf>
    <xf numFmtId="3" fontId="3" fillId="21" borderId="1" xfId="3" applyNumberFormat="1" applyFont="1" applyFill="1" applyBorder="1" applyAlignment="1">
      <alignment horizontal="center" vertical="center" wrapText="1"/>
    </xf>
    <xf numFmtId="0" fontId="23" fillId="0" borderId="0" xfId="3" applyFont="1"/>
    <xf numFmtId="3" fontId="24" fillId="6" borderId="1" xfId="3" applyNumberFormat="1" applyFont="1" applyFill="1" applyBorder="1" applyAlignment="1">
      <alignment horizontal="center" vertical="center" wrapText="1"/>
    </xf>
    <xf numFmtId="4" fontId="24" fillId="6" borderId="1" xfId="3" applyNumberFormat="1" applyFont="1" applyFill="1" applyBorder="1" applyAlignment="1">
      <alignment horizontal="center" vertical="center"/>
    </xf>
    <xf numFmtId="168" fontId="4" fillId="0" borderId="1" xfId="3" applyNumberFormat="1" applyFont="1" applyBorder="1" applyAlignment="1">
      <alignment horizontal="center" vertical="center"/>
    </xf>
    <xf numFmtId="3" fontId="24" fillId="22" borderId="1" xfId="3" applyNumberFormat="1" applyFont="1" applyFill="1" applyBorder="1" applyAlignment="1">
      <alignment horizontal="center" vertical="center" wrapText="1"/>
    </xf>
    <xf numFmtId="4" fontId="24" fillId="22" borderId="1" xfId="3" applyNumberFormat="1" applyFont="1" applyFill="1" applyBorder="1" applyAlignment="1">
      <alignment horizontal="center" vertical="center"/>
    </xf>
    <xf numFmtId="168" fontId="4" fillId="22" borderId="1" xfId="3" applyNumberFormat="1" applyFont="1" applyFill="1" applyBorder="1" applyAlignment="1">
      <alignment horizontal="center" vertical="center"/>
    </xf>
    <xf numFmtId="0" fontId="23" fillId="0" borderId="0" xfId="3" applyFont="1" applyAlignment="1">
      <alignment horizontal="center" vertical="center"/>
    </xf>
    <xf numFmtId="168" fontId="23" fillId="0" borderId="0" xfId="3" applyNumberFormat="1" applyFont="1" applyAlignment="1">
      <alignment horizontal="center" vertical="center"/>
    </xf>
    <xf numFmtId="4" fontId="23" fillId="0" borderId="0" xfId="3" applyNumberFormat="1" applyFont="1" applyAlignment="1">
      <alignment horizontal="center" vertical="center"/>
    </xf>
    <xf numFmtId="3" fontId="24" fillId="0" borderId="1" xfId="3" applyNumberFormat="1" applyFont="1" applyBorder="1" applyAlignment="1">
      <alignment horizontal="center" vertical="center" wrapText="1"/>
    </xf>
    <xf numFmtId="4" fontId="24" fillId="0" borderId="1" xfId="3" applyNumberFormat="1" applyFont="1" applyBorder="1" applyAlignment="1">
      <alignment horizontal="center" vertical="center"/>
    </xf>
    <xf numFmtId="3" fontId="25" fillId="23" borderId="2" xfId="3" applyNumberFormat="1" applyFont="1" applyFill="1" applyBorder="1" applyAlignment="1">
      <alignment horizontal="center" vertical="center" wrapText="1"/>
    </xf>
    <xf numFmtId="3" fontId="25" fillId="23" borderId="1" xfId="3" applyNumberFormat="1" applyFont="1" applyFill="1" applyBorder="1" applyAlignment="1">
      <alignment horizontal="center" vertical="center" wrapText="1"/>
    </xf>
    <xf numFmtId="168" fontId="12" fillId="23" borderId="1" xfId="3" applyNumberFormat="1" applyFont="1" applyFill="1" applyBorder="1" applyAlignment="1">
      <alignment horizontal="center" vertical="center"/>
    </xf>
    <xf numFmtId="0" fontId="19" fillId="0" borderId="0" xfId="3"/>
    <xf numFmtId="167" fontId="4" fillId="0" borderId="0" xfId="3" applyNumberFormat="1" applyFont="1"/>
    <xf numFmtId="0" fontId="4" fillId="0" borderId="0" xfId="3" applyFont="1"/>
    <xf numFmtId="0" fontId="26" fillId="0" borderId="0" xfId="3" applyFont="1"/>
    <xf numFmtId="0" fontId="26" fillId="0" borderId="1" xfId="3" applyFont="1" applyBorder="1" applyAlignment="1">
      <alignment horizontal="center" vertical="center"/>
    </xf>
    <xf numFmtId="3" fontId="26" fillId="0" borderId="1" xfId="3" applyNumberFormat="1" applyFont="1" applyBorder="1" applyAlignment="1">
      <alignment horizontal="center" vertical="center"/>
    </xf>
    <xf numFmtId="0" fontId="0" fillId="14" borderId="1" xfId="0" applyFill="1" applyBorder="1" applyAlignment="1">
      <alignment horizontal="center" vertical="center" wrapText="1"/>
    </xf>
    <xf numFmtId="0" fontId="9" fillId="4" borderId="0" xfId="0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2" fontId="4" fillId="11" borderId="1" xfId="0" applyNumberFormat="1" applyFont="1" applyFill="1" applyBorder="1" applyAlignment="1">
      <alignment horizontal="center" vertical="center"/>
    </xf>
    <xf numFmtId="2" fontId="4" fillId="5" borderId="1" xfId="0" applyNumberFormat="1" applyFont="1" applyFill="1" applyBorder="1" applyAlignment="1">
      <alignment horizontal="center" vertical="center"/>
    </xf>
    <xf numFmtId="2" fontId="4" fillId="5" borderId="1" xfId="0" applyNumberFormat="1" applyFont="1" applyFill="1" applyBorder="1" applyAlignment="1">
      <alignment horizontal="center" vertical="center" wrapText="1"/>
    </xf>
    <xf numFmtId="2" fontId="4" fillId="12" borderId="1" xfId="0" applyNumberFormat="1" applyFont="1" applyFill="1" applyBorder="1" applyAlignment="1">
      <alignment horizontal="center" vertical="center"/>
    </xf>
    <xf numFmtId="2" fontId="17" fillId="0" borderId="0" xfId="0" applyNumberFormat="1" applyFont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3" fillId="17" borderId="21" xfId="0" applyFont="1" applyFill="1" applyBorder="1" applyAlignment="1">
      <alignment horizontal="center" vertical="center" wrapText="1"/>
    </xf>
    <xf numFmtId="0" fontId="3" fillId="17" borderId="23" xfId="0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0" fillId="22" borderId="0" xfId="0" applyFill="1" applyAlignment="1">
      <alignment horizontal="center" vertical="center"/>
    </xf>
    <xf numFmtId="0" fontId="3" fillId="22" borderId="27" xfId="0" applyFont="1" applyFill="1" applyBorder="1" applyAlignment="1">
      <alignment horizontal="center" vertical="center"/>
    </xf>
    <xf numFmtId="164" fontId="0" fillId="0" borderId="12" xfId="1" applyNumberFormat="1" applyFont="1" applyBorder="1" applyAlignment="1">
      <alignment horizontal="center" vertical="center"/>
    </xf>
    <xf numFmtId="164" fontId="0" fillId="0" borderId="22" xfId="1" applyNumberFormat="1" applyFont="1" applyBorder="1" applyAlignment="1">
      <alignment horizontal="center" vertical="center"/>
    </xf>
    <xf numFmtId="169" fontId="0" fillId="0" borderId="12" xfId="0" applyNumberForma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3" fontId="0" fillId="19" borderId="1" xfId="0" applyNumberFormat="1" applyFill="1" applyBorder="1" applyAlignment="1">
      <alignment horizontal="center" vertical="center"/>
    </xf>
    <xf numFmtId="2" fontId="0" fillId="13" borderId="0" xfId="0" applyNumberFormat="1" applyFill="1" applyAlignment="1">
      <alignment horizontal="center" vertical="center"/>
    </xf>
    <xf numFmtId="169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9" fontId="15" fillId="2" borderId="12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170" fontId="6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170" fontId="0" fillId="0" borderId="1" xfId="0" applyNumberFormat="1" applyBorder="1" applyAlignment="1">
      <alignment horizontal="center" vertical="center"/>
    </xf>
    <xf numFmtId="170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164" fontId="0" fillId="0" borderId="1" xfId="0" applyNumberFormat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0" fillId="0" borderId="0" xfId="0" applyNumberFormat="1"/>
    <xf numFmtId="0" fontId="0" fillId="0" borderId="11" xfId="0" applyBorder="1" applyAlignment="1">
      <alignment horizontal="center"/>
    </xf>
    <xf numFmtId="0" fontId="32" fillId="0" borderId="1" xfId="0" applyFont="1" applyBorder="1" applyAlignment="1">
      <alignment horizontal="center"/>
    </xf>
    <xf numFmtId="0" fontId="2" fillId="10" borderId="1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2" fontId="0" fillId="10" borderId="6" xfId="0" applyNumberForma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2" fontId="0" fillId="10" borderId="8" xfId="0" applyNumberFormat="1" applyFill="1" applyBorder="1" applyAlignment="1">
      <alignment horizontal="center" vertical="center"/>
    </xf>
    <xf numFmtId="2" fontId="0" fillId="10" borderId="3" xfId="0" applyNumberFormat="1" applyFill="1" applyBorder="1" applyAlignment="1">
      <alignment horizontal="center" vertical="center"/>
    </xf>
    <xf numFmtId="2" fontId="0" fillId="10" borderId="9" xfId="0" applyNumberFormat="1" applyFill="1" applyBorder="1" applyAlignment="1">
      <alignment horizontal="center" vertical="center"/>
    </xf>
    <xf numFmtId="9" fontId="0" fillId="10" borderId="8" xfId="1" applyFont="1" applyFill="1" applyBorder="1" applyAlignment="1">
      <alignment horizontal="center" vertical="center"/>
    </xf>
    <xf numFmtId="9" fontId="0" fillId="10" borderId="3" xfId="1" applyFont="1" applyFill="1" applyBorder="1" applyAlignment="1">
      <alignment horizontal="center" vertical="center"/>
    </xf>
    <xf numFmtId="9" fontId="0" fillId="10" borderId="9" xfId="1" applyFont="1" applyFill="1" applyBorder="1" applyAlignment="1">
      <alignment horizontal="center" vertical="center"/>
    </xf>
    <xf numFmtId="2" fontId="0" fillId="2" borderId="8" xfId="0" applyNumberFormat="1" applyFill="1" applyBorder="1" applyAlignment="1">
      <alignment horizontal="center" vertical="center"/>
    </xf>
    <xf numFmtId="2" fontId="0" fillId="2" borderId="3" xfId="0" applyNumberFormat="1" applyFill="1" applyBorder="1" applyAlignment="1">
      <alignment horizontal="center" vertical="center"/>
    </xf>
    <xf numFmtId="2" fontId="0" fillId="2" borderId="9" xfId="0" applyNumberFormat="1" applyFill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2" fontId="0" fillId="2" borderId="6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9" fontId="0" fillId="2" borderId="8" xfId="1" applyFont="1" applyFill="1" applyBorder="1" applyAlignment="1">
      <alignment horizontal="center" vertical="center"/>
    </xf>
    <xf numFmtId="9" fontId="0" fillId="2" borderId="3" xfId="1" applyFont="1" applyFill="1" applyBorder="1" applyAlignment="1">
      <alignment horizontal="center" vertical="center"/>
    </xf>
    <xf numFmtId="9" fontId="0" fillId="2" borderId="9" xfId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9" fontId="0" fillId="0" borderId="8" xfId="1" applyFont="1" applyFill="1" applyBorder="1" applyAlignment="1">
      <alignment horizontal="center" vertical="center"/>
    </xf>
    <xf numFmtId="9" fontId="0" fillId="0" borderId="3" xfId="1" applyFont="1" applyFill="1" applyBorder="1" applyAlignment="1">
      <alignment horizontal="center" vertical="center"/>
    </xf>
    <xf numFmtId="9" fontId="0" fillId="0" borderId="9" xfId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4" fillId="17" borderId="1" xfId="0" applyFont="1" applyFill="1" applyBorder="1" applyAlignment="1">
      <alignment horizontal="right" vertical="center" wrapText="1" readingOrder="2"/>
    </xf>
    <xf numFmtId="0" fontId="4" fillId="17" borderId="1" xfId="0" applyFont="1" applyFill="1" applyBorder="1" applyAlignment="1">
      <alignment horizontal="center"/>
    </xf>
    <xf numFmtId="0" fontId="4" fillId="17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 readingOrder="2"/>
    </xf>
    <xf numFmtId="0" fontId="4" fillId="9" borderId="0" xfId="0" applyFont="1" applyFill="1" applyAlignment="1">
      <alignment horizontal="center"/>
    </xf>
    <xf numFmtId="0" fontId="4" fillId="15" borderId="0" xfId="0" applyFont="1" applyFill="1" applyAlignment="1">
      <alignment horizontal="center"/>
    </xf>
    <xf numFmtId="0" fontId="9" fillId="16" borderId="0" xfId="0" applyFont="1" applyFill="1" applyAlignment="1">
      <alignment horizontal="center"/>
    </xf>
    <xf numFmtId="0" fontId="10" fillId="4" borderId="1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3" fillId="1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/>
    </xf>
    <xf numFmtId="0" fontId="4" fillId="14" borderId="0" xfId="0" applyFont="1" applyFill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3" fillId="22" borderId="7" xfId="0" applyFont="1" applyFill="1" applyBorder="1" applyAlignment="1">
      <alignment horizontal="center" vertical="center"/>
    </xf>
    <xf numFmtId="0" fontId="3" fillId="22" borderId="0" xfId="0" applyFont="1" applyFill="1" applyAlignment="1">
      <alignment horizontal="center" vertical="center"/>
    </xf>
    <xf numFmtId="0" fontId="3" fillId="22" borderId="5" xfId="0" applyFont="1" applyFill="1" applyBorder="1" applyAlignment="1">
      <alignment horizontal="center" vertical="center"/>
    </xf>
    <xf numFmtId="0" fontId="11" fillId="4" borderId="25" xfId="0" applyFont="1" applyFill="1" applyBorder="1" applyAlignment="1">
      <alignment horizontal="center" vertical="center"/>
    </xf>
    <xf numFmtId="0" fontId="11" fillId="4" borderId="26" xfId="0" applyFont="1" applyFill="1" applyBorder="1" applyAlignment="1">
      <alignment horizontal="center" vertical="center"/>
    </xf>
    <xf numFmtId="0" fontId="0" fillId="22" borderId="24" xfId="0" applyFill="1" applyBorder="1" applyAlignment="1">
      <alignment horizontal="center" vertical="center"/>
    </xf>
    <xf numFmtId="0" fontId="0" fillId="22" borderId="18" xfId="0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16" fillId="4" borderId="15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28" fillId="4" borderId="1" xfId="2" applyFont="1" applyFill="1" applyBorder="1" applyAlignment="1">
      <alignment horizontal="center" vertical="center"/>
    </xf>
    <xf numFmtId="0" fontId="3" fillId="13" borderId="2" xfId="2" applyFont="1" applyFill="1" applyBorder="1" applyAlignment="1">
      <alignment horizontal="center" vertical="center"/>
    </xf>
    <xf numFmtId="0" fontId="3" fillId="13" borderId="3" xfId="2" applyFont="1" applyFill="1" applyBorder="1" applyAlignment="1">
      <alignment horizontal="center" vertical="center"/>
    </xf>
    <xf numFmtId="0" fontId="3" fillId="13" borderId="16" xfId="2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0" borderId="1" xfId="0" applyFill="1" applyBorder="1" applyAlignment="1">
      <alignment horizontal="center" vertical="center"/>
    </xf>
    <xf numFmtId="0" fontId="11" fillId="4" borderId="14" xfId="0" applyFont="1" applyFill="1" applyBorder="1" applyAlignment="1">
      <alignment horizontal="center" vertical="center"/>
    </xf>
    <xf numFmtId="0" fontId="11" fillId="4" borderId="15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18" fillId="4" borderId="15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/>
    </xf>
    <xf numFmtId="0" fontId="7" fillId="11" borderId="3" xfId="0" applyFont="1" applyFill="1" applyBorder="1" applyAlignment="1">
      <alignment horizontal="center" vertical="center"/>
    </xf>
    <xf numFmtId="0" fontId="7" fillId="11" borderId="16" xfId="0" applyFont="1" applyFill="1" applyBorder="1" applyAlignment="1">
      <alignment horizontal="center" vertical="center"/>
    </xf>
    <xf numFmtId="169" fontId="7" fillId="11" borderId="2" xfId="0" applyNumberFormat="1" applyFont="1" applyFill="1" applyBorder="1" applyAlignment="1">
      <alignment horizontal="center" vertical="center" wrapText="1"/>
    </xf>
    <xf numFmtId="169" fontId="7" fillId="11" borderId="16" xfId="0" applyNumberFormat="1" applyFont="1" applyFill="1" applyBorder="1" applyAlignment="1">
      <alignment horizontal="center" vertical="center" wrapText="1"/>
    </xf>
    <xf numFmtId="2" fontId="7" fillId="6" borderId="2" xfId="0" applyNumberFormat="1" applyFont="1" applyFill="1" applyBorder="1" applyAlignment="1">
      <alignment horizontal="center" vertical="center" wrapText="1"/>
    </xf>
    <xf numFmtId="0" fontId="7" fillId="6" borderId="16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1" fillId="4" borderId="16" xfId="0" applyFont="1" applyFill="1" applyBorder="1" applyAlignment="1">
      <alignment horizontal="center" vertical="center"/>
    </xf>
    <xf numFmtId="169" fontId="12" fillId="4" borderId="1" xfId="0" applyNumberFormat="1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3" fontId="24" fillId="6" borderId="10" xfId="3" applyNumberFormat="1" applyFont="1" applyFill="1" applyBorder="1" applyAlignment="1">
      <alignment horizontal="center" vertical="center" wrapText="1"/>
    </xf>
    <xf numFmtId="3" fontId="24" fillId="6" borderId="11" xfId="3" applyNumberFormat="1" applyFont="1" applyFill="1" applyBorder="1" applyAlignment="1">
      <alignment horizontal="center" vertical="center" wrapText="1"/>
    </xf>
    <xf numFmtId="3" fontId="24" fillId="6" borderId="12" xfId="3" applyNumberFormat="1" applyFont="1" applyFill="1" applyBorder="1" applyAlignment="1">
      <alignment horizontal="center" vertical="center" wrapText="1"/>
    </xf>
    <xf numFmtId="0" fontId="27" fillId="4" borderId="1" xfId="3" applyFont="1" applyFill="1" applyBorder="1" applyAlignment="1">
      <alignment horizontal="center"/>
    </xf>
    <xf numFmtId="0" fontId="20" fillId="4" borderId="0" xfId="3" applyFont="1" applyFill="1" applyAlignment="1">
      <alignment horizontal="center" vertical="center"/>
    </xf>
    <xf numFmtId="3" fontId="24" fillId="6" borderId="1" xfId="3" applyNumberFormat="1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/>
    </xf>
  </cellXfs>
  <cellStyles count="4">
    <cellStyle name="Percent" xfId="1" builtinId="5"/>
    <cellStyle name="عادي" xfId="0" builtinId="0"/>
    <cellStyle name="عادي 2" xfId="2" xr:uid="{00000000-0005-0000-0000-000002000000}"/>
    <cellStyle name="عادي 3" xfId="3" xr:uid="{00000000-0005-0000-0000-000003000000}"/>
  </cellStyles>
  <dxfs count="22"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00206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numFmt numFmtId="34" formatCode="_-* #,##0.00\ &quot;ر.س.‏&quot;_-;\-* #,##0.00\ &quot;ر.س.‏&quot;_-;_-* &quot;-&quot;??\ &quot;ر.س.‏&quot;_-;_-@_-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_-* #,##0.00\ _ر_._س_._‏_-;\-* #,##0.00\ _ر_._س_._‏_-;_-* &quot;-&quot;??\ _ر_._س_._‏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_-* #,##0.00\ _ر_._س_._‏_-;\-* #,##0.00\ _ر_._س_._‏_-;_-* &quot;-&quot;??\ _ر_._س_._‏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1" formatCode="m/d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2" tint="-0.89999084444715716"/>
        <name val="Arial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D4F5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الجدول1" displayName="الجدول1" ref="A2:I16" totalsRowShown="0" headerRowDxfId="21" dataDxfId="19" headerRowBorderDxfId="20" tableBorderDxfId="18" totalsRowBorderDxfId="17">
  <autoFilter ref="A2:I16" xr:uid="{00000000-0009-0000-0100-000001000000}"/>
  <tableColumns count="9">
    <tableColumn id="1" xr3:uid="{00000000-0010-0000-0000-000001000000}" name="#" dataDxfId="16"/>
    <tableColumn id="2" xr3:uid="{00000000-0010-0000-0000-000002000000}" name="التاريخ" dataDxfId="15"/>
    <tableColumn id="9" xr3:uid="{00000000-0010-0000-0000-000009000000}" name="الشهر" dataDxfId="14"/>
    <tableColumn id="3" xr3:uid="{00000000-0010-0000-0000-000003000000}" name="اسم المورد" dataDxfId="13"/>
    <tableColumn id="4" xr3:uid="{00000000-0010-0000-0000-000004000000}" name="البيان" dataDxfId="12"/>
    <tableColumn id="5" xr3:uid="{00000000-0010-0000-0000-000005000000}" name="رقم الفاتورة / السداد" dataDxfId="11"/>
    <tableColumn id="6" xr3:uid="{00000000-0010-0000-0000-000006000000}" name="وارد" dataDxfId="10"/>
    <tableColumn id="7" xr3:uid="{00000000-0010-0000-0000-000007000000}" name="صادر" dataDxfId="9"/>
    <tableColumn id="8" xr3:uid="{00000000-0010-0000-0000-000008000000}" name="رصيد" dataDxfId="8">
      <calculatedColumnFormula>G3-H3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M417"/>
  <sheetViews>
    <sheetView rightToLeft="1" workbookViewId="0">
      <pane xSplit="9" ySplit="8" topLeftCell="QPR9" activePane="bottomRight" state="frozen"/>
      <selection pane="topRight" activeCell="G1" sqref="G1"/>
      <selection pane="bottomLeft" activeCell="A5" sqref="A5"/>
      <selection pane="bottomRight" activeCell="H22" sqref="H22"/>
    </sheetView>
  </sheetViews>
  <sheetFormatPr defaultRowHeight="14" x14ac:dyDescent="0.3"/>
  <cols>
    <col min="1" max="1" width="4.1640625" customWidth="1"/>
    <col min="2" max="2" width="17.1640625" customWidth="1"/>
    <col min="3" max="3" width="14.4140625" customWidth="1"/>
    <col min="4" max="4" width="8.6640625" customWidth="1"/>
    <col min="5" max="5" width="6.6640625" customWidth="1"/>
    <col min="6" max="6" width="6.58203125" customWidth="1"/>
    <col min="7" max="7" width="6.1640625" customWidth="1"/>
    <col min="8" max="8" width="7.4140625" customWidth="1"/>
    <col min="9" max="9" width="10.1640625" customWidth="1"/>
    <col min="10" max="10" width="9.1640625" style="11" customWidth="1"/>
    <col min="12" max="12" width="8.6640625" style="35"/>
    <col min="13" max="13" width="8.6640625" customWidth="1"/>
    <col min="15" max="15" width="8.6640625" style="35"/>
    <col min="16" max="16" width="8.6640625" customWidth="1"/>
    <col min="18" max="18" width="8.6640625" style="35"/>
    <col min="19" max="19" width="8.6640625" customWidth="1"/>
    <col min="21" max="21" width="8.6640625" style="35"/>
    <col min="22" max="22" width="8.6640625" customWidth="1"/>
    <col min="24" max="24" width="8.6640625" style="35"/>
    <col min="25" max="25" width="8.6640625" customWidth="1"/>
    <col min="27" max="27" width="8.6640625" style="35"/>
    <col min="28" max="28" width="8.6640625" customWidth="1"/>
    <col min="30" max="30" width="8.6640625" style="35"/>
    <col min="31" max="31" width="8.6640625" customWidth="1"/>
    <col min="32" max="32" width="8.6640625" style="40"/>
    <col min="33" max="33" width="8.6640625" style="3"/>
    <col min="34" max="34" width="8.6640625" customWidth="1"/>
    <col min="36" max="36" width="8.6640625" style="35"/>
    <col min="37" max="37" width="8.6640625" customWidth="1"/>
    <col min="39" max="39" width="8.6640625" style="35"/>
    <col min="40" max="40" width="8.6640625" customWidth="1"/>
    <col min="42" max="42" width="8.6640625" style="35"/>
    <col min="43" max="43" width="8.6640625" customWidth="1"/>
    <col min="45" max="45" width="8.6640625" style="35"/>
    <col min="46" max="46" width="8.6640625" customWidth="1"/>
    <col min="48" max="48" width="8.6640625" style="35"/>
    <col min="49" max="49" width="8.6640625" customWidth="1"/>
    <col min="51" max="51" width="8.6640625" style="35"/>
    <col min="52" max="52" width="8.6640625" customWidth="1"/>
    <col min="54" max="54" width="8.6640625" style="35"/>
    <col min="55" max="55" width="8.6640625" customWidth="1"/>
    <col min="57" max="57" width="8.6640625" style="35"/>
    <col min="58" max="58" width="8.6640625" customWidth="1"/>
    <col min="60" max="60" width="8.6640625" style="35"/>
    <col min="61" max="61" width="8.6640625" customWidth="1"/>
    <col min="63" max="63" width="8.6640625" style="35"/>
    <col min="64" max="64" width="8.6640625" customWidth="1"/>
    <col min="66" max="66" width="8.6640625" style="35"/>
    <col min="67" max="67" width="8.6640625" customWidth="1"/>
    <col min="69" max="69" width="8.6640625" style="35"/>
    <col min="70" max="70" width="8.6640625" customWidth="1"/>
    <col min="72" max="72" width="8.6640625" style="35"/>
    <col min="73" max="73" width="8.6640625" customWidth="1"/>
    <col min="75" max="75" width="8.6640625" style="35"/>
    <col min="76" max="76" width="8.6640625" customWidth="1"/>
    <col min="78" max="78" width="8.6640625" style="35"/>
    <col min="79" max="79" width="8.6640625" customWidth="1"/>
    <col min="81" max="81" width="8.6640625" style="35"/>
    <col min="82" max="82" width="8.6640625" customWidth="1"/>
    <col min="84" max="84" width="8.6640625" style="35"/>
    <col min="85" max="85" width="8.6640625" customWidth="1"/>
    <col min="87" max="87" width="8.6640625" style="35"/>
    <col min="88" max="88" width="8.6640625" customWidth="1"/>
    <col min="90" max="90" width="8.6640625" style="35"/>
    <col min="91" max="91" width="8.6640625" customWidth="1"/>
    <col min="93" max="93" width="8.6640625" style="35"/>
    <col min="94" max="94" width="8.6640625" customWidth="1"/>
    <col min="96" max="96" width="8.6640625" style="35"/>
    <col min="97" max="97" width="8.6640625" customWidth="1"/>
    <col min="99" max="99" width="8.6640625" style="35"/>
    <col min="100" max="100" width="8.6640625" customWidth="1"/>
    <col min="102" max="102" width="8.6640625" style="35"/>
    <col min="103" max="103" width="8.6640625" customWidth="1"/>
    <col min="105" max="105" width="8.6640625" style="35"/>
    <col min="106" max="106" width="8.6640625" customWidth="1"/>
    <col min="108" max="108" width="8.6640625" style="35"/>
    <col min="109" max="109" width="8.6640625" customWidth="1"/>
    <col min="111" max="111" width="8.6640625" style="35"/>
    <col min="112" max="112" width="8.6640625" customWidth="1"/>
    <col min="114" max="114" width="8.6640625" style="35"/>
    <col min="115" max="115" width="8.6640625" customWidth="1"/>
    <col min="117" max="117" width="8.6640625" style="35"/>
  </cols>
  <sheetData>
    <row r="1" spans="1:117" ht="14.4" customHeight="1" x14ac:dyDescent="0.3">
      <c r="A1" s="212" t="s">
        <v>0</v>
      </c>
      <c r="B1" s="212" t="s">
        <v>1</v>
      </c>
      <c r="C1" s="212" t="s">
        <v>2</v>
      </c>
      <c r="D1" s="212" t="s">
        <v>3</v>
      </c>
      <c r="E1" s="1"/>
      <c r="F1" s="213" t="s">
        <v>4</v>
      </c>
      <c r="G1" s="213" t="s">
        <v>5</v>
      </c>
      <c r="H1" s="212" t="s">
        <v>6</v>
      </c>
      <c r="I1" s="194"/>
      <c r="J1" s="216" t="s">
        <v>7</v>
      </c>
      <c r="K1" s="196"/>
      <c r="L1" s="197"/>
      <c r="M1" s="196" t="s">
        <v>8</v>
      </c>
      <c r="N1" s="196"/>
      <c r="O1" s="197"/>
      <c r="P1" s="196" t="s">
        <v>9</v>
      </c>
      <c r="Q1" s="196"/>
      <c r="R1" s="197"/>
      <c r="S1" s="196" t="s">
        <v>10</v>
      </c>
      <c r="T1" s="196"/>
      <c r="U1" s="197"/>
      <c r="V1" s="196" t="s">
        <v>11</v>
      </c>
      <c r="W1" s="196"/>
      <c r="X1" s="197"/>
      <c r="Y1" s="196" t="s">
        <v>12</v>
      </c>
      <c r="Z1" s="196"/>
      <c r="AA1" s="197"/>
      <c r="AB1" s="196" t="s">
        <v>13</v>
      </c>
      <c r="AC1" s="196"/>
      <c r="AD1" s="197"/>
      <c r="AE1" s="196" t="s">
        <v>14</v>
      </c>
      <c r="AF1" s="196"/>
      <c r="AG1" s="197"/>
      <c r="AH1" s="196" t="s">
        <v>15</v>
      </c>
      <c r="AI1" s="196"/>
      <c r="AJ1" s="197"/>
      <c r="AK1" s="196" t="s">
        <v>16</v>
      </c>
      <c r="AL1" s="196"/>
      <c r="AM1" s="197"/>
      <c r="AN1" s="196" t="s">
        <v>17</v>
      </c>
      <c r="AO1" s="196"/>
      <c r="AP1" s="197"/>
      <c r="AQ1" s="196" t="s">
        <v>18</v>
      </c>
      <c r="AR1" s="196"/>
      <c r="AS1" s="197"/>
      <c r="AT1" s="196" t="s">
        <v>19</v>
      </c>
      <c r="AU1" s="196"/>
      <c r="AV1" s="197"/>
      <c r="AW1" s="196" t="s">
        <v>20</v>
      </c>
      <c r="AX1" s="196"/>
      <c r="AY1" s="197"/>
      <c r="AZ1" s="196" t="s">
        <v>21</v>
      </c>
      <c r="BA1" s="196"/>
      <c r="BB1" s="197"/>
      <c r="BC1" s="196" t="s">
        <v>22</v>
      </c>
      <c r="BD1" s="196"/>
      <c r="BE1" s="197"/>
      <c r="BF1" s="196" t="s">
        <v>23</v>
      </c>
      <c r="BG1" s="196"/>
      <c r="BH1" s="197"/>
      <c r="BI1" s="204" t="s">
        <v>24</v>
      </c>
      <c r="BJ1" s="204"/>
      <c r="BK1" s="205"/>
      <c r="BL1" s="196" t="s">
        <v>25</v>
      </c>
      <c r="BM1" s="196"/>
      <c r="BN1" s="197"/>
      <c r="BO1" s="196" t="s">
        <v>26</v>
      </c>
      <c r="BP1" s="196"/>
      <c r="BQ1" s="197"/>
      <c r="BR1" s="196" t="s">
        <v>27</v>
      </c>
      <c r="BS1" s="196"/>
      <c r="BT1" s="197"/>
      <c r="BU1" s="196" t="s">
        <v>28</v>
      </c>
      <c r="BV1" s="196"/>
      <c r="BW1" s="197"/>
      <c r="BX1" s="196" t="s">
        <v>29</v>
      </c>
      <c r="BY1" s="196"/>
      <c r="BZ1" s="197"/>
      <c r="CA1" s="196" t="s">
        <v>30</v>
      </c>
      <c r="CB1" s="196"/>
      <c r="CC1" s="197"/>
      <c r="CD1" s="196" t="s">
        <v>31</v>
      </c>
      <c r="CE1" s="196"/>
      <c r="CF1" s="197"/>
      <c r="CG1" s="196" t="s">
        <v>32</v>
      </c>
      <c r="CH1" s="196"/>
      <c r="CI1" s="197"/>
      <c r="CJ1" s="196" t="s">
        <v>33</v>
      </c>
      <c r="CK1" s="196"/>
      <c r="CL1" s="197"/>
      <c r="CM1" s="196" t="s">
        <v>34</v>
      </c>
      <c r="CN1" s="196"/>
      <c r="CO1" s="197"/>
      <c r="CP1" s="196" t="s">
        <v>35</v>
      </c>
      <c r="CQ1" s="196"/>
      <c r="CR1" s="197"/>
      <c r="CS1" s="177" t="s">
        <v>36</v>
      </c>
      <c r="CT1" s="177"/>
      <c r="CU1" s="178"/>
      <c r="CV1" s="177" t="s">
        <v>37</v>
      </c>
      <c r="CW1" s="177"/>
      <c r="CX1" s="178"/>
      <c r="CY1" s="177" t="s">
        <v>38</v>
      </c>
      <c r="CZ1" s="177"/>
      <c r="DA1" s="178"/>
      <c r="DB1" s="177" t="s">
        <v>39</v>
      </c>
      <c r="DC1" s="177"/>
      <c r="DD1" s="178"/>
      <c r="DE1" s="177" t="s">
        <v>40</v>
      </c>
      <c r="DF1" s="177"/>
      <c r="DG1" s="178"/>
      <c r="DH1" s="177" t="s">
        <v>41</v>
      </c>
      <c r="DI1" s="177"/>
      <c r="DJ1" s="178"/>
      <c r="DK1" s="177" t="s">
        <v>42</v>
      </c>
      <c r="DL1" s="177"/>
      <c r="DM1" s="178"/>
    </row>
    <row r="2" spans="1:117" ht="14.4" customHeight="1" x14ac:dyDescent="0.3">
      <c r="A2" s="212"/>
      <c r="B2" s="212"/>
      <c r="C2" s="212"/>
      <c r="D2" s="212"/>
      <c r="E2" s="1"/>
      <c r="F2" s="214"/>
      <c r="G2" s="214"/>
      <c r="H2" s="212" t="s">
        <v>43</v>
      </c>
      <c r="I2" s="194"/>
      <c r="J2" s="198">
        <f>SUM(K10:K142)</f>
        <v>9.6924351416215409</v>
      </c>
      <c r="K2" s="199"/>
      <c r="L2" s="200"/>
      <c r="M2" s="198">
        <f>SUM(N10:N142)</f>
        <v>7.4682800000000009</v>
      </c>
      <c r="N2" s="199"/>
      <c r="O2" s="200"/>
      <c r="P2" s="198">
        <f>SUM(Q10:Q142)</f>
        <v>4.1725674766685952</v>
      </c>
      <c r="Q2" s="199"/>
      <c r="R2" s="200"/>
      <c r="S2" s="198">
        <f>SUM(T10:T142)</f>
        <v>5.0339158136340263</v>
      </c>
      <c r="T2" s="199"/>
      <c r="U2" s="200"/>
      <c r="V2" s="198">
        <f>SUM(W10:W142)</f>
        <v>6.6337860498842716</v>
      </c>
      <c r="W2" s="199"/>
      <c r="X2" s="200"/>
      <c r="Y2" s="198">
        <f>SUM(Z10:Z142)</f>
        <v>4.2958416306491127</v>
      </c>
      <c r="Z2" s="199"/>
      <c r="AA2" s="200"/>
      <c r="AB2" s="198">
        <f>SUM(AC10:AC142)</f>
        <v>3.6889195608749237</v>
      </c>
      <c r="AC2" s="199"/>
      <c r="AD2" s="200"/>
      <c r="AE2" s="198">
        <f>SUM(AF10:AF142)</f>
        <v>2.8772299771167051</v>
      </c>
      <c r="AF2" s="199"/>
      <c r="AG2" s="200"/>
      <c r="AH2" s="198">
        <f>SUM(AI10:AI142)</f>
        <v>1.1374836003051105</v>
      </c>
      <c r="AI2" s="199"/>
      <c r="AJ2" s="200"/>
      <c r="AK2" s="198">
        <f>SUM(AL10:AL142)</f>
        <v>2.4518188882532415</v>
      </c>
      <c r="AL2" s="199"/>
      <c r="AM2" s="200"/>
      <c r="AN2" s="198">
        <f>SUM(AO10:AO142)</f>
        <v>4.0902399082393215</v>
      </c>
      <c r="AO2" s="199"/>
      <c r="AP2" s="200"/>
      <c r="AQ2" s="198">
        <f>SUM(AR10:AR142)</f>
        <v>4.3667578947368417</v>
      </c>
      <c r="AR2" s="199"/>
      <c r="AS2" s="200"/>
      <c r="AT2" s="198">
        <f>SUM(AU10:AU142)</f>
        <v>1.3528911375534718</v>
      </c>
      <c r="AU2" s="199"/>
      <c r="AV2" s="200"/>
      <c r="AW2" s="198">
        <f>SUM(AX10:AX142)</f>
        <v>2.1891231390033634</v>
      </c>
      <c r="AX2" s="199"/>
      <c r="AY2" s="200"/>
      <c r="AZ2" s="198">
        <f>SUM(BA10:BA142)</f>
        <v>3.9314166845878136</v>
      </c>
      <c r="BA2" s="199"/>
      <c r="BB2" s="200"/>
      <c r="BC2" s="198">
        <f>SUM(BD10:BD142)</f>
        <v>1.4439199305791361</v>
      </c>
      <c r="BD2" s="199"/>
      <c r="BE2" s="200"/>
      <c r="BF2" s="198">
        <f>SUM(BG10:BG142)</f>
        <v>3.0536773932112018</v>
      </c>
      <c r="BG2" s="199"/>
      <c r="BH2" s="200"/>
      <c r="BI2" s="206">
        <f>SUM(BJ10:BJ142)</f>
        <v>3.4456421540885738</v>
      </c>
      <c r="BJ2" s="207"/>
      <c r="BK2" s="208"/>
      <c r="BL2" s="198">
        <f>SUM(BM10:BM142)</f>
        <v>1.3607709427312775</v>
      </c>
      <c r="BM2" s="199"/>
      <c r="BN2" s="200"/>
      <c r="BO2" s="198">
        <f>SUM(BP10:BP142)</f>
        <v>2.2973437894736852</v>
      </c>
      <c r="BP2" s="199"/>
      <c r="BQ2" s="200"/>
      <c r="BR2" s="198">
        <f>SUM(BS10:BS142)</f>
        <v>3.6220431444026153</v>
      </c>
      <c r="BS2" s="199"/>
      <c r="BT2" s="200"/>
      <c r="BU2" s="198">
        <f>SUM(BV10:BV142)</f>
        <v>3.3522781409731341</v>
      </c>
      <c r="BV2" s="199"/>
      <c r="BW2" s="200"/>
      <c r="BX2" s="198">
        <f>SUM(BY10:BY142)</f>
        <v>1.8655869008660033</v>
      </c>
      <c r="BY2" s="199"/>
      <c r="BZ2" s="200"/>
      <c r="CA2" s="198">
        <f>SUM(CB10:CB142)</f>
        <v>3.5869223747493408</v>
      </c>
      <c r="CB2" s="199"/>
      <c r="CC2" s="200"/>
      <c r="CD2" s="198">
        <f>SUM(CE10:CE142)</f>
        <v>0.26805874920087658</v>
      </c>
      <c r="CE2" s="199"/>
      <c r="CF2" s="200"/>
      <c r="CG2" s="198">
        <f>SUM(CH10:CH142)</f>
        <v>0.20513913196641731</v>
      </c>
      <c r="CH2" s="199"/>
      <c r="CI2" s="200"/>
      <c r="CJ2" s="198">
        <f>SUM(CK10:CK142)</f>
        <v>0.38351999999999997</v>
      </c>
      <c r="CK2" s="199"/>
      <c r="CL2" s="200"/>
      <c r="CM2" s="198">
        <f>SUM(CN10:CN142)</f>
        <v>0.15968624093698192</v>
      </c>
      <c r="CN2" s="199"/>
      <c r="CO2" s="200"/>
      <c r="CP2" s="198">
        <f>SUM(CQ10:CQ142)</f>
        <v>0.16961197801928563</v>
      </c>
      <c r="CQ2" s="199"/>
      <c r="CR2" s="200"/>
      <c r="CS2" s="179">
        <f>SUM(CT10:CT142)</f>
        <v>3.637620358422939</v>
      </c>
      <c r="CT2" s="180"/>
      <c r="CU2" s="181"/>
      <c r="CV2" s="179">
        <f>SUM(CW10:CW142)</f>
        <v>60.35060358422939</v>
      </c>
      <c r="CW2" s="180"/>
      <c r="CX2" s="181"/>
      <c r="CY2" s="179">
        <f>SUM(CZ10:CZ142)</f>
        <v>4.8729168458781356</v>
      </c>
      <c r="CZ2" s="180"/>
      <c r="DA2" s="181"/>
      <c r="DB2" s="179">
        <f>SUM(DC10:DC192)</f>
        <v>1.6099500636999529</v>
      </c>
      <c r="DC2" s="180"/>
      <c r="DD2" s="181"/>
      <c r="DE2" s="179">
        <f>SUM(DF10:DF142)</f>
        <v>0.20685851525174567</v>
      </c>
      <c r="DF2" s="180"/>
      <c r="DG2" s="181"/>
      <c r="DH2" s="179">
        <f>SUM(DI10:DI142)</f>
        <v>2.7179764047800661</v>
      </c>
      <c r="DI2" s="180"/>
      <c r="DJ2" s="181"/>
      <c r="DK2" s="179">
        <f>SUM(DL10:DL142)</f>
        <v>2.534224618319151</v>
      </c>
      <c r="DL2" s="180"/>
      <c r="DM2" s="181"/>
    </row>
    <row r="3" spans="1:117" ht="14.4" customHeight="1" x14ac:dyDescent="0.3">
      <c r="A3" s="212"/>
      <c r="B3" s="212"/>
      <c r="C3" s="212"/>
      <c r="D3" s="212"/>
      <c r="E3" s="8"/>
      <c r="F3" s="214"/>
      <c r="G3" s="214"/>
      <c r="H3" s="194" t="s">
        <v>44</v>
      </c>
      <c r="I3" s="195"/>
      <c r="J3" s="188">
        <f>18%*J5</f>
        <v>6.4799999999999995</v>
      </c>
      <c r="K3" s="189"/>
      <c r="L3" s="190"/>
      <c r="M3" s="188">
        <f>18%*M5</f>
        <v>5.22</v>
      </c>
      <c r="N3" s="189"/>
      <c r="O3" s="190"/>
      <c r="P3" s="188">
        <f>18%*P5</f>
        <v>4.8599999999999994</v>
      </c>
      <c r="Q3" s="189"/>
      <c r="R3" s="190"/>
      <c r="S3" s="188">
        <f>18%*S5</f>
        <v>4.8599999999999994</v>
      </c>
      <c r="T3" s="189"/>
      <c r="U3" s="190"/>
      <c r="V3" s="188">
        <f>18%*V5</f>
        <v>4.1399999999999997</v>
      </c>
      <c r="W3" s="189"/>
      <c r="X3" s="190"/>
      <c r="Y3" s="188">
        <f>18%*Y5</f>
        <v>3.78</v>
      </c>
      <c r="Z3" s="189"/>
      <c r="AA3" s="190"/>
      <c r="AB3" s="188">
        <f>18%*AB5</f>
        <v>3.78</v>
      </c>
      <c r="AC3" s="189"/>
      <c r="AD3" s="190"/>
      <c r="AE3" s="188">
        <f>18%*AE5</f>
        <v>4.1399999999999997</v>
      </c>
      <c r="AF3" s="189"/>
      <c r="AG3" s="190"/>
      <c r="AH3" s="188">
        <f>18%*AH5</f>
        <v>2.16</v>
      </c>
      <c r="AI3" s="189"/>
      <c r="AJ3" s="190"/>
      <c r="AK3" s="188">
        <f>18%*AK5</f>
        <v>2.16</v>
      </c>
      <c r="AL3" s="189"/>
      <c r="AM3" s="190"/>
      <c r="AN3" s="188">
        <f>18%*AN5</f>
        <v>2.6999999999999997</v>
      </c>
      <c r="AO3" s="189"/>
      <c r="AP3" s="190"/>
      <c r="AQ3" s="188">
        <f>18%*AQ5</f>
        <v>2.88</v>
      </c>
      <c r="AR3" s="189"/>
      <c r="AS3" s="190"/>
      <c r="AT3" s="188">
        <f>18%*AT5</f>
        <v>2.88</v>
      </c>
      <c r="AU3" s="189"/>
      <c r="AV3" s="190"/>
      <c r="AW3" s="188">
        <f>18%*AW5</f>
        <v>2.16</v>
      </c>
      <c r="AX3" s="189"/>
      <c r="AY3" s="190"/>
      <c r="AZ3" s="188">
        <f>18%*AZ5</f>
        <v>2.16</v>
      </c>
      <c r="BA3" s="189"/>
      <c r="BB3" s="190"/>
      <c r="BC3" s="188">
        <f>18%*BC5</f>
        <v>2.16</v>
      </c>
      <c r="BD3" s="189"/>
      <c r="BE3" s="190"/>
      <c r="BF3" s="188">
        <f>18%*BF5</f>
        <v>2.16</v>
      </c>
      <c r="BG3" s="189"/>
      <c r="BH3" s="190"/>
      <c r="BI3" s="191">
        <f>18%*BI5</f>
        <v>2.16</v>
      </c>
      <c r="BJ3" s="192"/>
      <c r="BK3" s="193"/>
      <c r="BL3" s="188">
        <f>18%*BL5</f>
        <v>2.16</v>
      </c>
      <c r="BM3" s="189"/>
      <c r="BN3" s="190"/>
      <c r="BO3" s="188">
        <f>18%*BO5</f>
        <v>2.16</v>
      </c>
      <c r="BP3" s="189"/>
      <c r="BQ3" s="190"/>
      <c r="BR3" s="188">
        <f>18%*BR5</f>
        <v>2.16</v>
      </c>
      <c r="BS3" s="189"/>
      <c r="BT3" s="190"/>
      <c r="BU3" s="188">
        <f>18%*BU5</f>
        <v>2.16</v>
      </c>
      <c r="BV3" s="189"/>
      <c r="BW3" s="190"/>
      <c r="BX3" s="188">
        <f>18%*BX5</f>
        <v>2.16</v>
      </c>
      <c r="BY3" s="189"/>
      <c r="BZ3" s="190"/>
      <c r="CA3" s="188">
        <f>18%*CA5</f>
        <v>2.88</v>
      </c>
      <c r="CB3" s="189"/>
      <c r="CC3" s="190"/>
      <c r="CD3" s="188">
        <f>18%*CD5</f>
        <v>0.36</v>
      </c>
      <c r="CE3" s="189"/>
      <c r="CF3" s="190"/>
      <c r="CG3" s="188">
        <f>18%*CG5</f>
        <v>0.36</v>
      </c>
      <c r="CH3" s="189"/>
      <c r="CI3" s="190"/>
      <c r="CJ3" s="188">
        <f>18%*CJ5</f>
        <v>0.36</v>
      </c>
      <c r="CK3" s="189"/>
      <c r="CL3" s="190"/>
      <c r="CM3" s="188">
        <f>18%*CM5</f>
        <v>0.36</v>
      </c>
      <c r="CN3" s="189"/>
      <c r="CO3" s="190"/>
      <c r="CP3" s="188">
        <f>18%*CP5</f>
        <v>0.36</v>
      </c>
      <c r="CQ3" s="189"/>
      <c r="CR3" s="190"/>
      <c r="CS3" s="182">
        <f>18%*CS2</f>
        <v>0.654771664516129</v>
      </c>
      <c r="CT3" s="183"/>
      <c r="CU3" s="184"/>
      <c r="CV3" s="182">
        <f>18%*CV2</f>
        <v>10.86310864516129</v>
      </c>
      <c r="CW3" s="183"/>
      <c r="CX3" s="184"/>
      <c r="CY3" s="182">
        <f>18%*CY2</f>
        <v>0.87712503225806437</v>
      </c>
      <c r="CZ3" s="183"/>
      <c r="DA3" s="184"/>
      <c r="DB3" s="182">
        <f>18%*DB2</f>
        <v>0.28979101146599151</v>
      </c>
      <c r="DC3" s="183"/>
      <c r="DD3" s="184"/>
      <c r="DE3" s="182">
        <f>18%*DE2</f>
        <v>3.7234532745314221E-2</v>
      </c>
      <c r="DF3" s="183"/>
      <c r="DG3" s="184"/>
      <c r="DH3" s="182">
        <f>18%*DH2</f>
        <v>0.48923575286041188</v>
      </c>
      <c r="DI3" s="183"/>
      <c r="DJ3" s="184"/>
      <c r="DK3" s="182">
        <f>18%*DK2</f>
        <v>0.45616043129744716</v>
      </c>
      <c r="DL3" s="183"/>
      <c r="DM3" s="184"/>
    </row>
    <row r="4" spans="1:117" ht="14.4" customHeight="1" x14ac:dyDescent="0.3">
      <c r="A4" s="212"/>
      <c r="B4" s="212"/>
      <c r="C4" s="212"/>
      <c r="D4" s="212"/>
      <c r="E4" s="8"/>
      <c r="F4" s="214"/>
      <c r="G4" s="214"/>
      <c r="H4" s="212" t="s">
        <v>45</v>
      </c>
      <c r="I4" s="194"/>
      <c r="J4" s="188">
        <f>J2+J3</f>
        <v>16.172435141621541</v>
      </c>
      <c r="K4" s="189"/>
      <c r="L4" s="190"/>
      <c r="M4" s="188">
        <f>M2+M3</f>
        <v>12.688280000000001</v>
      </c>
      <c r="N4" s="189"/>
      <c r="O4" s="190"/>
      <c r="P4" s="188">
        <f>P2+P3</f>
        <v>9.0325674766685946</v>
      </c>
      <c r="Q4" s="189"/>
      <c r="R4" s="190"/>
      <c r="S4" s="188">
        <f>S2+S3</f>
        <v>9.8939158136340257</v>
      </c>
      <c r="T4" s="189"/>
      <c r="U4" s="190"/>
      <c r="V4" s="188">
        <f>V2+V3</f>
        <v>10.773786049884272</v>
      </c>
      <c r="W4" s="189"/>
      <c r="X4" s="190"/>
      <c r="Y4" s="188">
        <f>Y2+Y3</f>
        <v>8.0758416306491121</v>
      </c>
      <c r="Z4" s="189"/>
      <c r="AA4" s="190"/>
      <c r="AB4" s="188">
        <f>AB2+AB3</f>
        <v>7.468919560874923</v>
      </c>
      <c r="AC4" s="189"/>
      <c r="AD4" s="190"/>
      <c r="AE4" s="188">
        <f>AE2+AE3</f>
        <v>7.0172299771167044</v>
      </c>
      <c r="AF4" s="189"/>
      <c r="AG4" s="190"/>
      <c r="AH4" s="188">
        <f>AH2+AH3</f>
        <v>3.2974836003051107</v>
      </c>
      <c r="AI4" s="189"/>
      <c r="AJ4" s="190"/>
      <c r="AK4" s="188">
        <f>AK2+AK3</f>
        <v>4.6118188882532412</v>
      </c>
      <c r="AL4" s="189"/>
      <c r="AM4" s="190"/>
      <c r="AN4" s="188">
        <f>AN2+AN3</f>
        <v>6.7902399082393217</v>
      </c>
      <c r="AO4" s="189"/>
      <c r="AP4" s="190"/>
      <c r="AQ4" s="188">
        <f>AQ2+AQ3</f>
        <v>7.2467578947368416</v>
      </c>
      <c r="AR4" s="189"/>
      <c r="AS4" s="190"/>
      <c r="AT4" s="188">
        <f>AT2+AT3</f>
        <v>4.2328911375534712</v>
      </c>
      <c r="AU4" s="189"/>
      <c r="AV4" s="190"/>
      <c r="AW4" s="188">
        <f>AW2+AW3</f>
        <v>4.349123139003364</v>
      </c>
      <c r="AX4" s="189"/>
      <c r="AY4" s="190"/>
      <c r="AZ4" s="188">
        <f>AZ2+AZ3</f>
        <v>6.0914166845878137</v>
      </c>
      <c r="BA4" s="189"/>
      <c r="BB4" s="190"/>
      <c r="BC4" s="188">
        <f>BC2+BC3</f>
        <v>3.6039199305791363</v>
      </c>
      <c r="BD4" s="189"/>
      <c r="BE4" s="190"/>
      <c r="BF4" s="188">
        <f>BF2+BF3</f>
        <v>5.2136773932112019</v>
      </c>
      <c r="BG4" s="189"/>
      <c r="BH4" s="190"/>
      <c r="BI4" s="191">
        <f>BI2+BI3</f>
        <v>5.6056421540885744</v>
      </c>
      <c r="BJ4" s="192"/>
      <c r="BK4" s="193"/>
      <c r="BL4" s="188">
        <f>BL2+BL3</f>
        <v>3.5207709427312777</v>
      </c>
      <c r="BM4" s="189"/>
      <c r="BN4" s="190"/>
      <c r="BO4" s="188">
        <f>BO2+BO3</f>
        <v>4.4573437894736854</v>
      </c>
      <c r="BP4" s="189"/>
      <c r="BQ4" s="190"/>
      <c r="BR4" s="188">
        <f>BR2+BR3</f>
        <v>5.7820431444026159</v>
      </c>
      <c r="BS4" s="189"/>
      <c r="BT4" s="190"/>
      <c r="BU4" s="188">
        <f>BU2+BU3</f>
        <v>5.5122781409731338</v>
      </c>
      <c r="BV4" s="189"/>
      <c r="BW4" s="190"/>
      <c r="BX4" s="188">
        <f>BX2+BX3</f>
        <v>4.0255869008660037</v>
      </c>
      <c r="BY4" s="189"/>
      <c r="BZ4" s="190"/>
      <c r="CA4" s="188">
        <f>CA2+CA3</f>
        <v>6.4669223747493412</v>
      </c>
      <c r="CB4" s="189"/>
      <c r="CC4" s="190"/>
      <c r="CD4" s="188">
        <f>CD2+CD3</f>
        <v>0.62805874920087656</v>
      </c>
      <c r="CE4" s="189"/>
      <c r="CF4" s="190"/>
      <c r="CG4" s="188">
        <f>CG2+CG3</f>
        <v>0.5651391319664173</v>
      </c>
      <c r="CH4" s="189"/>
      <c r="CI4" s="190"/>
      <c r="CJ4" s="188">
        <f>CJ2+CJ3</f>
        <v>0.74351999999999996</v>
      </c>
      <c r="CK4" s="189"/>
      <c r="CL4" s="190"/>
      <c r="CM4" s="188">
        <f>CM2+CM3</f>
        <v>0.5196862409369819</v>
      </c>
      <c r="CN4" s="189"/>
      <c r="CO4" s="190"/>
      <c r="CP4" s="188">
        <f>CP2+CP3</f>
        <v>0.52961197801928561</v>
      </c>
      <c r="CQ4" s="189"/>
      <c r="CR4" s="190"/>
      <c r="CS4" s="182">
        <f>CS2+CS3</f>
        <v>4.292392022939068</v>
      </c>
      <c r="CT4" s="183"/>
      <c r="CU4" s="184"/>
      <c r="CV4" s="182">
        <f>CV2+CV3</f>
        <v>71.21371222939068</v>
      </c>
      <c r="CW4" s="183"/>
      <c r="CX4" s="184"/>
      <c r="CY4" s="182">
        <f>CY2+CY3</f>
        <v>5.7500418781361997</v>
      </c>
      <c r="CZ4" s="183"/>
      <c r="DA4" s="184"/>
      <c r="DB4" s="182">
        <f>DB2+DB3</f>
        <v>1.8997410751659443</v>
      </c>
      <c r="DC4" s="183"/>
      <c r="DD4" s="184"/>
      <c r="DE4" s="182">
        <f>DE2+DE3</f>
        <v>0.24409304799705989</v>
      </c>
      <c r="DF4" s="183"/>
      <c r="DG4" s="184"/>
      <c r="DH4" s="182">
        <f>DH2+DH3</f>
        <v>3.2072121576404777</v>
      </c>
      <c r="DI4" s="183"/>
      <c r="DJ4" s="184"/>
      <c r="DK4" s="182">
        <f>DK2+DK3</f>
        <v>2.9903850496165982</v>
      </c>
      <c r="DL4" s="183"/>
      <c r="DM4" s="184"/>
    </row>
    <row r="5" spans="1:117" ht="14.4" customHeight="1" x14ac:dyDescent="0.3">
      <c r="A5" s="212"/>
      <c r="B5" s="212"/>
      <c r="C5" s="212"/>
      <c r="D5" s="212"/>
      <c r="E5" s="1"/>
      <c r="F5" s="214"/>
      <c r="G5" s="214"/>
      <c r="H5" s="212" t="s">
        <v>46</v>
      </c>
      <c r="I5" s="194"/>
      <c r="J5" s="188">
        <v>36</v>
      </c>
      <c r="K5" s="189"/>
      <c r="L5" s="190"/>
      <c r="M5" s="188">
        <v>29</v>
      </c>
      <c r="N5" s="189"/>
      <c r="O5" s="190"/>
      <c r="P5" s="188">
        <v>27</v>
      </c>
      <c r="Q5" s="189"/>
      <c r="R5" s="190"/>
      <c r="S5" s="188">
        <v>27</v>
      </c>
      <c r="T5" s="189"/>
      <c r="U5" s="190"/>
      <c r="V5" s="188">
        <v>23</v>
      </c>
      <c r="W5" s="189"/>
      <c r="X5" s="190"/>
      <c r="Y5" s="188">
        <v>21</v>
      </c>
      <c r="Z5" s="189"/>
      <c r="AA5" s="190"/>
      <c r="AB5" s="188">
        <v>21</v>
      </c>
      <c r="AC5" s="189"/>
      <c r="AD5" s="190"/>
      <c r="AE5" s="188">
        <v>23</v>
      </c>
      <c r="AF5" s="189"/>
      <c r="AG5" s="190"/>
      <c r="AH5" s="188">
        <v>12</v>
      </c>
      <c r="AI5" s="189"/>
      <c r="AJ5" s="190"/>
      <c r="AK5" s="188">
        <v>12</v>
      </c>
      <c r="AL5" s="189"/>
      <c r="AM5" s="190"/>
      <c r="AN5" s="188">
        <v>15</v>
      </c>
      <c r="AO5" s="189"/>
      <c r="AP5" s="190"/>
      <c r="AQ5" s="188">
        <v>16</v>
      </c>
      <c r="AR5" s="189"/>
      <c r="AS5" s="190"/>
      <c r="AT5" s="188">
        <v>16</v>
      </c>
      <c r="AU5" s="189"/>
      <c r="AV5" s="190"/>
      <c r="AW5" s="188">
        <v>12</v>
      </c>
      <c r="AX5" s="189"/>
      <c r="AY5" s="190"/>
      <c r="AZ5" s="188">
        <v>12</v>
      </c>
      <c r="BA5" s="189"/>
      <c r="BB5" s="190"/>
      <c r="BC5" s="188">
        <v>12</v>
      </c>
      <c r="BD5" s="189"/>
      <c r="BE5" s="190"/>
      <c r="BF5" s="188">
        <v>12</v>
      </c>
      <c r="BG5" s="189"/>
      <c r="BH5" s="190"/>
      <c r="BI5" s="191">
        <v>12</v>
      </c>
      <c r="BJ5" s="192"/>
      <c r="BK5" s="193"/>
      <c r="BL5" s="188">
        <v>12</v>
      </c>
      <c r="BM5" s="189"/>
      <c r="BN5" s="190"/>
      <c r="BO5" s="188">
        <v>12</v>
      </c>
      <c r="BP5" s="189"/>
      <c r="BQ5" s="190"/>
      <c r="BR5" s="188">
        <v>12</v>
      </c>
      <c r="BS5" s="189"/>
      <c r="BT5" s="190"/>
      <c r="BU5" s="188">
        <v>12</v>
      </c>
      <c r="BV5" s="189"/>
      <c r="BW5" s="190"/>
      <c r="BX5" s="188">
        <v>12</v>
      </c>
      <c r="BY5" s="189"/>
      <c r="BZ5" s="190"/>
      <c r="CA5" s="188">
        <v>16</v>
      </c>
      <c r="CB5" s="189"/>
      <c r="CC5" s="190"/>
      <c r="CD5" s="188">
        <v>2</v>
      </c>
      <c r="CE5" s="189"/>
      <c r="CF5" s="190"/>
      <c r="CG5" s="188">
        <v>2</v>
      </c>
      <c r="CH5" s="189"/>
      <c r="CI5" s="190"/>
      <c r="CJ5" s="188">
        <v>2</v>
      </c>
      <c r="CK5" s="189"/>
      <c r="CL5" s="190"/>
      <c r="CM5" s="188">
        <v>2</v>
      </c>
      <c r="CN5" s="189"/>
      <c r="CO5" s="190"/>
      <c r="CP5" s="188">
        <v>2</v>
      </c>
      <c r="CQ5" s="189"/>
      <c r="CR5" s="190"/>
      <c r="CS5" s="182">
        <v>10</v>
      </c>
      <c r="CT5" s="183"/>
      <c r="CU5" s="184"/>
      <c r="CV5" s="182">
        <v>2</v>
      </c>
      <c r="CW5" s="183"/>
      <c r="CX5" s="184"/>
      <c r="CY5" s="182">
        <v>2</v>
      </c>
      <c r="CZ5" s="183"/>
      <c r="DA5" s="184"/>
      <c r="DB5" s="182">
        <v>2</v>
      </c>
      <c r="DC5" s="183"/>
      <c r="DD5" s="184"/>
      <c r="DE5" s="182">
        <v>2</v>
      </c>
      <c r="DF5" s="183"/>
      <c r="DG5" s="184"/>
      <c r="DH5" s="182">
        <v>2</v>
      </c>
      <c r="DI5" s="183"/>
      <c r="DJ5" s="184"/>
      <c r="DK5" s="182">
        <v>2</v>
      </c>
      <c r="DL5" s="183"/>
      <c r="DM5" s="184"/>
    </row>
    <row r="6" spans="1:117" ht="14.4" customHeight="1" x14ac:dyDescent="0.3">
      <c r="A6" s="212"/>
      <c r="B6" s="212"/>
      <c r="C6" s="212"/>
      <c r="D6" s="212"/>
      <c r="E6" s="8">
        <f>1.1+0.21+0.236</f>
        <v>1.546</v>
      </c>
      <c r="F6" s="214"/>
      <c r="G6" s="214"/>
      <c r="H6" s="194" t="s">
        <v>47</v>
      </c>
      <c r="I6" s="195"/>
      <c r="J6" s="188">
        <f>J5-J5/1.15</f>
        <v>4.6956521739130395</v>
      </c>
      <c r="K6" s="189"/>
      <c r="L6" s="190"/>
      <c r="M6" s="188">
        <f>M5-M5/1.15</f>
        <v>3.7826086956521721</v>
      </c>
      <c r="N6" s="189"/>
      <c r="O6" s="190"/>
      <c r="P6" s="188">
        <f>P5-P5/1.15</f>
        <v>3.5217391304347814</v>
      </c>
      <c r="Q6" s="189"/>
      <c r="R6" s="190"/>
      <c r="S6" s="188">
        <f>S5-S5/1.15</f>
        <v>3.5217391304347814</v>
      </c>
      <c r="T6" s="189"/>
      <c r="U6" s="190"/>
      <c r="V6" s="188">
        <f>V5-V5/1.15</f>
        <v>3</v>
      </c>
      <c r="W6" s="189"/>
      <c r="X6" s="190"/>
      <c r="Y6" s="188">
        <f>Y5-Y5/1.15</f>
        <v>2.7391304347826058</v>
      </c>
      <c r="Z6" s="189"/>
      <c r="AA6" s="190"/>
      <c r="AB6" s="188">
        <f>AB5-AB5/1.15</f>
        <v>2.7391304347826058</v>
      </c>
      <c r="AC6" s="189"/>
      <c r="AD6" s="190"/>
      <c r="AE6" s="188">
        <f>AE5-AE5/1.15</f>
        <v>3</v>
      </c>
      <c r="AF6" s="189"/>
      <c r="AG6" s="190"/>
      <c r="AH6" s="188">
        <f>AH5-AH5/1.15</f>
        <v>1.5652173913043477</v>
      </c>
      <c r="AI6" s="189"/>
      <c r="AJ6" s="190"/>
      <c r="AK6" s="188">
        <f>AK5-AK5/1.15</f>
        <v>1.5652173913043477</v>
      </c>
      <c r="AL6" s="189"/>
      <c r="AM6" s="190"/>
      <c r="AN6" s="188">
        <f>AN5-AN5/1.15</f>
        <v>1.9565217391304337</v>
      </c>
      <c r="AO6" s="189"/>
      <c r="AP6" s="190"/>
      <c r="AQ6" s="188">
        <f>AQ5-AQ5/1.15</f>
        <v>2.086956521739129</v>
      </c>
      <c r="AR6" s="189"/>
      <c r="AS6" s="190"/>
      <c r="AT6" s="188">
        <f>AT5-AT5/1.15</f>
        <v>2.086956521739129</v>
      </c>
      <c r="AU6" s="189"/>
      <c r="AV6" s="190"/>
      <c r="AW6" s="188">
        <f>AW5-AW5/1.15</f>
        <v>1.5652173913043477</v>
      </c>
      <c r="AX6" s="189"/>
      <c r="AY6" s="190"/>
      <c r="AZ6" s="188">
        <f>AZ5-AZ5/1.15</f>
        <v>1.5652173913043477</v>
      </c>
      <c r="BA6" s="189"/>
      <c r="BB6" s="190"/>
      <c r="BC6" s="188">
        <f>BC5-BC5/1.15</f>
        <v>1.5652173913043477</v>
      </c>
      <c r="BD6" s="189"/>
      <c r="BE6" s="190"/>
      <c r="BF6" s="188">
        <f>BF5-BF5/1.15</f>
        <v>1.5652173913043477</v>
      </c>
      <c r="BG6" s="189"/>
      <c r="BH6" s="190"/>
      <c r="BI6" s="191">
        <f>BI5-BI5/1.15</f>
        <v>1.5652173913043477</v>
      </c>
      <c r="BJ6" s="192"/>
      <c r="BK6" s="193"/>
      <c r="BL6" s="188">
        <f>BL5-BL5/1.15</f>
        <v>1.5652173913043477</v>
      </c>
      <c r="BM6" s="189"/>
      <c r="BN6" s="190"/>
      <c r="BO6" s="188">
        <f>BO5-BO5/1.15</f>
        <v>1.5652173913043477</v>
      </c>
      <c r="BP6" s="189"/>
      <c r="BQ6" s="190"/>
      <c r="BR6" s="188">
        <f>BR5-BR5/1.15</f>
        <v>1.5652173913043477</v>
      </c>
      <c r="BS6" s="189"/>
      <c r="BT6" s="190"/>
      <c r="BU6" s="188">
        <f>BU5-BU5/1.15</f>
        <v>1.5652173913043477</v>
      </c>
      <c r="BV6" s="189"/>
      <c r="BW6" s="190"/>
      <c r="BX6" s="188">
        <f>BX5-BX5/1.15</f>
        <v>1.5652173913043477</v>
      </c>
      <c r="BY6" s="189"/>
      <c r="BZ6" s="190"/>
      <c r="CA6" s="188">
        <f>CA5-CA5/1.15</f>
        <v>2.086956521739129</v>
      </c>
      <c r="CB6" s="189"/>
      <c r="CC6" s="190"/>
      <c r="CD6" s="188">
        <f>CD5-CD5/1.15</f>
        <v>0.26086956521739113</v>
      </c>
      <c r="CE6" s="189"/>
      <c r="CF6" s="190"/>
      <c r="CG6" s="188">
        <f>CG5-CG5/1.15</f>
        <v>0.26086956521739113</v>
      </c>
      <c r="CH6" s="189"/>
      <c r="CI6" s="190"/>
      <c r="CJ6" s="188">
        <f>CJ5-CJ5/1.15</f>
        <v>0.26086956521739113</v>
      </c>
      <c r="CK6" s="189"/>
      <c r="CL6" s="190"/>
      <c r="CM6" s="188">
        <f>CM5-CM5/1.15</f>
        <v>0.26086956521739113</v>
      </c>
      <c r="CN6" s="189"/>
      <c r="CO6" s="190"/>
      <c r="CP6" s="188">
        <f>CP5-CP5/1.15</f>
        <v>0.26086956521739113</v>
      </c>
      <c r="CQ6" s="189"/>
      <c r="CR6" s="190"/>
      <c r="CS6" s="182">
        <f>CS5-CS5/1.15</f>
        <v>1.3043478260869552</v>
      </c>
      <c r="CT6" s="183"/>
      <c r="CU6" s="184"/>
      <c r="CV6" s="182">
        <f>CV5-CV5/1.15</f>
        <v>0.26086956521739113</v>
      </c>
      <c r="CW6" s="183"/>
      <c r="CX6" s="184"/>
      <c r="CY6" s="182">
        <f>CY5-CY5/1.15</f>
        <v>0.26086956521739113</v>
      </c>
      <c r="CZ6" s="183"/>
      <c r="DA6" s="184"/>
      <c r="DB6" s="182">
        <f>DB5-DB5/1.15</f>
        <v>0.26086956521739113</v>
      </c>
      <c r="DC6" s="183"/>
      <c r="DD6" s="184"/>
      <c r="DE6" s="182">
        <f>DE5-DE5/1.15</f>
        <v>0.26086956521739113</v>
      </c>
      <c r="DF6" s="183"/>
      <c r="DG6" s="184"/>
      <c r="DH6" s="182">
        <f>DH5-DH5/1.15</f>
        <v>0.26086956521739113</v>
      </c>
      <c r="DI6" s="183"/>
      <c r="DJ6" s="184"/>
      <c r="DK6" s="182">
        <f>DK5-DK5/1.15</f>
        <v>0.26086956521739113</v>
      </c>
      <c r="DL6" s="183"/>
      <c r="DM6" s="184"/>
    </row>
    <row r="7" spans="1:117" ht="14.4" customHeight="1" x14ac:dyDescent="0.3">
      <c r="A7" s="212"/>
      <c r="B7" s="212"/>
      <c r="C7" s="212"/>
      <c r="D7" s="212"/>
      <c r="E7" s="8"/>
      <c r="F7" s="214"/>
      <c r="G7" s="214"/>
      <c r="H7" s="194" t="s">
        <v>4</v>
      </c>
      <c r="I7" s="195"/>
      <c r="J7" s="188">
        <f>J5-J4-J6</f>
        <v>15.131912684465419</v>
      </c>
      <c r="K7" s="189"/>
      <c r="L7" s="190"/>
      <c r="M7" s="188">
        <f>M5-M4-M6</f>
        <v>12.529111304347829</v>
      </c>
      <c r="N7" s="189"/>
      <c r="O7" s="190"/>
      <c r="P7" s="188">
        <f>P5-P4-P6</f>
        <v>14.445693392896622</v>
      </c>
      <c r="Q7" s="189"/>
      <c r="R7" s="190"/>
      <c r="S7" s="188">
        <f>S5-S4-S6</f>
        <v>13.584345055931195</v>
      </c>
      <c r="T7" s="189"/>
      <c r="U7" s="190"/>
      <c r="V7" s="188">
        <f>V5-V4-V6</f>
        <v>9.2262139501157279</v>
      </c>
      <c r="W7" s="189"/>
      <c r="X7" s="190"/>
      <c r="Y7" s="188">
        <f>Y5-Y4-Y6</f>
        <v>10.185027934568282</v>
      </c>
      <c r="Z7" s="189"/>
      <c r="AA7" s="190"/>
      <c r="AB7" s="188">
        <f>AB5-AB4-AB6</f>
        <v>10.791950004342471</v>
      </c>
      <c r="AC7" s="189"/>
      <c r="AD7" s="190"/>
      <c r="AE7" s="188">
        <f>AE5-AE4-AE6</f>
        <v>12.982770022883296</v>
      </c>
      <c r="AF7" s="189"/>
      <c r="AG7" s="190"/>
      <c r="AH7" s="188">
        <f>AH5-AH4-AH6</f>
        <v>7.1372990083905421</v>
      </c>
      <c r="AI7" s="189"/>
      <c r="AJ7" s="190"/>
      <c r="AK7" s="188">
        <f>AK5-AK4-AK6</f>
        <v>5.8229637204424112</v>
      </c>
      <c r="AL7" s="189"/>
      <c r="AM7" s="190"/>
      <c r="AN7" s="188">
        <f>AN5-AN4-AN6</f>
        <v>6.2532383526302446</v>
      </c>
      <c r="AO7" s="189"/>
      <c r="AP7" s="190"/>
      <c r="AQ7" s="188">
        <f>AQ5-AQ4-AQ6</f>
        <v>6.6662855835240293</v>
      </c>
      <c r="AR7" s="189"/>
      <c r="AS7" s="190"/>
      <c r="AT7" s="188">
        <f>AT5-AT4-AT6</f>
        <v>9.6801523407073997</v>
      </c>
      <c r="AU7" s="189"/>
      <c r="AV7" s="190"/>
      <c r="AW7" s="188">
        <f>AW5-AW4-AW6</f>
        <v>6.0856594696922883</v>
      </c>
      <c r="AX7" s="189"/>
      <c r="AY7" s="190"/>
      <c r="AZ7" s="188">
        <f>AZ5-AZ4-AZ6</f>
        <v>4.3433659241078386</v>
      </c>
      <c r="BA7" s="189"/>
      <c r="BB7" s="190"/>
      <c r="BC7" s="188">
        <f>BC5-BC4-BC6</f>
        <v>6.8308626781165156</v>
      </c>
      <c r="BD7" s="189"/>
      <c r="BE7" s="190"/>
      <c r="BF7" s="188">
        <f>BF5-BF4-BF6</f>
        <v>5.2211052154844504</v>
      </c>
      <c r="BG7" s="189"/>
      <c r="BH7" s="190"/>
      <c r="BI7" s="191">
        <f>BI5-BI4-BI6</f>
        <v>4.829140454607078</v>
      </c>
      <c r="BJ7" s="192"/>
      <c r="BK7" s="193"/>
      <c r="BL7" s="188">
        <f>BL5-BL4-BL6</f>
        <v>6.9140116659643738</v>
      </c>
      <c r="BM7" s="189"/>
      <c r="BN7" s="190"/>
      <c r="BO7" s="188">
        <f>BO5-BO4-BO6</f>
        <v>5.977438819221967</v>
      </c>
      <c r="BP7" s="189"/>
      <c r="BQ7" s="190"/>
      <c r="BR7" s="188">
        <f>BR5-BR4-BR6</f>
        <v>4.6527394642930364</v>
      </c>
      <c r="BS7" s="189"/>
      <c r="BT7" s="190"/>
      <c r="BU7" s="188">
        <f>BU5-BU4-BU6</f>
        <v>4.9225044677225185</v>
      </c>
      <c r="BV7" s="189"/>
      <c r="BW7" s="190"/>
      <c r="BX7" s="188">
        <f>BX5-BX4-BX6</f>
        <v>6.4091957078296486</v>
      </c>
      <c r="BY7" s="189"/>
      <c r="BZ7" s="190"/>
      <c r="CA7" s="188">
        <f>CA5-CA4-CA6</f>
        <v>7.4461211035115298</v>
      </c>
      <c r="CB7" s="189"/>
      <c r="CC7" s="190"/>
      <c r="CD7" s="188">
        <f>CD5-CD4-CD6</f>
        <v>1.1110716855817322</v>
      </c>
      <c r="CE7" s="189"/>
      <c r="CF7" s="190"/>
      <c r="CG7" s="188">
        <f>CG5-CG4-CG6</f>
        <v>1.1739913028161917</v>
      </c>
      <c r="CH7" s="189"/>
      <c r="CI7" s="190"/>
      <c r="CJ7" s="188">
        <f>CJ5-CJ4-CJ6</f>
        <v>0.99561043478260891</v>
      </c>
      <c r="CK7" s="189"/>
      <c r="CL7" s="190"/>
      <c r="CM7" s="188">
        <f>CM5-CM4-CM6</f>
        <v>1.2194441938456269</v>
      </c>
      <c r="CN7" s="189"/>
      <c r="CO7" s="190"/>
      <c r="CP7" s="188">
        <f>CP5-CP4-CP6</f>
        <v>1.2095184567633233</v>
      </c>
      <c r="CQ7" s="189"/>
      <c r="CR7" s="190"/>
      <c r="CS7" s="182">
        <f>CS5-CS4-CS6</f>
        <v>4.4032601509739768</v>
      </c>
      <c r="CT7" s="183"/>
      <c r="CU7" s="184"/>
      <c r="CV7" s="182">
        <f>CV5-CV4-CV6</f>
        <v>-69.474581794608071</v>
      </c>
      <c r="CW7" s="183"/>
      <c r="CX7" s="184"/>
      <c r="CY7" s="182">
        <f>CY5-CY4-CY6</f>
        <v>-4.0109114433535904</v>
      </c>
      <c r="CZ7" s="183"/>
      <c r="DA7" s="184"/>
      <c r="DB7" s="182">
        <f>DB5-DB4-DB6</f>
        <v>-0.16061064038333539</v>
      </c>
      <c r="DC7" s="183"/>
      <c r="DD7" s="184"/>
      <c r="DE7" s="182">
        <f>DE5-DE4-DE6</f>
        <v>1.4950373867855489</v>
      </c>
      <c r="DF7" s="183"/>
      <c r="DG7" s="184"/>
      <c r="DH7" s="182">
        <f>DH5-DH4-DH6</f>
        <v>-1.4680817228578689</v>
      </c>
      <c r="DI7" s="183"/>
      <c r="DJ7" s="184"/>
      <c r="DK7" s="182">
        <f>DK5-DK4-DK6</f>
        <v>-1.2512546148339894</v>
      </c>
      <c r="DL7" s="183"/>
      <c r="DM7" s="184"/>
    </row>
    <row r="8" spans="1:117" ht="14.4" customHeight="1" x14ac:dyDescent="0.3">
      <c r="A8" s="212"/>
      <c r="B8" s="212"/>
      <c r="C8" s="212"/>
      <c r="D8" s="212"/>
      <c r="E8" s="1"/>
      <c r="F8" s="214"/>
      <c r="G8" s="214"/>
      <c r="H8" s="212" t="s">
        <v>48</v>
      </c>
      <c r="I8" s="194"/>
      <c r="J8" s="201">
        <f>J4/(J5-J6)</f>
        <v>0.51661945591291025</v>
      </c>
      <c r="K8" s="202"/>
      <c r="L8" s="203"/>
      <c r="M8" s="201">
        <f>M4/(M5-M6)</f>
        <v>0.50315593103448275</v>
      </c>
      <c r="N8" s="202"/>
      <c r="O8" s="203"/>
      <c r="P8" s="201">
        <f>P4/(P5-P6)</f>
        <v>0.38472046659884751</v>
      </c>
      <c r="Q8" s="202"/>
      <c r="R8" s="203"/>
      <c r="S8" s="201">
        <f>S4/(S5-S6)</f>
        <v>0.42140752539552329</v>
      </c>
      <c r="T8" s="202"/>
      <c r="U8" s="203"/>
      <c r="V8" s="201">
        <f>V4/(V5-V6)</f>
        <v>0.53868930249421365</v>
      </c>
      <c r="W8" s="202"/>
      <c r="X8" s="203"/>
      <c r="Y8" s="201">
        <f>Y4/(Y5-Y6)</f>
        <v>0.44224847024983227</v>
      </c>
      <c r="Z8" s="202"/>
      <c r="AA8" s="203"/>
      <c r="AB8" s="201">
        <f>AB4/(AB5-AB6)</f>
        <v>0.40901226166696003</v>
      </c>
      <c r="AC8" s="202"/>
      <c r="AD8" s="203"/>
      <c r="AE8" s="201">
        <f>AE4/(AE5-AE6)</f>
        <v>0.35086149885583523</v>
      </c>
      <c r="AF8" s="202"/>
      <c r="AG8" s="203"/>
      <c r="AH8" s="201">
        <f>AH4/(AH5-AH6)</f>
        <v>0.31600884502923976</v>
      </c>
      <c r="AI8" s="202"/>
      <c r="AJ8" s="203"/>
      <c r="AK8" s="201">
        <f>AK4/(AK5-AK6)</f>
        <v>0.44196597679093558</v>
      </c>
      <c r="AL8" s="202"/>
      <c r="AM8" s="203"/>
      <c r="AN8" s="201">
        <f>AN4/(AN5-AN6)</f>
        <v>0.52058505963168134</v>
      </c>
      <c r="AO8" s="202"/>
      <c r="AP8" s="203"/>
      <c r="AQ8" s="201">
        <f>AQ4/(AQ5-AQ6)</f>
        <v>0.52086072368421044</v>
      </c>
      <c r="AR8" s="202"/>
      <c r="AS8" s="203"/>
      <c r="AT8" s="201">
        <f>AT4/(AT5-AT6)</f>
        <v>0.30423905051165573</v>
      </c>
      <c r="AU8" s="202"/>
      <c r="AV8" s="203"/>
      <c r="AW8" s="201">
        <f>AW4/(AW5-AW6)</f>
        <v>0.41679096748782235</v>
      </c>
      <c r="AX8" s="202"/>
      <c r="AY8" s="203"/>
      <c r="AZ8" s="201">
        <f>AZ4/(AZ5-AZ6)</f>
        <v>0.58376076560633217</v>
      </c>
      <c r="BA8" s="202"/>
      <c r="BB8" s="203"/>
      <c r="BC8" s="201">
        <f>BC4/(BC5-BC6)</f>
        <v>0.34537566001383391</v>
      </c>
      <c r="BD8" s="202"/>
      <c r="BE8" s="203"/>
      <c r="BF8" s="201">
        <f>BF4/(BF5-BF6)</f>
        <v>0.49964408351607353</v>
      </c>
      <c r="BG8" s="202"/>
      <c r="BH8" s="203"/>
      <c r="BI8" s="209">
        <f>BI4/(BI5-BI6)</f>
        <v>0.53720737310015498</v>
      </c>
      <c r="BJ8" s="210"/>
      <c r="BK8" s="211"/>
      <c r="BL8" s="201">
        <f>BL4/(BL5-BL6)</f>
        <v>0.33740721534508078</v>
      </c>
      <c r="BM8" s="202"/>
      <c r="BN8" s="203"/>
      <c r="BO8" s="201">
        <f>BO4/(BO5-BO6)</f>
        <v>0.42716211315789482</v>
      </c>
      <c r="BP8" s="202"/>
      <c r="BQ8" s="203"/>
      <c r="BR8" s="201">
        <f>BR4/(BR5-BR6)</f>
        <v>0.55411246800525071</v>
      </c>
      <c r="BS8" s="202"/>
      <c r="BT8" s="203"/>
      <c r="BU8" s="201">
        <f>BU4/(BU5-BU6)</f>
        <v>0.52825998850992528</v>
      </c>
      <c r="BV8" s="202"/>
      <c r="BW8" s="203"/>
      <c r="BX8" s="201">
        <f>BX4/(BX5-BX6)</f>
        <v>0.38578541133299199</v>
      </c>
      <c r="BY8" s="202"/>
      <c r="BZ8" s="203"/>
      <c r="CA8" s="201">
        <f>CA4/(CA5-CA6)</f>
        <v>0.46481004568510886</v>
      </c>
      <c r="CB8" s="202"/>
      <c r="CC8" s="203"/>
      <c r="CD8" s="201">
        <f>CD4/(CD5-CD6)</f>
        <v>0.36113378079050401</v>
      </c>
      <c r="CE8" s="202"/>
      <c r="CF8" s="203"/>
      <c r="CG8" s="201">
        <f>CG4/(CG5-CG6)</f>
        <v>0.3249550008806899</v>
      </c>
      <c r="CH8" s="202"/>
      <c r="CI8" s="203"/>
      <c r="CJ8" s="201">
        <f>CJ4/(CJ5-CJ6)</f>
        <v>0.42752399999999996</v>
      </c>
      <c r="CK8" s="202"/>
      <c r="CL8" s="203"/>
      <c r="CM8" s="201">
        <f>CM4/(CM5-CM6)</f>
        <v>0.29881958853876456</v>
      </c>
      <c r="CN8" s="202"/>
      <c r="CO8" s="203"/>
      <c r="CP8" s="201">
        <f>CP4/(CP5-CP6)</f>
        <v>0.30452688736108918</v>
      </c>
      <c r="CQ8" s="202"/>
      <c r="CR8" s="203"/>
      <c r="CS8" s="185">
        <f>CS4/(CS5-CS6)</f>
        <v>0.49362508263799276</v>
      </c>
      <c r="CT8" s="186"/>
      <c r="CU8" s="187"/>
      <c r="CV8" s="185">
        <f>CV4/(CV5-CV6)</f>
        <v>40.947884531899639</v>
      </c>
      <c r="CW8" s="186"/>
      <c r="CX8" s="187"/>
      <c r="CY8" s="185">
        <f>CY4/(CY5-CY6)</f>
        <v>3.3062740799283143</v>
      </c>
      <c r="CZ8" s="186"/>
      <c r="DA8" s="187"/>
      <c r="DB8" s="185">
        <f>DB4/(DB5-DB6)</f>
        <v>1.0923511182204177</v>
      </c>
      <c r="DC8" s="186"/>
      <c r="DD8" s="187"/>
      <c r="DE8" s="185">
        <f>DE4/(DE5-DE6)</f>
        <v>0.14035350259830942</v>
      </c>
      <c r="DF8" s="186"/>
      <c r="DG8" s="187"/>
      <c r="DH8" s="185">
        <f>DH4/(DH5-DH6)</f>
        <v>1.8441469906432746</v>
      </c>
      <c r="DI8" s="186"/>
      <c r="DJ8" s="187"/>
      <c r="DK8" s="185">
        <f>DK4/(DK5-DK6)</f>
        <v>1.7194714035295438</v>
      </c>
      <c r="DL8" s="186"/>
      <c r="DM8" s="187"/>
    </row>
    <row r="9" spans="1:117" ht="27.65" customHeight="1" x14ac:dyDescent="0.3">
      <c r="A9" s="212"/>
      <c r="B9" s="212"/>
      <c r="C9" s="212"/>
      <c r="D9" s="212"/>
      <c r="E9" s="1"/>
      <c r="F9" s="215"/>
      <c r="G9" s="215"/>
      <c r="H9" s="1" t="s">
        <v>47</v>
      </c>
      <c r="I9" s="8" t="s">
        <v>49</v>
      </c>
      <c r="J9" s="10" t="s">
        <v>50</v>
      </c>
      <c r="K9" s="1" t="s">
        <v>51</v>
      </c>
      <c r="L9" s="31" t="s">
        <v>48</v>
      </c>
      <c r="M9" s="1" t="s">
        <v>50</v>
      </c>
      <c r="N9" s="1" t="s">
        <v>51</v>
      </c>
      <c r="O9" s="31" t="s">
        <v>48</v>
      </c>
      <c r="P9" s="1" t="s">
        <v>50</v>
      </c>
      <c r="Q9" s="1" t="s">
        <v>51</v>
      </c>
      <c r="R9" s="31" t="s">
        <v>48</v>
      </c>
      <c r="S9" s="1" t="s">
        <v>50</v>
      </c>
      <c r="T9" s="1" t="s">
        <v>51</v>
      </c>
      <c r="U9" s="31" t="s">
        <v>48</v>
      </c>
      <c r="V9" s="1" t="s">
        <v>50</v>
      </c>
      <c r="W9" s="1" t="s">
        <v>51</v>
      </c>
      <c r="X9" s="31" t="s">
        <v>48</v>
      </c>
      <c r="Y9" s="1" t="s">
        <v>50</v>
      </c>
      <c r="Z9" s="1" t="s">
        <v>51</v>
      </c>
      <c r="AA9" s="31" t="s">
        <v>48</v>
      </c>
      <c r="AB9" s="1" t="s">
        <v>50</v>
      </c>
      <c r="AC9" s="1" t="s">
        <v>51</v>
      </c>
      <c r="AD9" s="31" t="s">
        <v>48</v>
      </c>
      <c r="AE9" s="1" t="s">
        <v>50</v>
      </c>
      <c r="AF9" s="36" t="s">
        <v>51</v>
      </c>
      <c r="AG9" s="2" t="s">
        <v>48</v>
      </c>
      <c r="AH9" s="1" t="s">
        <v>50</v>
      </c>
      <c r="AI9" s="1" t="s">
        <v>51</v>
      </c>
      <c r="AJ9" s="31" t="s">
        <v>48</v>
      </c>
      <c r="AK9" s="1" t="s">
        <v>50</v>
      </c>
      <c r="AL9" s="1" t="s">
        <v>51</v>
      </c>
      <c r="AM9" s="31" t="s">
        <v>48</v>
      </c>
      <c r="AN9" s="1" t="s">
        <v>50</v>
      </c>
      <c r="AO9" s="1" t="s">
        <v>51</v>
      </c>
      <c r="AP9" s="31" t="s">
        <v>48</v>
      </c>
      <c r="AQ9" s="1" t="s">
        <v>50</v>
      </c>
      <c r="AR9" s="1" t="s">
        <v>51</v>
      </c>
      <c r="AS9" s="31" t="s">
        <v>48</v>
      </c>
      <c r="AT9" s="1" t="s">
        <v>50</v>
      </c>
      <c r="AU9" s="1" t="s">
        <v>51</v>
      </c>
      <c r="AV9" s="31" t="s">
        <v>48</v>
      </c>
      <c r="AW9" s="1" t="s">
        <v>50</v>
      </c>
      <c r="AX9" s="1" t="s">
        <v>51</v>
      </c>
      <c r="AY9" s="31" t="s">
        <v>48</v>
      </c>
      <c r="AZ9" s="1" t="s">
        <v>50</v>
      </c>
      <c r="BA9" s="1" t="s">
        <v>51</v>
      </c>
      <c r="BB9" s="31" t="s">
        <v>48</v>
      </c>
      <c r="BC9" s="1" t="s">
        <v>50</v>
      </c>
      <c r="BD9" s="1" t="s">
        <v>51</v>
      </c>
      <c r="BE9" s="31" t="s">
        <v>48</v>
      </c>
      <c r="BF9" s="1" t="s">
        <v>50</v>
      </c>
      <c r="BG9" s="1" t="s">
        <v>51</v>
      </c>
      <c r="BH9" s="31" t="s">
        <v>48</v>
      </c>
      <c r="BI9" s="1" t="s">
        <v>50</v>
      </c>
      <c r="BJ9" s="1" t="s">
        <v>51</v>
      </c>
      <c r="BK9" s="31" t="s">
        <v>48</v>
      </c>
      <c r="BL9" s="1" t="s">
        <v>50</v>
      </c>
      <c r="BM9" s="1" t="s">
        <v>51</v>
      </c>
      <c r="BN9" s="31" t="s">
        <v>48</v>
      </c>
      <c r="BO9" s="1" t="s">
        <v>50</v>
      </c>
      <c r="BP9" s="1" t="s">
        <v>51</v>
      </c>
      <c r="BQ9" s="31" t="s">
        <v>48</v>
      </c>
      <c r="BR9" s="1" t="s">
        <v>50</v>
      </c>
      <c r="BS9" s="1" t="s">
        <v>51</v>
      </c>
      <c r="BT9" s="31" t="s">
        <v>48</v>
      </c>
      <c r="BU9" s="1" t="s">
        <v>50</v>
      </c>
      <c r="BV9" s="1" t="s">
        <v>51</v>
      </c>
      <c r="BW9" s="31" t="s">
        <v>48</v>
      </c>
      <c r="BX9" s="1" t="s">
        <v>50</v>
      </c>
      <c r="BY9" s="1" t="s">
        <v>51</v>
      </c>
      <c r="BZ9" s="31" t="s">
        <v>48</v>
      </c>
      <c r="CA9" s="1" t="s">
        <v>50</v>
      </c>
      <c r="CB9" s="1" t="s">
        <v>51</v>
      </c>
      <c r="CC9" s="31" t="s">
        <v>48</v>
      </c>
      <c r="CD9" s="1" t="s">
        <v>50</v>
      </c>
      <c r="CE9" s="1" t="s">
        <v>51</v>
      </c>
      <c r="CF9" s="31" t="s">
        <v>48</v>
      </c>
      <c r="CG9" s="1" t="s">
        <v>50</v>
      </c>
      <c r="CH9" s="1" t="s">
        <v>51</v>
      </c>
      <c r="CI9" s="31" t="s">
        <v>48</v>
      </c>
      <c r="CJ9" s="1" t="s">
        <v>50</v>
      </c>
      <c r="CK9" s="1" t="s">
        <v>51</v>
      </c>
      <c r="CL9" s="31" t="s">
        <v>48</v>
      </c>
      <c r="CM9" s="1" t="s">
        <v>50</v>
      </c>
      <c r="CN9" s="1" t="s">
        <v>51</v>
      </c>
      <c r="CO9" s="31" t="s">
        <v>48</v>
      </c>
      <c r="CP9" s="1" t="s">
        <v>50</v>
      </c>
      <c r="CQ9" s="1" t="s">
        <v>51</v>
      </c>
      <c r="CR9" s="31" t="s">
        <v>48</v>
      </c>
      <c r="CS9" s="1" t="s">
        <v>50</v>
      </c>
      <c r="CT9" s="1" t="s">
        <v>51</v>
      </c>
      <c r="CU9" s="31" t="s">
        <v>48</v>
      </c>
      <c r="CV9" s="1" t="s">
        <v>50</v>
      </c>
      <c r="CW9" s="1" t="s">
        <v>51</v>
      </c>
      <c r="CX9" s="31" t="s">
        <v>48</v>
      </c>
      <c r="CY9" s="1" t="s">
        <v>50</v>
      </c>
      <c r="CZ9" s="1" t="s">
        <v>51</v>
      </c>
      <c r="DA9" s="31" t="s">
        <v>48</v>
      </c>
      <c r="DB9" s="1" t="s">
        <v>50</v>
      </c>
      <c r="DC9" s="1" t="s">
        <v>51</v>
      </c>
      <c r="DD9" s="31" t="s">
        <v>48</v>
      </c>
      <c r="DE9" s="1" t="s">
        <v>50</v>
      </c>
      <c r="DF9" s="1" t="s">
        <v>51</v>
      </c>
      <c r="DG9" s="31" t="s">
        <v>48</v>
      </c>
      <c r="DH9" s="1" t="s">
        <v>50</v>
      </c>
      <c r="DI9" s="1" t="s">
        <v>51</v>
      </c>
      <c r="DJ9" s="31" t="s">
        <v>48</v>
      </c>
      <c r="DK9" s="1" t="s">
        <v>50</v>
      </c>
      <c r="DL9" s="1" t="s">
        <v>51</v>
      </c>
      <c r="DM9" s="31" t="s">
        <v>48</v>
      </c>
    </row>
    <row r="10" spans="1:117" s="6" customFormat="1" ht="22.25" customHeight="1" x14ac:dyDescent="0.35">
      <c r="A10" s="4">
        <v>1</v>
      </c>
      <c r="B10" s="4" t="s">
        <v>52</v>
      </c>
      <c r="C10" s="4" t="s">
        <v>53</v>
      </c>
      <c r="D10" s="7">
        <f>E10/G10</f>
        <v>19.375</v>
      </c>
      <c r="E10" s="7">
        <v>15.5</v>
      </c>
      <c r="F10" s="7">
        <v>1</v>
      </c>
      <c r="G10" s="7">
        <v>0.8</v>
      </c>
      <c r="H10" s="7">
        <f>D10*15%</f>
        <v>2.90625</v>
      </c>
      <c r="I10" s="9">
        <f t="shared" ref="I10:I15" si="0">H10+D10</f>
        <v>22.28125</v>
      </c>
      <c r="J10" s="13"/>
      <c r="K10" s="12">
        <f>J10*D10</f>
        <v>0</v>
      </c>
      <c r="L10" s="32">
        <f>K10/$J$2</f>
        <v>0</v>
      </c>
      <c r="M10" s="12"/>
      <c r="N10" s="12">
        <f>M10*D10</f>
        <v>0</v>
      </c>
      <c r="O10" s="32">
        <f>N10/$M$2</f>
        <v>0</v>
      </c>
      <c r="P10" s="12"/>
      <c r="Q10" s="12">
        <f>P10*D10</f>
        <v>0</v>
      </c>
      <c r="R10" s="32">
        <f>Q10/$P$2</f>
        <v>0</v>
      </c>
      <c r="S10" s="12">
        <v>0.12</v>
      </c>
      <c r="T10" s="12">
        <f>S10*D10</f>
        <v>2.3249999999999997</v>
      </c>
      <c r="U10" s="32">
        <f>T10/$S$2</f>
        <v>0.46186708043525315</v>
      </c>
      <c r="V10" s="12"/>
      <c r="W10" s="12">
        <f>V10*D10</f>
        <v>0</v>
      </c>
      <c r="X10" s="32">
        <f>W10/$V$2</f>
        <v>0</v>
      </c>
      <c r="Y10" s="12"/>
      <c r="Z10" s="12">
        <f>Y10*D10</f>
        <v>0</v>
      </c>
      <c r="AA10" s="32">
        <f>Z10/$Y$2</f>
        <v>0</v>
      </c>
      <c r="AB10" s="12"/>
      <c r="AC10" s="12">
        <f>AB10*D10</f>
        <v>0</v>
      </c>
      <c r="AD10" s="32">
        <f>AC10/$AB$2</f>
        <v>0</v>
      </c>
      <c r="AE10" s="12"/>
      <c r="AF10" s="37">
        <f>AE10*D10</f>
        <v>0</v>
      </c>
      <c r="AG10" s="14">
        <f>AF10/$AE$2</f>
        <v>0</v>
      </c>
      <c r="AH10" s="12"/>
      <c r="AI10" s="12">
        <f>AH10*D10</f>
        <v>0</v>
      </c>
      <c r="AJ10" s="32">
        <f>AI10/$AH$2</f>
        <v>0</v>
      </c>
      <c r="AK10" s="12"/>
      <c r="AL10" s="12">
        <f>AK10*D10</f>
        <v>0</v>
      </c>
      <c r="AM10" s="32">
        <f>AL10/$AK$2</f>
        <v>0</v>
      </c>
      <c r="AN10" s="12"/>
      <c r="AO10" s="12">
        <f>AN10*D10</f>
        <v>0</v>
      </c>
      <c r="AP10" s="32">
        <f>AO10/$AN$2</f>
        <v>0</v>
      </c>
      <c r="AQ10" s="12"/>
      <c r="AR10" s="12">
        <f>AQ10*D10</f>
        <v>0</v>
      </c>
      <c r="AS10" s="32">
        <f>AR10/$AQ$2</f>
        <v>0</v>
      </c>
      <c r="AT10" s="12"/>
      <c r="AU10" s="12">
        <f>D10*AT10</f>
        <v>0</v>
      </c>
      <c r="AV10" s="32">
        <f>AU10/$AT$2</f>
        <v>0</v>
      </c>
      <c r="AW10" s="12"/>
      <c r="AX10" s="12">
        <f>D10*AW10</f>
        <v>0</v>
      </c>
      <c r="AY10" s="32">
        <f>AX10/$AW$2</f>
        <v>0</v>
      </c>
      <c r="AZ10" s="12"/>
      <c r="BA10" s="12">
        <f>AZ10*D10</f>
        <v>0</v>
      </c>
      <c r="BB10" s="32">
        <f>BA10/$AZ$2</f>
        <v>0</v>
      </c>
      <c r="BC10" s="12"/>
      <c r="BD10" s="12">
        <f>D10*BC10</f>
        <v>0</v>
      </c>
      <c r="BE10" s="32">
        <f>BD10/$BC$2</f>
        <v>0</v>
      </c>
      <c r="BF10" s="12"/>
      <c r="BG10" s="12">
        <f>D10*BF10</f>
        <v>0</v>
      </c>
      <c r="BH10" s="32">
        <f>BG10/$BF$2</f>
        <v>0</v>
      </c>
      <c r="BI10" s="12"/>
      <c r="BJ10" s="12">
        <f>BI10*D10</f>
        <v>0</v>
      </c>
      <c r="BK10" s="32">
        <f>BJ10/$BI$2</f>
        <v>0</v>
      </c>
      <c r="BL10" s="12"/>
      <c r="BM10" s="12">
        <f>BL10*D10</f>
        <v>0</v>
      </c>
      <c r="BN10" s="32">
        <f>BM10/$BL$2</f>
        <v>0</v>
      </c>
      <c r="BO10" s="12"/>
      <c r="BP10" s="12">
        <f>BO10*D10</f>
        <v>0</v>
      </c>
      <c r="BQ10" s="32">
        <f>BP10/$BO$2</f>
        <v>0</v>
      </c>
      <c r="BR10" s="12"/>
      <c r="BS10" s="12">
        <f>D10*BR10</f>
        <v>0</v>
      </c>
      <c r="BT10" s="32">
        <f>BS10/$BR$2</f>
        <v>0</v>
      </c>
      <c r="BU10" s="12"/>
      <c r="BV10" s="12">
        <f>BU10*D10</f>
        <v>0</v>
      </c>
      <c r="BW10" s="32">
        <f>BV10/$BU$2</f>
        <v>0</v>
      </c>
      <c r="BX10" s="12"/>
      <c r="BY10" s="12">
        <f>D10*BX10</f>
        <v>0</v>
      </c>
      <c r="BZ10" s="32">
        <f>BY10/$BX$2</f>
        <v>0</v>
      </c>
      <c r="CA10" s="12"/>
      <c r="CB10" s="12">
        <f>CA10*D10</f>
        <v>0</v>
      </c>
      <c r="CC10" s="32">
        <f>CB10/$CA$2</f>
        <v>0</v>
      </c>
      <c r="CD10" s="12"/>
      <c r="CE10" s="12">
        <f>D10*CD10</f>
        <v>0</v>
      </c>
      <c r="CF10" s="32">
        <f>CE10/$CD$2</f>
        <v>0</v>
      </c>
      <c r="CG10" s="12"/>
      <c r="CH10" s="12">
        <f>D10*CG10</f>
        <v>0</v>
      </c>
      <c r="CI10" s="32">
        <f>CH10/$CG$2</f>
        <v>0</v>
      </c>
      <c r="CJ10" s="12"/>
      <c r="CK10" s="12">
        <f>D10*CJ10</f>
        <v>0</v>
      </c>
      <c r="CL10" s="32">
        <f>CK10/$CJ$2</f>
        <v>0</v>
      </c>
      <c r="CM10" s="12"/>
      <c r="CN10" s="12">
        <f>D10*CM10</f>
        <v>0</v>
      </c>
      <c r="CO10" s="32">
        <f>CN10/$CM$2</f>
        <v>0</v>
      </c>
      <c r="CP10" s="12"/>
      <c r="CQ10" s="12">
        <f>CP10*D10</f>
        <v>0</v>
      </c>
      <c r="CR10" s="32">
        <f>CQ10/$CP$2</f>
        <v>0</v>
      </c>
      <c r="CS10" s="12"/>
      <c r="CT10" s="12">
        <f>CS10*G10</f>
        <v>0</v>
      </c>
      <c r="CU10" s="32">
        <f>CT10/$CP$2</f>
        <v>0</v>
      </c>
      <c r="CV10" s="12"/>
      <c r="CW10" s="12">
        <f>CV10*D10</f>
        <v>0</v>
      </c>
      <c r="CX10" s="32">
        <f>CW10/$CP$2</f>
        <v>0</v>
      </c>
      <c r="CY10" s="12"/>
      <c r="CZ10" s="12">
        <f>CY10*M10</f>
        <v>0</v>
      </c>
      <c r="DA10" s="32">
        <f>CZ10/$CP$2</f>
        <v>0</v>
      </c>
      <c r="DB10" s="12"/>
      <c r="DC10" s="12">
        <f>DB10*P10</f>
        <v>0</v>
      </c>
      <c r="DD10" s="32">
        <f>DC10/$CP$2</f>
        <v>0</v>
      </c>
      <c r="DE10" s="12"/>
      <c r="DF10" s="12">
        <f>DE10*D10</f>
        <v>0</v>
      </c>
      <c r="DG10" s="32">
        <f>DF10/$CP$2</f>
        <v>0</v>
      </c>
      <c r="DH10" s="12"/>
      <c r="DI10" s="12">
        <f t="shared" ref="DI10:DI41" si="1">DH10*D10</f>
        <v>0</v>
      </c>
      <c r="DJ10" s="32">
        <f>DI10/$CP$2</f>
        <v>0</v>
      </c>
      <c r="DK10" s="12"/>
      <c r="DL10" s="12">
        <f>DK10*D10</f>
        <v>0</v>
      </c>
      <c r="DM10" s="32">
        <f>DL10/$CP$2</f>
        <v>0</v>
      </c>
    </row>
    <row r="11" spans="1:117" s="6" customFormat="1" ht="22.25" customHeight="1" x14ac:dyDescent="0.35">
      <c r="A11" s="4">
        <v>2</v>
      </c>
      <c r="B11" s="4" t="s">
        <v>54</v>
      </c>
      <c r="C11" s="4" t="s">
        <v>55</v>
      </c>
      <c r="D11" s="7">
        <f t="shared" ref="D11:D74" si="2">E11/G11</f>
        <v>58.75</v>
      </c>
      <c r="E11" s="7">
        <v>47</v>
      </c>
      <c r="F11" s="7">
        <v>1</v>
      </c>
      <c r="G11" s="7">
        <v>0.8</v>
      </c>
      <c r="H11" s="7">
        <f>D11*15%</f>
        <v>8.8125</v>
      </c>
      <c r="I11" s="9">
        <f t="shared" si="0"/>
        <v>67.5625</v>
      </c>
      <c r="J11" s="13">
        <v>0.12</v>
      </c>
      <c r="K11" s="12">
        <f>J11*D11</f>
        <v>7.05</v>
      </c>
      <c r="L11" s="32">
        <f t="shared" ref="L11:L72" si="3">K11/$J$2</f>
        <v>0.72737138778733545</v>
      </c>
      <c r="M11" s="12"/>
      <c r="N11" s="12">
        <f t="shared" ref="N11:N72" si="4">M11*D11</f>
        <v>0</v>
      </c>
      <c r="O11" s="32">
        <f t="shared" ref="O11:O72" si="5">N11/$M$2</f>
        <v>0</v>
      </c>
      <c r="P11" s="12"/>
      <c r="Q11" s="12">
        <f t="shared" ref="Q11:Q16" si="6">P11*D11</f>
        <v>0</v>
      </c>
      <c r="R11" s="32">
        <f t="shared" ref="R11:R72" si="7">Q11/$P$2</f>
        <v>0</v>
      </c>
      <c r="S11" s="12"/>
      <c r="T11" s="12">
        <f t="shared" ref="T11:T72" si="8">S11*D11</f>
        <v>0</v>
      </c>
      <c r="U11" s="32">
        <f t="shared" ref="U11:U72" si="9">T11/$S$2</f>
        <v>0</v>
      </c>
      <c r="V11" s="12">
        <v>7.0000000000000007E-2</v>
      </c>
      <c r="W11" s="12">
        <f t="shared" ref="W11:W72" si="10">V11*D11</f>
        <v>4.1125000000000007</v>
      </c>
      <c r="X11" s="32">
        <f t="shared" ref="X11:X72" si="11">W11/$V$2</f>
        <v>0.61993256476393965</v>
      </c>
      <c r="Y11" s="12"/>
      <c r="Z11" s="12">
        <f t="shared" ref="Z11:Z72" si="12">Y11*D11</f>
        <v>0</v>
      </c>
      <c r="AA11" s="32">
        <f t="shared" ref="AA11:AA72" si="13">Z11/$Y$2</f>
        <v>0</v>
      </c>
      <c r="AB11" s="12"/>
      <c r="AC11" s="12">
        <f t="shared" ref="AC11:AC72" si="14">AB11*D11</f>
        <v>0</v>
      </c>
      <c r="AD11" s="32">
        <f t="shared" ref="AD11:AD72" si="15">AC11/$AB$2</f>
        <v>0</v>
      </c>
      <c r="AE11" s="12"/>
      <c r="AF11" s="37">
        <f t="shared" ref="AF11:AF72" si="16">AE11*D11</f>
        <v>0</v>
      </c>
      <c r="AG11" s="14">
        <f t="shared" ref="AG11:AG72" si="17">AF11/$AE$2</f>
        <v>0</v>
      </c>
      <c r="AH11" s="12"/>
      <c r="AI11" s="12">
        <f t="shared" ref="AI11:AI72" si="18">AH11*D11</f>
        <v>0</v>
      </c>
      <c r="AJ11" s="32">
        <f t="shared" ref="AJ11:AJ72" si="19">AI11/$AH$2</f>
        <v>0</v>
      </c>
      <c r="AK11" s="12"/>
      <c r="AL11" s="12">
        <f t="shared" ref="AL11:AL72" si="20">AK11*D11</f>
        <v>0</v>
      </c>
      <c r="AM11" s="32">
        <f t="shared" ref="AM11:AM72" si="21">AL11/$AK$2</f>
        <v>0</v>
      </c>
      <c r="AN11" s="12"/>
      <c r="AO11" s="12">
        <f t="shared" ref="AO11:AO72" si="22">AN11*D11</f>
        <v>0</v>
      </c>
      <c r="AP11" s="32">
        <f t="shared" ref="AP11:AP72" si="23">AO11/$AN$2</f>
        <v>0</v>
      </c>
      <c r="AQ11" s="12"/>
      <c r="AR11" s="12">
        <f t="shared" ref="AR11:AR72" si="24">AQ11*D11</f>
        <v>0</v>
      </c>
      <c r="AS11" s="32">
        <f t="shared" ref="AS11:AS72" si="25">AR11/$AQ$2</f>
        <v>0</v>
      </c>
      <c r="AT11" s="12"/>
      <c r="AU11" s="12">
        <f t="shared" ref="AU11:AU72" si="26">D11*AT11</f>
        <v>0</v>
      </c>
      <c r="AV11" s="32">
        <f t="shared" ref="AV11:AV72" si="27">AU11/$AT$2</f>
        <v>0</v>
      </c>
      <c r="AW11" s="12"/>
      <c r="AX11" s="12">
        <f t="shared" ref="AX11:AX72" si="28">D11*AW11</f>
        <v>0</v>
      </c>
      <c r="AY11" s="32">
        <f t="shared" ref="AY11:AY72" si="29">AX11/$AW$2</f>
        <v>0</v>
      </c>
      <c r="AZ11" s="12"/>
      <c r="BA11" s="12">
        <f t="shared" ref="BA11:BA72" si="30">AZ11*D11</f>
        <v>0</v>
      </c>
      <c r="BB11" s="32">
        <f t="shared" ref="BB11:BB72" si="31">BA11/$AZ$2</f>
        <v>0</v>
      </c>
      <c r="BC11" s="12"/>
      <c r="BD11" s="12">
        <f t="shared" ref="BD11:BD72" si="32">D11*BC11</f>
        <v>0</v>
      </c>
      <c r="BE11" s="32">
        <f t="shared" ref="BE11:BE72" si="33">BD11/$BC$2</f>
        <v>0</v>
      </c>
      <c r="BF11" s="12"/>
      <c r="BG11" s="12">
        <f t="shared" ref="BG11:BG72" si="34">D11*BF11</f>
        <v>0</v>
      </c>
      <c r="BH11" s="32">
        <f t="shared" ref="BH11:BH72" si="35">BG11/$BF$2</f>
        <v>0</v>
      </c>
      <c r="BI11" s="12"/>
      <c r="BJ11" s="12">
        <f t="shared" ref="BJ11:BJ72" si="36">BI11*D11</f>
        <v>0</v>
      </c>
      <c r="BK11" s="32">
        <f t="shared" ref="BK11:BK72" si="37">BJ11/$BI$2</f>
        <v>0</v>
      </c>
      <c r="BL11" s="12"/>
      <c r="BM11" s="12">
        <f t="shared" ref="BM11:BM72" si="38">BL11*D11</f>
        <v>0</v>
      </c>
      <c r="BN11" s="32">
        <f t="shared" ref="BN11:BN72" si="39">BM11/$BL$2</f>
        <v>0</v>
      </c>
      <c r="BO11" s="12"/>
      <c r="BP11" s="12">
        <f t="shared" ref="BP11:BP72" si="40">BO11*D11</f>
        <v>0</v>
      </c>
      <c r="BQ11" s="32">
        <f t="shared" ref="BQ11:BQ72" si="41">BP11/$BO$2</f>
        <v>0</v>
      </c>
      <c r="BR11" s="12"/>
      <c r="BS11" s="12">
        <f t="shared" ref="BS11:BS72" si="42">D11*BR11</f>
        <v>0</v>
      </c>
      <c r="BT11" s="32">
        <f t="shared" ref="BT11:BT72" si="43">BS11/$BR$2</f>
        <v>0</v>
      </c>
      <c r="BU11" s="12"/>
      <c r="BV11" s="12">
        <f t="shared" ref="BV11:BV72" si="44">BU11*D11</f>
        <v>0</v>
      </c>
      <c r="BW11" s="32">
        <f t="shared" ref="BW11:BW72" si="45">BV11/$BU$2</f>
        <v>0</v>
      </c>
      <c r="BX11" s="12"/>
      <c r="BY11" s="12">
        <f t="shared" ref="BY11:BY72" si="46">D11*BX11</f>
        <v>0</v>
      </c>
      <c r="BZ11" s="32">
        <f t="shared" ref="BZ11:BZ72" si="47">BY11/$BX$2</f>
        <v>0</v>
      </c>
      <c r="CA11" s="12">
        <v>0.03</v>
      </c>
      <c r="CB11" s="12">
        <f t="shared" ref="CB11:CB72" si="48">CA11*D11</f>
        <v>1.7625</v>
      </c>
      <c r="CC11" s="32">
        <f t="shared" ref="CC11:CC72" si="49">CB11/$CA$2</f>
        <v>0.49136831407542403</v>
      </c>
      <c r="CD11" s="12"/>
      <c r="CE11" s="12">
        <f t="shared" ref="CE11:CE72" si="50">D11*CD11</f>
        <v>0</v>
      </c>
      <c r="CF11" s="32">
        <f t="shared" ref="CF11:CF72" si="51">CE11/$CD$2</f>
        <v>0</v>
      </c>
      <c r="CG11" s="12"/>
      <c r="CH11" s="12">
        <f t="shared" ref="CH11:CH72" si="52">D11*CG11</f>
        <v>0</v>
      </c>
      <c r="CI11" s="32">
        <f t="shared" ref="CI11:CI72" si="53">CH11/$CG$2</f>
        <v>0</v>
      </c>
      <c r="CJ11" s="12"/>
      <c r="CK11" s="12">
        <f t="shared" ref="CK11:CK72" si="54">D11*CJ11</f>
        <v>0</v>
      </c>
      <c r="CL11" s="32">
        <f t="shared" ref="CL11:CL72" si="55">CK11/$CJ$2</f>
        <v>0</v>
      </c>
      <c r="CM11" s="12"/>
      <c r="CN11" s="12">
        <f t="shared" ref="CN11:CN72" si="56">D11*CM11</f>
        <v>0</v>
      </c>
      <c r="CO11" s="32">
        <f t="shared" ref="CO11:CO72" si="57">CN11/$CM$2</f>
        <v>0</v>
      </c>
      <c r="CP11" s="12"/>
      <c r="CQ11" s="12">
        <f t="shared" ref="CQ11:CQ72" si="58">CP11*D11</f>
        <v>0</v>
      </c>
      <c r="CR11" s="32">
        <f t="shared" ref="CR11:CR72" si="59">CQ11/$CP$2</f>
        <v>0</v>
      </c>
      <c r="CS11" s="12"/>
      <c r="CT11" s="12">
        <f t="shared" ref="CT11:CT74" si="60">CS11*G11</f>
        <v>0</v>
      </c>
      <c r="CU11" s="32">
        <f t="shared" ref="CU11:CU74" si="61">CT11/$CP$2</f>
        <v>0</v>
      </c>
      <c r="CV11" s="12"/>
      <c r="CW11" s="12">
        <f t="shared" ref="CW11:CW74" si="62">CV11*D11</f>
        <v>0</v>
      </c>
      <c r="CX11" s="32">
        <f t="shared" ref="CX11:CX74" si="63">CW11/$CP$2</f>
        <v>0</v>
      </c>
      <c r="CY11" s="12"/>
      <c r="CZ11" s="12">
        <f t="shared" ref="CZ11:CZ74" si="64">CY11*M11</f>
        <v>0</v>
      </c>
      <c r="DA11" s="32">
        <f t="shared" ref="DA11:DA74" si="65">CZ11/$CP$2</f>
        <v>0</v>
      </c>
      <c r="DB11" s="12"/>
      <c r="DC11" s="12">
        <f t="shared" ref="DC11:DC74" si="66">DB11*P11</f>
        <v>0</v>
      </c>
      <c r="DD11" s="32">
        <f t="shared" ref="DD11:DD74" si="67">DC11/$CP$2</f>
        <v>0</v>
      </c>
      <c r="DE11" s="12"/>
      <c r="DF11" s="12">
        <f t="shared" ref="DF11:DF74" si="68">DE11*D11</f>
        <v>0</v>
      </c>
      <c r="DG11" s="32">
        <f t="shared" ref="DG11:DG74" si="69">DF11/$CP$2</f>
        <v>0</v>
      </c>
      <c r="DH11" s="12"/>
      <c r="DI11" s="12">
        <f t="shared" si="1"/>
        <v>0</v>
      </c>
      <c r="DJ11" s="32">
        <f t="shared" ref="DJ11:DJ74" si="70">DI11/$CP$2</f>
        <v>0</v>
      </c>
      <c r="DK11" s="12"/>
      <c r="DL11" s="12">
        <f t="shared" ref="DL11:DL74" si="71">DK11*D11</f>
        <v>0</v>
      </c>
      <c r="DM11" s="32">
        <f t="shared" ref="DM11:DM74" si="72">DL11/$CP$2</f>
        <v>0</v>
      </c>
    </row>
    <row r="12" spans="1:117" s="6" customFormat="1" ht="22.25" customHeight="1" x14ac:dyDescent="0.35">
      <c r="A12" s="4">
        <v>3</v>
      </c>
      <c r="B12" s="4" t="s">
        <v>56</v>
      </c>
      <c r="C12" s="4" t="s">
        <v>57</v>
      </c>
      <c r="D12" s="7">
        <f t="shared" si="2"/>
        <v>50</v>
      </c>
      <c r="E12" s="7">
        <v>40</v>
      </c>
      <c r="F12" s="7">
        <v>1</v>
      </c>
      <c r="G12" s="7">
        <v>0.8</v>
      </c>
      <c r="H12" s="7">
        <f>D12*15%</f>
        <v>7.5</v>
      </c>
      <c r="I12" s="9">
        <f t="shared" si="0"/>
        <v>57.5</v>
      </c>
      <c r="J12" s="13"/>
      <c r="K12" s="12">
        <f t="shared" ref="K12:K72" si="73">J12*D12</f>
        <v>0</v>
      </c>
      <c r="L12" s="32">
        <f t="shared" si="3"/>
        <v>0</v>
      </c>
      <c r="M12" s="12">
        <v>0.05</v>
      </c>
      <c r="N12" s="12">
        <f t="shared" si="4"/>
        <v>2.5</v>
      </c>
      <c r="O12" s="32">
        <f t="shared" si="5"/>
        <v>0.33474909885542586</v>
      </c>
      <c r="P12" s="12"/>
      <c r="Q12" s="12">
        <f t="shared" si="6"/>
        <v>0</v>
      </c>
      <c r="R12" s="32">
        <f t="shared" si="7"/>
        <v>0</v>
      </c>
      <c r="S12" s="12"/>
      <c r="T12" s="12">
        <f t="shared" si="8"/>
        <v>0</v>
      </c>
      <c r="U12" s="32">
        <f t="shared" si="9"/>
        <v>0</v>
      </c>
      <c r="V12" s="12"/>
      <c r="W12" s="12">
        <f t="shared" si="10"/>
        <v>0</v>
      </c>
      <c r="X12" s="32">
        <f t="shared" si="11"/>
        <v>0</v>
      </c>
      <c r="Y12" s="12"/>
      <c r="Z12" s="12">
        <f t="shared" si="12"/>
        <v>0</v>
      </c>
      <c r="AA12" s="32">
        <f t="shared" si="13"/>
        <v>0</v>
      </c>
      <c r="AB12" s="12"/>
      <c r="AC12" s="12">
        <f t="shared" si="14"/>
        <v>0</v>
      </c>
      <c r="AD12" s="32">
        <f t="shared" si="15"/>
        <v>0</v>
      </c>
      <c r="AE12" s="12"/>
      <c r="AF12" s="37">
        <f t="shared" si="16"/>
        <v>0</v>
      </c>
      <c r="AG12" s="14">
        <f t="shared" si="17"/>
        <v>0</v>
      </c>
      <c r="AH12" s="12"/>
      <c r="AI12" s="12">
        <f t="shared" si="18"/>
        <v>0</v>
      </c>
      <c r="AJ12" s="32">
        <f t="shared" si="19"/>
        <v>0</v>
      </c>
      <c r="AK12" s="12"/>
      <c r="AL12" s="12">
        <f t="shared" si="20"/>
        <v>0</v>
      </c>
      <c r="AM12" s="32">
        <f t="shared" si="21"/>
        <v>0</v>
      </c>
      <c r="AN12" s="12"/>
      <c r="AO12" s="12">
        <f t="shared" si="22"/>
        <v>0</v>
      </c>
      <c r="AP12" s="32">
        <f t="shared" si="23"/>
        <v>0</v>
      </c>
      <c r="AQ12" s="12"/>
      <c r="AR12" s="12">
        <f t="shared" si="24"/>
        <v>0</v>
      </c>
      <c r="AS12" s="32">
        <f t="shared" si="25"/>
        <v>0</v>
      </c>
      <c r="AT12" s="12"/>
      <c r="AU12" s="12">
        <f t="shared" si="26"/>
        <v>0</v>
      </c>
      <c r="AV12" s="32">
        <f t="shared" si="27"/>
        <v>0</v>
      </c>
      <c r="AW12" s="12"/>
      <c r="AX12" s="12">
        <f t="shared" si="28"/>
        <v>0</v>
      </c>
      <c r="AY12" s="32">
        <f t="shared" si="29"/>
        <v>0</v>
      </c>
      <c r="AZ12" s="12"/>
      <c r="BA12" s="12">
        <f t="shared" si="30"/>
        <v>0</v>
      </c>
      <c r="BB12" s="32">
        <f t="shared" si="31"/>
        <v>0</v>
      </c>
      <c r="BC12" s="12"/>
      <c r="BD12" s="12">
        <f t="shared" si="32"/>
        <v>0</v>
      </c>
      <c r="BE12" s="32">
        <f t="shared" si="33"/>
        <v>0</v>
      </c>
      <c r="BF12" s="12"/>
      <c r="BG12" s="12">
        <f t="shared" si="34"/>
        <v>0</v>
      </c>
      <c r="BH12" s="32">
        <f t="shared" si="35"/>
        <v>0</v>
      </c>
      <c r="BI12" s="12"/>
      <c r="BJ12" s="12">
        <f t="shared" si="36"/>
        <v>0</v>
      </c>
      <c r="BK12" s="32">
        <f t="shared" si="37"/>
        <v>0</v>
      </c>
      <c r="BL12" s="12"/>
      <c r="BM12" s="12">
        <f t="shared" si="38"/>
        <v>0</v>
      </c>
      <c r="BN12" s="32">
        <f t="shared" si="39"/>
        <v>0</v>
      </c>
      <c r="BO12" s="12"/>
      <c r="BP12" s="12">
        <f t="shared" si="40"/>
        <v>0</v>
      </c>
      <c r="BQ12" s="32">
        <f t="shared" si="41"/>
        <v>0</v>
      </c>
      <c r="BR12" s="12"/>
      <c r="BS12" s="12">
        <f t="shared" si="42"/>
        <v>0</v>
      </c>
      <c r="BT12" s="32">
        <f t="shared" si="43"/>
        <v>0</v>
      </c>
      <c r="BU12" s="12"/>
      <c r="BV12" s="12">
        <f t="shared" si="44"/>
        <v>0</v>
      </c>
      <c r="BW12" s="32">
        <f t="shared" si="45"/>
        <v>0</v>
      </c>
      <c r="BX12" s="12"/>
      <c r="BY12" s="12">
        <f t="shared" si="46"/>
        <v>0</v>
      </c>
      <c r="BZ12" s="32">
        <f t="shared" si="47"/>
        <v>0</v>
      </c>
      <c r="CA12" s="12"/>
      <c r="CB12" s="12">
        <f t="shared" si="48"/>
        <v>0</v>
      </c>
      <c r="CC12" s="32">
        <f t="shared" si="49"/>
        <v>0</v>
      </c>
      <c r="CD12" s="12"/>
      <c r="CE12" s="12">
        <f t="shared" si="50"/>
        <v>0</v>
      </c>
      <c r="CF12" s="32">
        <f t="shared" si="51"/>
        <v>0</v>
      </c>
      <c r="CG12" s="12"/>
      <c r="CH12" s="12">
        <f t="shared" si="52"/>
        <v>0</v>
      </c>
      <c r="CI12" s="32">
        <f t="shared" si="53"/>
        <v>0</v>
      </c>
      <c r="CJ12" s="12"/>
      <c r="CK12" s="12">
        <f t="shared" si="54"/>
        <v>0</v>
      </c>
      <c r="CL12" s="32">
        <f t="shared" si="55"/>
        <v>0</v>
      </c>
      <c r="CM12" s="12"/>
      <c r="CN12" s="12">
        <f t="shared" si="56"/>
        <v>0</v>
      </c>
      <c r="CO12" s="32">
        <f t="shared" si="57"/>
        <v>0</v>
      </c>
      <c r="CP12" s="12"/>
      <c r="CQ12" s="12">
        <f t="shared" si="58"/>
        <v>0</v>
      </c>
      <c r="CR12" s="32">
        <f t="shared" si="59"/>
        <v>0</v>
      </c>
      <c r="CS12" s="12"/>
      <c r="CT12" s="12">
        <f t="shared" si="60"/>
        <v>0</v>
      </c>
      <c r="CU12" s="32">
        <f t="shared" si="61"/>
        <v>0</v>
      </c>
      <c r="CV12" s="12"/>
      <c r="CW12" s="12">
        <f t="shared" si="62"/>
        <v>0</v>
      </c>
      <c r="CX12" s="32">
        <f t="shared" si="63"/>
        <v>0</v>
      </c>
      <c r="CY12" s="12"/>
      <c r="CZ12" s="12">
        <f t="shared" si="64"/>
        <v>0</v>
      </c>
      <c r="DA12" s="32">
        <f t="shared" si="65"/>
        <v>0</v>
      </c>
      <c r="DB12" s="12"/>
      <c r="DC12" s="12">
        <f t="shared" si="66"/>
        <v>0</v>
      </c>
      <c r="DD12" s="32">
        <f t="shared" si="67"/>
        <v>0</v>
      </c>
      <c r="DE12" s="12"/>
      <c r="DF12" s="12">
        <f t="shared" si="68"/>
        <v>0</v>
      </c>
      <c r="DG12" s="32">
        <f t="shared" si="69"/>
        <v>0</v>
      </c>
      <c r="DH12" s="12"/>
      <c r="DI12" s="12">
        <f t="shared" si="1"/>
        <v>0</v>
      </c>
      <c r="DJ12" s="32">
        <f t="shared" si="70"/>
        <v>0</v>
      </c>
      <c r="DK12" s="12"/>
      <c r="DL12" s="12">
        <f t="shared" si="71"/>
        <v>0</v>
      </c>
      <c r="DM12" s="32">
        <f t="shared" si="72"/>
        <v>0</v>
      </c>
    </row>
    <row r="13" spans="1:117" s="6" customFormat="1" ht="22.25" customHeight="1" x14ac:dyDescent="0.35">
      <c r="A13" s="4">
        <v>4</v>
      </c>
      <c r="B13" s="4" t="s">
        <v>58</v>
      </c>
      <c r="C13" s="4" t="s">
        <v>59</v>
      </c>
      <c r="D13" s="7">
        <f t="shared" si="2"/>
        <v>50</v>
      </c>
      <c r="E13" s="7">
        <v>40</v>
      </c>
      <c r="F13" s="7">
        <v>1</v>
      </c>
      <c r="G13" s="7">
        <v>0.8</v>
      </c>
      <c r="H13" s="7">
        <f>D13*15%</f>
        <v>7.5</v>
      </c>
      <c r="I13" s="9">
        <f t="shared" si="0"/>
        <v>57.5</v>
      </c>
      <c r="J13" s="13"/>
      <c r="K13" s="12">
        <f t="shared" si="73"/>
        <v>0</v>
      </c>
      <c r="L13" s="32">
        <f t="shared" si="3"/>
        <v>0</v>
      </c>
      <c r="M13" s="12">
        <v>0.05</v>
      </c>
      <c r="N13" s="12">
        <f t="shared" si="4"/>
        <v>2.5</v>
      </c>
      <c r="O13" s="32">
        <f t="shared" si="5"/>
        <v>0.33474909885542586</v>
      </c>
      <c r="P13" s="12"/>
      <c r="Q13" s="12">
        <f t="shared" si="6"/>
        <v>0</v>
      </c>
      <c r="R13" s="32">
        <f t="shared" si="7"/>
        <v>0</v>
      </c>
      <c r="S13" s="12"/>
      <c r="T13" s="12">
        <f t="shared" si="8"/>
        <v>0</v>
      </c>
      <c r="U13" s="32">
        <f t="shared" si="9"/>
        <v>0</v>
      </c>
      <c r="V13" s="12"/>
      <c r="W13" s="12">
        <f t="shared" si="10"/>
        <v>0</v>
      </c>
      <c r="X13" s="32">
        <f t="shared" si="11"/>
        <v>0</v>
      </c>
      <c r="Y13" s="12"/>
      <c r="Z13" s="12">
        <f t="shared" si="12"/>
        <v>0</v>
      </c>
      <c r="AA13" s="32">
        <f t="shared" si="13"/>
        <v>0</v>
      </c>
      <c r="AB13" s="12"/>
      <c r="AC13" s="12">
        <f t="shared" si="14"/>
        <v>0</v>
      </c>
      <c r="AD13" s="32">
        <f t="shared" si="15"/>
        <v>0</v>
      </c>
      <c r="AE13" s="12"/>
      <c r="AF13" s="37">
        <f t="shared" si="16"/>
        <v>0</v>
      </c>
      <c r="AG13" s="14">
        <f t="shared" si="17"/>
        <v>0</v>
      </c>
      <c r="AH13" s="12"/>
      <c r="AI13" s="12">
        <f t="shared" si="18"/>
        <v>0</v>
      </c>
      <c r="AJ13" s="32">
        <f t="shared" si="19"/>
        <v>0</v>
      </c>
      <c r="AK13" s="12"/>
      <c r="AL13" s="12">
        <f t="shared" si="20"/>
        <v>0</v>
      </c>
      <c r="AM13" s="32">
        <f t="shared" si="21"/>
        <v>0</v>
      </c>
      <c r="AN13" s="12"/>
      <c r="AO13" s="12">
        <f t="shared" si="22"/>
        <v>0</v>
      </c>
      <c r="AP13" s="32">
        <f t="shared" si="23"/>
        <v>0</v>
      </c>
      <c r="AQ13" s="12"/>
      <c r="AR13" s="12">
        <f t="shared" si="24"/>
        <v>0</v>
      </c>
      <c r="AS13" s="32">
        <f t="shared" si="25"/>
        <v>0</v>
      </c>
      <c r="AT13" s="12"/>
      <c r="AU13" s="12">
        <f t="shared" si="26"/>
        <v>0</v>
      </c>
      <c r="AV13" s="32">
        <f t="shared" si="27"/>
        <v>0</v>
      </c>
      <c r="AW13" s="12"/>
      <c r="AX13" s="12">
        <f t="shared" si="28"/>
        <v>0</v>
      </c>
      <c r="AY13" s="32">
        <f t="shared" si="29"/>
        <v>0</v>
      </c>
      <c r="AZ13" s="12"/>
      <c r="BA13" s="12">
        <f t="shared" si="30"/>
        <v>0</v>
      </c>
      <c r="BB13" s="32">
        <f t="shared" si="31"/>
        <v>0</v>
      </c>
      <c r="BC13" s="12"/>
      <c r="BD13" s="12">
        <f t="shared" si="32"/>
        <v>0</v>
      </c>
      <c r="BE13" s="32">
        <f t="shared" si="33"/>
        <v>0</v>
      </c>
      <c r="BF13" s="12"/>
      <c r="BG13" s="12">
        <f t="shared" si="34"/>
        <v>0</v>
      </c>
      <c r="BH13" s="32">
        <f t="shared" si="35"/>
        <v>0</v>
      </c>
      <c r="BI13" s="12"/>
      <c r="BJ13" s="12">
        <f t="shared" si="36"/>
        <v>0</v>
      </c>
      <c r="BK13" s="32">
        <f t="shared" si="37"/>
        <v>0</v>
      </c>
      <c r="BL13" s="12"/>
      <c r="BM13" s="12">
        <f t="shared" si="38"/>
        <v>0</v>
      </c>
      <c r="BN13" s="32">
        <f t="shared" si="39"/>
        <v>0</v>
      </c>
      <c r="BO13" s="12">
        <v>0.02</v>
      </c>
      <c r="BP13" s="12">
        <f t="shared" si="40"/>
        <v>1</v>
      </c>
      <c r="BQ13" s="32">
        <f t="shared" si="41"/>
        <v>0.43528530844271118</v>
      </c>
      <c r="BR13" s="12"/>
      <c r="BS13" s="12">
        <f t="shared" si="42"/>
        <v>0</v>
      </c>
      <c r="BT13" s="32">
        <f t="shared" si="43"/>
        <v>0</v>
      </c>
      <c r="BU13" s="12"/>
      <c r="BV13" s="12">
        <f t="shared" si="44"/>
        <v>0</v>
      </c>
      <c r="BW13" s="32">
        <f t="shared" si="45"/>
        <v>0</v>
      </c>
      <c r="BX13" s="12"/>
      <c r="BY13" s="12">
        <f t="shared" si="46"/>
        <v>0</v>
      </c>
      <c r="BZ13" s="32">
        <f t="shared" si="47"/>
        <v>0</v>
      </c>
      <c r="CA13" s="12"/>
      <c r="CB13" s="12">
        <f t="shared" si="48"/>
        <v>0</v>
      </c>
      <c r="CC13" s="32">
        <f t="shared" si="49"/>
        <v>0</v>
      </c>
      <c r="CD13" s="12"/>
      <c r="CE13" s="12">
        <f t="shared" si="50"/>
        <v>0</v>
      </c>
      <c r="CF13" s="32">
        <f t="shared" si="51"/>
        <v>0</v>
      </c>
      <c r="CG13" s="12"/>
      <c r="CH13" s="12">
        <f t="shared" si="52"/>
        <v>0</v>
      </c>
      <c r="CI13" s="32">
        <f t="shared" si="53"/>
        <v>0</v>
      </c>
      <c r="CJ13" s="12"/>
      <c r="CK13" s="12">
        <f t="shared" si="54"/>
        <v>0</v>
      </c>
      <c r="CL13" s="32">
        <f t="shared" si="55"/>
        <v>0</v>
      </c>
      <c r="CM13" s="12"/>
      <c r="CN13" s="12">
        <f t="shared" si="56"/>
        <v>0</v>
      </c>
      <c r="CO13" s="32">
        <f t="shared" si="57"/>
        <v>0</v>
      </c>
      <c r="CP13" s="12"/>
      <c r="CQ13" s="12">
        <f t="shared" si="58"/>
        <v>0</v>
      </c>
      <c r="CR13" s="32">
        <f t="shared" si="59"/>
        <v>0</v>
      </c>
      <c r="CS13" s="12"/>
      <c r="CT13" s="12">
        <f t="shared" si="60"/>
        <v>0</v>
      </c>
      <c r="CU13" s="32">
        <f t="shared" si="61"/>
        <v>0</v>
      </c>
      <c r="CV13" s="12"/>
      <c r="CW13" s="12">
        <f t="shared" si="62"/>
        <v>0</v>
      </c>
      <c r="CX13" s="32">
        <f t="shared" si="63"/>
        <v>0</v>
      </c>
      <c r="CY13" s="12"/>
      <c r="CZ13" s="12">
        <f t="shared" si="64"/>
        <v>0</v>
      </c>
      <c r="DA13" s="32">
        <f t="shared" si="65"/>
        <v>0</v>
      </c>
      <c r="DB13" s="12"/>
      <c r="DC13" s="12">
        <f t="shared" si="66"/>
        <v>0</v>
      </c>
      <c r="DD13" s="32">
        <f t="shared" si="67"/>
        <v>0</v>
      </c>
      <c r="DE13" s="12"/>
      <c r="DF13" s="12">
        <f t="shared" si="68"/>
        <v>0</v>
      </c>
      <c r="DG13" s="32">
        <f t="shared" si="69"/>
        <v>0</v>
      </c>
      <c r="DH13" s="12"/>
      <c r="DI13" s="12">
        <f t="shared" si="1"/>
        <v>0</v>
      </c>
      <c r="DJ13" s="32">
        <f t="shared" si="70"/>
        <v>0</v>
      </c>
      <c r="DK13" s="12"/>
      <c r="DL13" s="12">
        <f t="shared" si="71"/>
        <v>0</v>
      </c>
      <c r="DM13" s="32">
        <f t="shared" si="72"/>
        <v>0</v>
      </c>
    </row>
    <row r="14" spans="1:117" s="6" customFormat="1" ht="22.25" customHeight="1" x14ac:dyDescent="0.35">
      <c r="A14" s="4">
        <v>5</v>
      </c>
      <c r="B14" s="4" t="s">
        <v>60</v>
      </c>
      <c r="C14" s="4" t="s">
        <v>61</v>
      </c>
      <c r="D14" s="7">
        <f t="shared" si="2"/>
        <v>17.894736842105264</v>
      </c>
      <c r="E14" s="7">
        <v>17</v>
      </c>
      <c r="F14" s="7">
        <v>1</v>
      </c>
      <c r="G14" s="7">
        <v>0.95</v>
      </c>
      <c r="H14" s="7">
        <f t="shared" ref="H14:H74" si="74">D14*15%</f>
        <v>2.6842105263157894</v>
      </c>
      <c r="I14" s="9">
        <f t="shared" si="0"/>
        <v>20.578947368421055</v>
      </c>
      <c r="J14" s="13"/>
      <c r="K14" s="12">
        <f t="shared" si="73"/>
        <v>0</v>
      </c>
      <c r="L14" s="32">
        <f t="shared" si="3"/>
        <v>0</v>
      </c>
      <c r="M14" s="12"/>
      <c r="N14" s="12">
        <f t="shared" si="4"/>
        <v>0</v>
      </c>
      <c r="O14" s="32">
        <f t="shared" si="5"/>
        <v>0</v>
      </c>
      <c r="P14" s="12">
        <v>0.12</v>
      </c>
      <c r="Q14" s="12">
        <f t="shared" si="6"/>
        <v>2.1473684210526316</v>
      </c>
      <c r="R14" s="32">
        <f t="shared" si="7"/>
        <v>0.51463959134511217</v>
      </c>
      <c r="S14" s="12"/>
      <c r="T14" s="12">
        <f t="shared" si="8"/>
        <v>0</v>
      </c>
      <c r="U14" s="32">
        <f t="shared" si="9"/>
        <v>0</v>
      </c>
      <c r="V14" s="12"/>
      <c r="W14" s="12">
        <f t="shared" si="10"/>
        <v>0</v>
      </c>
      <c r="X14" s="32">
        <f t="shared" si="11"/>
        <v>0</v>
      </c>
      <c r="Y14" s="12">
        <v>0.1</v>
      </c>
      <c r="Z14" s="12">
        <f t="shared" si="12"/>
        <v>1.7894736842105265</v>
      </c>
      <c r="AA14" s="32">
        <f t="shared" si="13"/>
        <v>0.41655950988587365</v>
      </c>
      <c r="AB14" s="12"/>
      <c r="AC14" s="12">
        <f t="shared" si="14"/>
        <v>0</v>
      </c>
      <c r="AD14" s="32">
        <f t="shared" si="15"/>
        <v>0</v>
      </c>
      <c r="AE14" s="12"/>
      <c r="AF14" s="37">
        <f t="shared" si="16"/>
        <v>0</v>
      </c>
      <c r="AG14" s="14">
        <f t="shared" si="17"/>
        <v>0</v>
      </c>
      <c r="AH14" s="12"/>
      <c r="AI14" s="12">
        <f t="shared" si="18"/>
        <v>0</v>
      </c>
      <c r="AJ14" s="32">
        <f t="shared" si="19"/>
        <v>0</v>
      </c>
      <c r="AK14" s="12"/>
      <c r="AL14" s="12">
        <f t="shared" si="20"/>
        <v>0</v>
      </c>
      <c r="AM14" s="32">
        <f t="shared" si="21"/>
        <v>0</v>
      </c>
      <c r="AN14" s="12"/>
      <c r="AO14" s="12">
        <f t="shared" si="22"/>
        <v>0</v>
      </c>
      <c r="AP14" s="32">
        <f t="shared" si="23"/>
        <v>0</v>
      </c>
      <c r="AQ14" s="12"/>
      <c r="AR14" s="12">
        <f t="shared" si="24"/>
        <v>0</v>
      </c>
      <c r="AS14" s="32">
        <f t="shared" si="25"/>
        <v>0</v>
      </c>
      <c r="AT14" s="12"/>
      <c r="AU14" s="12">
        <f t="shared" si="26"/>
        <v>0</v>
      </c>
      <c r="AV14" s="32">
        <f t="shared" si="27"/>
        <v>0</v>
      </c>
      <c r="AW14" s="12"/>
      <c r="AX14" s="12">
        <f t="shared" si="28"/>
        <v>0</v>
      </c>
      <c r="AY14" s="32">
        <f t="shared" si="29"/>
        <v>0</v>
      </c>
      <c r="AZ14" s="12"/>
      <c r="BA14" s="12">
        <f t="shared" si="30"/>
        <v>0</v>
      </c>
      <c r="BB14" s="32">
        <f t="shared" si="31"/>
        <v>0</v>
      </c>
      <c r="BC14" s="12"/>
      <c r="BD14" s="12">
        <f t="shared" si="32"/>
        <v>0</v>
      </c>
      <c r="BE14" s="32">
        <f t="shared" si="33"/>
        <v>0</v>
      </c>
      <c r="BF14" s="12"/>
      <c r="BG14" s="12">
        <f t="shared" si="34"/>
        <v>0</v>
      </c>
      <c r="BH14" s="32">
        <f t="shared" si="35"/>
        <v>0</v>
      </c>
      <c r="BI14" s="12"/>
      <c r="BJ14" s="12">
        <f t="shared" si="36"/>
        <v>0</v>
      </c>
      <c r="BK14" s="32">
        <f t="shared" si="37"/>
        <v>0</v>
      </c>
      <c r="BL14" s="12"/>
      <c r="BM14" s="12">
        <f t="shared" si="38"/>
        <v>0</v>
      </c>
      <c r="BN14" s="32">
        <f t="shared" si="39"/>
        <v>0</v>
      </c>
      <c r="BO14" s="12"/>
      <c r="BP14" s="12">
        <f t="shared" si="40"/>
        <v>0</v>
      </c>
      <c r="BQ14" s="32">
        <f t="shared" si="41"/>
        <v>0</v>
      </c>
      <c r="BR14" s="12"/>
      <c r="BS14" s="12">
        <f t="shared" si="42"/>
        <v>0</v>
      </c>
      <c r="BT14" s="32">
        <f t="shared" si="43"/>
        <v>0</v>
      </c>
      <c r="BU14" s="12"/>
      <c r="BV14" s="12">
        <f t="shared" si="44"/>
        <v>0</v>
      </c>
      <c r="BW14" s="32">
        <f t="shared" si="45"/>
        <v>0</v>
      </c>
      <c r="BX14" s="12"/>
      <c r="BY14" s="12">
        <f t="shared" si="46"/>
        <v>0</v>
      </c>
      <c r="BZ14" s="32">
        <f t="shared" si="47"/>
        <v>0</v>
      </c>
      <c r="CA14" s="12"/>
      <c r="CB14" s="12">
        <f t="shared" si="48"/>
        <v>0</v>
      </c>
      <c r="CC14" s="32">
        <f t="shared" si="49"/>
        <v>0</v>
      </c>
      <c r="CD14" s="12"/>
      <c r="CE14" s="12">
        <f t="shared" si="50"/>
        <v>0</v>
      </c>
      <c r="CF14" s="32">
        <f t="shared" si="51"/>
        <v>0</v>
      </c>
      <c r="CG14" s="12"/>
      <c r="CH14" s="12">
        <f t="shared" si="52"/>
        <v>0</v>
      </c>
      <c r="CI14" s="32">
        <f t="shared" si="53"/>
        <v>0</v>
      </c>
      <c r="CJ14" s="12"/>
      <c r="CK14" s="12">
        <f t="shared" si="54"/>
        <v>0</v>
      </c>
      <c r="CL14" s="32">
        <f t="shared" si="55"/>
        <v>0</v>
      </c>
      <c r="CM14" s="12"/>
      <c r="CN14" s="12">
        <f t="shared" si="56"/>
        <v>0</v>
      </c>
      <c r="CO14" s="32">
        <f t="shared" si="57"/>
        <v>0</v>
      </c>
      <c r="CP14" s="12"/>
      <c r="CQ14" s="12">
        <f t="shared" si="58"/>
        <v>0</v>
      </c>
      <c r="CR14" s="32">
        <f t="shared" si="59"/>
        <v>0</v>
      </c>
      <c r="CS14" s="12"/>
      <c r="CT14" s="12">
        <f t="shared" si="60"/>
        <v>0</v>
      </c>
      <c r="CU14" s="32">
        <f t="shared" si="61"/>
        <v>0</v>
      </c>
      <c r="CV14" s="12"/>
      <c r="CW14" s="12">
        <f t="shared" si="62"/>
        <v>0</v>
      </c>
      <c r="CX14" s="32">
        <f t="shared" si="63"/>
        <v>0</v>
      </c>
      <c r="CY14" s="12"/>
      <c r="CZ14" s="12">
        <f t="shared" si="64"/>
        <v>0</v>
      </c>
      <c r="DA14" s="32">
        <f t="shared" si="65"/>
        <v>0</v>
      </c>
      <c r="DB14" s="12"/>
      <c r="DC14" s="12">
        <f t="shared" si="66"/>
        <v>0</v>
      </c>
      <c r="DD14" s="32">
        <f t="shared" si="67"/>
        <v>0</v>
      </c>
      <c r="DE14" s="12"/>
      <c r="DF14" s="12">
        <f t="shared" si="68"/>
        <v>0</v>
      </c>
      <c r="DG14" s="32">
        <f t="shared" si="69"/>
        <v>0</v>
      </c>
      <c r="DH14" s="12"/>
      <c r="DI14" s="12">
        <f t="shared" si="1"/>
        <v>0</v>
      </c>
      <c r="DJ14" s="32">
        <f t="shared" si="70"/>
        <v>0</v>
      </c>
      <c r="DK14" s="12"/>
      <c r="DL14" s="12">
        <f t="shared" si="71"/>
        <v>0</v>
      </c>
      <c r="DM14" s="32">
        <f t="shared" si="72"/>
        <v>0</v>
      </c>
    </row>
    <row r="15" spans="1:117" s="6" customFormat="1" ht="22.25" customHeight="1" x14ac:dyDescent="0.35">
      <c r="A15" s="4">
        <v>6</v>
      </c>
      <c r="B15" s="4" t="s">
        <v>62</v>
      </c>
      <c r="C15" s="4" t="s">
        <v>63</v>
      </c>
      <c r="D15" s="7">
        <f t="shared" si="2"/>
        <v>10</v>
      </c>
      <c r="E15" s="7">
        <v>10</v>
      </c>
      <c r="F15" s="7">
        <v>1</v>
      </c>
      <c r="G15" s="7">
        <v>1</v>
      </c>
      <c r="H15" s="7">
        <f>D15*15%</f>
        <v>1.5</v>
      </c>
      <c r="I15" s="9">
        <f t="shared" si="0"/>
        <v>11.5</v>
      </c>
      <c r="J15" s="13"/>
      <c r="K15" s="12">
        <f t="shared" si="73"/>
        <v>0</v>
      </c>
      <c r="L15" s="32">
        <f t="shared" si="3"/>
        <v>0</v>
      </c>
      <c r="M15" s="12"/>
      <c r="N15" s="12">
        <f t="shared" si="4"/>
        <v>0</v>
      </c>
      <c r="O15" s="32">
        <f t="shared" si="5"/>
        <v>0</v>
      </c>
      <c r="P15" s="12"/>
      <c r="Q15" s="12">
        <f t="shared" si="6"/>
        <v>0</v>
      </c>
      <c r="R15" s="32">
        <f t="shared" si="7"/>
        <v>0</v>
      </c>
      <c r="S15" s="12"/>
      <c r="T15" s="12">
        <f t="shared" si="8"/>
        <v>0</v>
      </c>
      <c r="U15" s="32">
        <f t="shared" si="9"/>
        <v>0</v>
      </c>
      <c r="V15" s="12"/>
      <c r="W15" s="12">
        <f t="shared" si="10"/>
        <v>0</v>
      </c>
      <c r="X15" s="32">
        <f t="shared" si="11"/>
        <v>0</v>
      </c>
      <c r="Y15" s="12"/>
      <c r="Z15" s="12">
        <f t="shared" si="12"/>
        <v>0</v>
      </c>
      <c r="AA15" s="32">
        <f t="shared" si="13"/>
        <v>0</v>
      </c>
      <c r="AB15" s="12"/>
      <c r="AC15" s="12">
        <f t="shared" si="14"/>
        <v>0</v>
      </c>
      <c r="AD15" s="32">
        <f t="shared" si="15"/>
        <v>0</v>
      </c>
      <c r="AE15" s="12"/>
      <c r="AF15" s="37">
        <f t="shared" si="16"/>
        <v>0</v>
      </c>
      <c r="AG15" s="14">
        <f t="shared" si="17"/>
        <v>0</v>
      </c>
      <c r="AH15" s="12"/>
      <c r="AI15" s="12">
        <f t="shared" si="18"/>
        <v>0</v>
      </c>
      <c r="AJ15" s="32">
        <f t="shared" si="19"/>
        <v>0</v>
      </c>
      <c r="AK15" s="12"/>
      <c r="AL15" s="12">
        <f t="shared" si="20"/>
        <v>0</v>
      </c>
      <c r="AM15" s="32">
        <f t="shared" si="21"/>
        <v>0</v>
      </c>
      <c r="AN15" s="12"/>
      <c r="AO15" s="12">
        <f t="shared" si="22"/>
        <v>0</v>
      </c>
      <c r="AP15" s="32">
        <f t="shared" si="23"/>
        <v>0</v>
      </c>
      <c r="AQ15" s="12"/>
      <c r="AR15" s="12">
        <f t="shared" si="24"/>
        <v>0</v>
      </c>
      <c r="AS15" s="32">
        <f t="shared" si="25"/>
        <v>0</v>
      </c>
      <c r="AT15" s="12"/>
      <c r="AU15" s="12">
        <f t="shared" si="26"/>
        <v>0</v>
      </c>
      <c r="AV15" s="32">
        <f t="shared" si="27"/>
        <v>0</v>
      </c>
      <c r="AW15" s="12"/>
      <c r="AX15" s="12">
        <f t="shared" si="28"/>
        <v>0</v>
      </c>
      <c r="AY15" s="32">
        <f t="shared" si="29"/>
        <v>0</v>
      </c>
      <c r="AZ15" s="12"/>
      <c r="BA15" s="12">
        <f t="shared" si="30"/>
        <v>0</v>
      </c>
      <c r="BB15" s="32">
        <f t="shared" si="31"/>
        <v>0</v>
      </c>
      <c r="BC15" s="12"/>
      <c r="BD15" s="12">
        <f t="shared" si="32"/>
        <v>0</v>
      </c>
      <c r="BE15" s="32">
        <f t="shared" si="33"/>
        <v>0</v>
      </c>
      <c r="BF15" s="12"/>
      <c r="BG15" s="12">
        <f t="shared" si="34"/>
        <v>0</v>
      </c>
      <c r="BH15" s="32">
        <f t="shared" si="35"/>
        <v>0</v>
      </c>
      <c r="BI15" s="12"/>
      <c r="BJ15" s="12">
        <f t="shared" si="36"/>
        <v>0</v>
      </c>
      <c r="BK15" s="32">
        <f t="shared" si="37"/>
        <v>0</v>
      </c>
      <c r="BL15" s="12"/>
      <c r="BM15" s="12">
        <f t="shared" si="38"/>
        <v>0</v>
      </c>
      <c r="BN15" s="32">
        <f t="shared" si="39"/>
        <v>0</v>
      </c>
      <c r="BO15" s="12">
        <v>4.0000000000000002E-4</v>
      </c>
      <c r="BP15" s="12">
        <f t="shared" si="40"/>
        <v>4.0000000000000001E-3</v>
      </c>
      <c r="BQ15" s="32">
        <f t="shared" si="41"/>
        <v>1.7411412337708448E-3</v>
      </c>
      <c r="BR15" s="12"/>
      <c r="BS15" s="12">
        <f t="shared" si="42"/>
        <v>0</v>
      </c>
      <c r="BT15" s="32">
        <f t="shared" si="43"/>
        <v>0</v>
      </c>
      <c r="BU15" s="12"/>
      <c r="BV15" s="12">
        <f t="shared" si="44"/>
        <v>0</v>
      </c>
      <c r="BW15" s="32">
        <f t="shared" si="45"/>
        <v>0</v>
      </c>
      <c r="BX15" s="12"/>
      <c r="BY15" s="12">
        <f t="shared" si="46"/>
        <v>0</v>
      </c>
      <c r="BZ15" s="32">
        <f t="shared" si="47"/>
        <v>0</v>
      </c>
      <c r="CA15" s="12"/>
      <c r="CB15" s="12">
        <f t="shared" si="48"/>
        <v>0</v>
      </c>
      <c r="CC15" s="32">
        <f t="shared" si="49"/>
        <v>0</v>
      </c>
      <c r="CD15" s="12"/>
      <c r="CE15" s="12">
        <f t="shared" si="50"/>
        <v>0</v>
      </c>
      <c r="CF15" s="32">
        <f t="shared" si="51"/>
        <v>0</v>
      </c>
      <c r="CG15" s="12"/>
      <c r="CH15" s="12">
        <f t="shared" si="52"/>
        <v>0</v>
      </c>
      <c r="CI15" s="32">
        <f t="shared" si="53"/>
        <v>0</v>
      </c>
      <c r="CJ15" s="12"/>
      <c r="CK15" s="12">
        <f t="shared" si="54"/>
        <v>0</v>
      </c>
      <c r="CL15" s="32">
        <f t="shared" si="55"/>
        <v>0</v>
      </c>
      <c r="CM15" s="12"/>
      <c r="CN15" s="12">
        <f t="shared" si="56"/>
        <v>0</v>
      </c>
      <c r="CO15" s="32">
        <f t="shared" si="57"/>
        <v>0</v>
      </c>
      <c r="CP15" s="12"/>
      <c r="CQ15" s="12">
        <f t="shared" si="58"/>
        <v>0</v>
      </c>
      <c r="CR15" s="32">
        <f t="shared" si="59"/>
        <v>0</v>
      </c>
      <c r="CS15" s="12"/>
      <c r="CT15" s="12">
        <f t="shared" si="60"/>
        <v>0</v>
      </c>
      <c r="CU15" s="32">
        <f t="shared" si="61"/>
        <v>0</v>
      </c>
      <c r="CV15" s="12"/>
      <c r="CW15" s="12">
        <f t="shared" si="62"/>
        <v>0</v>
      </c>
      <c r="CX15" s="32">
        <f t="shared" si="63"/>
        <v>0</v>
      </c>
      <c r="CY15" s="12"/>
      <c r="CZ15" s="12">
        <f t="shared" si="64"/>
        <v>0</v>
      </c>
      <c r="DA15" s="32">
        <f t="shared" si="65"/>
        <v>0</v>
      </c>
      <c r="DB15" s="12"/>
      <c r="DC15" s="12">
        <f t="shared" si="66"/>
        <v>0</v>
      </c>
      <c r="DD15" s="32">
        <f t="shared" si="67"/>
        <v>0</v>
      </c>
      <c r="DE15" s="12"/>
      <c r="DF15" s="12">
        <f t="shared" si="68"/>
        <v>0</v>
      </c>
      <c r="DG15" s="32">
        <f t="shared" si="69"/>
        <v>0</v>
      </c>
      <c r="DH15" s="12"/>
      <c r="DI15" s="12">
        <f t="shared" si="1"/>
        <v>0</v>
      </c>
      <c r="DJ15" s="32">
        <f t="shared" si="70"/>
        <v>0</v>
      </c>
      <c r="DK15" s="12"/>
      <c r="DL15" s="12">
        <f t="shared" si="71"/>
        <v>0</v>
      </c>
      <c r="DM15" s="32">
        <f t="shared" si="72"/>
        <v>0</v>
      </c>
    </row>
    <row r="16" spans="1:117" s="6" customFormat="1" ht="22.25" customHeight="1" x14ac:dyDescent="0.35">
      <c r="A16" s="4">
        <v>7</v>
      </c>
      <c r="B16" s="4" t="s">
        <v>64</v>
      </c>
      <c r="C16" s="4" t="s">
        <v>65</v>
      </c>
      <c r="D16" s="7">
        <f t="shared" si="2"/>
        <v>30</v>
      </c>
      <c r="E16" s="7">
        <v>30</v>
      </c>
      <c r="F16" s="7">
        <v>1</v>
      </c>
      <c r="G16" s="7">
        <v>1</v>
      </c>
      <c r="H16" s="7">
        <f t="shared" si="74"/>
        <v>4.5</v>
      </c>
      <c r="I16" s="9">
        <f t="shared" ref="I16:I74" si="75">H16+D16</f>
        <v>34.5</v>
      </c>
      <c r="J16" s="13"/>
      <c r="K16" s="12">
        <f t="shared" si="73"/>
        <v>0</v>
      </c>
      <c r="L16" s="32">
        <f t="shared" si="3"/>
        <v>0</v>
      </c>
      <c r="M16" s="12"/>
      <c r="N16" s="12">
        <f t="shared" si="4"/>
        <v>0</v>
      </c>
      <c r="O16" s="32">
        <f t="shared" si="5"/>
        <v>0</v>
      </c>
      <c r="P16" s="12"/>
      <c r="Q16" s="12">
        <f t="shared" si="6"/>
        <v>0</v>
      </c>
      <c r="R16" s="32">
        <f t="shared" si="7"/>
        <v>0</v>
      </c>
      <c r="S16" s="12"/>
      <c r="T16" s="12">
        <f t="shared" si="8"/>
        <v>0</v>
      </c>
      <c r="U16" s="32">
        <f t="shared" si="9"/>
        <v>0</v>
      </c>
      <c r="V16" s="12"/>
      <c r="W16" s="12">
        <f t="shared" si="10"/>
        <v>0</v>
      </c>
      <c r="X16" s="32">
        <f t="shared" si="11"/>
        <v>0</v>
      </c>
      <c r="Y16" s="12"/>
      <c r="Z16" s="12">
        <f t="shared" si="12"/>
        <v>0</v>
      </c>
      <c r="AA16" s="32">
        <f t="shared" si="13"/>
        <v>0</v>
      </c>
      <c r="AB16" s="12"/>
      <c r="AC16" s="12">
        <f t="shared" si="14"/>
        <v>0</v>
      </c>
      <c r="AD16" s="32">
        <f t="shared" si="15"/>
        <v>0</v>
      </c>
      <c r="AE16" s="12"/>
      <c r="AF16" s="37">
        <f t="shared" si="16"/>
        <v>0</v>
      </c>
      <c r="AG16" s="14">
        <f t="shared" si="17"/>
        <v>0</v>
      </c>
      <c r="AH16" s="12"/>
      <c r="AI16" s="12">
        <f t="shared" si="18"/>
        <v>0</v>
      </c>
      <c r="AJ16" s="32">
        <f t="shared" si="19"/>
        <v>0</v>
      </c>
      <c r="AK16" s="12"/>
      <c r="AL16" s="12">
        <f t="shared" si="20"/>
        <v>0</v>
      </c>
      <c r="AM16" s="32">
        <f t="shared" si="21"/>
        <v>0</v>
      </c>
      <c r="AN16" s="12"/>
      <c r="AO16" s="12">
        <f t="shared" si="22"/>
        <v>0</v>
      </c>
      <c r="AP16" s="32">
        <f t="shared" si="23"/>
        <v>0</v>
      </c>
      <c r="AQ16" s="12"/>
      <c r="AR16" s="12">
        <f t="shared" si="24"/>
        <v>0</v>
      </c>
      <c r="AS16" s="32">
        <f t="shared" si="25"/>
        <v>0</v>
      </c>
      <c r="AT16" s="12"/>
      <c r="AU16" s="12">
        <f t="shared" si="26"/>
        <v>0</v>
      </c>
      <c r="AV16" s="32">
        <f t="shared" si="27"/>
        <v>0</v>
      </c>
      <c r="AW16" s="12"/>
      <c r="AX16" s="12">
        <f t="shared" si="28"/>
        <v>0</v>
      </c>
      <c r="AY16" s="32">
        <f t="shared" si="29"/>
        <v>0</v>
      </c>
      <c r="AZ16" s="12"/>
      <c r="BA16" s="12">
        <f t="shared" si="30"/>
        <v>0</v>
      </c>
      <c r="BB16" s="32">
        <f t="shared" si="31"/>
        <v>0</v>
      </c>
      <c r="BC16" s="12"/>
      <c r="BD16" s="12">
        <f t="shared" si="32"/>
        <v>0</v>
      </c>
      <c r="BE16" s="32">
        <f t="shared" si="33"/>
        <v>0</v>
      </c>
      <c r="BF16" s="12"/>
      <c r="BG16" s="12">
        <f t="shared" si="34"/>
        <v>0</v>
      </c>
      <c r="BH16" s="32">
        <f t="shared" si="35"/>
        <v>0</v>
      </c>
      <c r="BI16" s="12"/>
      <c r="BJ16" s="12">
        <f t="shared" si="36"/>
        <v>0</v>
      </c>
      <c r="BK16" s="32">
        <f t="shared" si="37"/>
        <v>0</v>
      </c>
      <c r="BL16" s="12"/>
      <c r="BM16" s="12">
        <f t="shared" si="38"/>
        <v>0</v>
      </c>
      <c r="BN16" s="32">
        <f t="shared" si="39"/>
        <v>0</v>
      </c>
      <c r="BO16" s="12">
        <v>1E-3</v>
      </c>
      <c r="BP16" s="12">
        <f t="shared" si="40"/>
        <v>0.03</v>
      </c>
      <c r="BQ16" s="32">
        <f t="shared" si="41"/>
        <v>1.3058559253281334E-2</v>
      </c>
      <c r="BR16" s="12"/>
      <c r="BS16" s="12">
        <f t="shared" si="42"/>
        <v>0</v>
      </c>
      <c r="BT16" s="32">
        <f t="shared" si="43"/>
        <v>0</v>
      </c>
      <c r="BU16" s="12"/>
      <c r="BV16" s="12">
        <f t="shared" si="44"/>
        <v>0</v>
      </c>
      <c r="BW16" s="32">
        <f t="shared" si="45"/>
        <v>0</v>
      </c>
      <c r="BX16" s="12"/>
      <c r="BY16" s="12">
        <f t="shared" si="46"/>
        <v>0</v>
      </c>
      <c r="BZ16" s="32">
        <f t="shared" si="47"/>
        <v>0</v>
      </c>
      <c r="CA16" s="12"/>
      <c r="CB16" s="12">
        <f t="shared" si="48"/>
        <v>0</v>
      </c>
      <c r="CC16" s="32">
        <f t="shared" si="49"/>
        <v>0</v>
      </c>
      <c r="CD16" s="12"/>
      <c r="CE16" s="12">
        <f t="shared" si="50"/>
        <v>0</v>
      </c>
      <c r="CF16" s="32">
        <f t="shared" si="51"/>
        <v>0</v>
      </c>
      <c r="CG16" s="12"/>
      <c r="CH16" s="12">
        <f t="shared" si="52"/>
        <v>0</v>
      </c>
      <c r="CI16" s="32">
        <f t="shared" si="53"/>
        <v>0</v>
      </c>
      <c r="CJ16" s="12"/>
      <c r="CK16" s="12">
        <f t="shared" si="54"/>
        <v>0</v>
      </c>
      <c r="CL16" s="32">
        <f t="shared" si="55"/>
        <v>0</v>
      </c>
      <c r="CM16" s="12"/>
      <c r="CN16" s="12">
        <f t="shared" si="56"/>
        <v>0</v>
      </c>
      <c r="CO16" s="32">
        <f t="shared" si="57"/>
        <v>0</v>
      </c>
      <c r="CP16" s="12"/>
      <c r="CQ16" s="12">
        <f t="shared" si="58"/>
        <v>0</v>
      </c>
      <c r="CR16" s="32">
        <f t="shared" si="59"/>
        <v>0</v>
      </c>
      <c r="CS16" s="12"/>
      <c r="CT16" s="12">
        <f t="shared" si="60"/>
        <v>0</v>
      </c>
      <c r="CU16" s="32">
        <f t="shared" si="61"/>
        <v>0</v>
      </c>
      <c r="CV16" s="12">
        <v>0.2</v>
      </c>
      <c r="CW16" s="12">
        <f t="shared" si="62"/>
        <v>6</v>
      </c>
      <c r="CX16" s="32">
        <f t="shared" si="63"/>
        <v>35.374860137046298</v>
      </c>
      <c r="CY16" s="12"/>
      <c r="CZ16" s="12">
        <f t="shared" si="64"/>
        <v>0</v>
      </c>
      <c r="DA16" s="32">
        <f t="shared" si="65"/>
        <v>0</v>
      </c>
      <c r="DB16" s="12"/>
      <c r="DC16" s="12">
        <f t="shared" si="66"/>
        <v>0</v>
      </c>
      <c r="DD16" s="32">
        <f t="shared" si="67"/>
        <v>0</v>
      </c>
      <c r="DE16" s="12"/>
      <c r="DF16" s="12">
        <f t="shared" si="68"/>
        <v>0</v>
      </c>
      <c r="DG16" s="32">
        <f t="shared" si="69"/>
        <v>0</v>
      </c>
      <c r="DH16" s="12"/>
      <c r="DI16" s="12">
        <f t="shared" si="1"/>
        <v>0</v>
      </c>
      <c r="DJ16" s="32">
        <f t="shared" si="70"/>
        <v>0</v>
      </c>
      <c r="DK16" s="12"/>
      <c r="DL16" s="12">
        <f t="shared" si="71"/>
        <v>0</v>
      </c>
      <c r="DM16" s="32">
        <f t="shared" si="72"/>
        <v>0</v>
      </c>
    </row>
    <row r="17" spans="1:117" s="6" customFormat="1" ht="22.25" customHeight="1" x14ac:dyDescent="0.35">
      <c r="A17" s="4">
        <v>8</v>
      </c>
      <c r="B17" s="4" t="s">
        <v>66</v>
      </c>
      <c r="C17" s="4" t="s">
        <v>67</v>
      </c>
      <c r="D17" s="7">
        <f t="shared" si="2"/>
        <v>45</v>
      </c>
      <c r="E17" s="7">
        <v>45</v>
      </c>
      <c r="F17" s="7">
        <v>1</v>
      </c>
      <c r="G17" s="7">
        <v>1</v>
      </c>
      <c r="H17" s="7">
        <f t="shared" si="74"/>
        <v>6.75</v>
      </c>
      <c r="I17" s="9">
        <f t="shared" si="75"/>
        <v>51.75</v>
      </c>
      <c r="J17" s="13"/>
      <c r="K17" s="12">
        <f t="shared" si="73"/>
        <v>0</v>
      </c>
      <c r="L17" s="32">
        <f t="shared" si="3"/>
        <v>0</v>
      </c>
      <c r="M17" s="12"/>
      <c r="N17" s="12">
        <f t="shared" si="4"/>
        <v>0</v>
      </c>
      <c r="O17" s="32">
        <f t="shared" si="5"/>
        <v>0</v>
      </c>
      <c r="P17" s="12"/>
      <c r="Q17" s="12">
        <f t="shared" ref="Q17:Q78" si="76">P17*D17</f>
        <v>0</v>
      </c>
      <c r="R17" s="32">
        <f t="shared" si="7"/>
        <v>0</v>
      </c>
      <c r="S17" s="12"/>
      <c r="T17" s="12">
        <f t="shared" si="8"/>
        <v>0</v>
      </c>
      <c r="U17" s="32">
        <f t="shared" si="9"/>
        <v>0</v>
      </c>
      <c r="V17" s="12"/>
      <c r="W17" s="12">
        <f t="shared" si="10"/>
        <v>0</v>
      </c>
      <c r="X17" s="32">
        <f t="shared" si="11"/>
        <v>0</v>
      </c>
      <c r="Y17" s="12"/>
      <c r="Z17" s="12">
        <f t="shared" si="12"/>
        <v>0</v>
      </c>
      <c r="AA17" s="32">
        <f t="shared" si="13"/>
        <v>0</v>
      </c>
      <c r="AB17" s="12"/>
      <c r="AC17" s="12">
        <f t="shared" si="14"/>
        <v>0</v>
      </c>
      <c r="AD17" s="32">
        <f t="shared" si="15"/>
        <v>0</v>
      </c>
      <c r="AE17" s="12"/>
      <c r="AF17" s="37">
        <f t="shared" si="16"/>
        <v>0</v>
      </c>
      <c r="AG17" s="14">
        <f t="shared" si="17"/>
        <v>0</v>
      </c>
      <c r="AH17" s="12"/>
      <c r="AI17" s="12">
        <f t="shared" si="18"/>
        <v>0</v>
      </c>
      <c r="AJ17" s="32">
        <f t="shared" si="19"/>
        <v>0</v>
      </c>
      <c r="AK17" s="12"/>
      <c r="AL17" s="12">
        <f t="shared" si="20"/>
        <v>0</v>
      </c>
      <c r="AM17" s="32">
        <f t="shared" si="21"/>
        <v>0</v>
      </c>
      <c r="AN17" s="12"/>
      <c r="AO17" s="12">
        <f t="shared" si="22"/>
        <v>0</v>
      </c>
      <c r="AP17" s="32">
        <f t="shared" si="23"/>
        <v>0</v>
      </c>
      <c r="AQ17" s="12"/>
      <c r="AR17" s="12">
        <f t="shared" si="24"/>
        <v>0</v>
      </c>
      <c r="AS17" s="32">
        <f t="shared" si="25"/>
        <v>0</v>
      </c>
      <c r="AT17" s="12"/>
      <c r="AU17" s="12">
        <f t="shared" si="26"/>
        <v>0</v>
      </c>
      <c r="AV17" s="32">
        <f t="shared" si="27"/>
        <v>0</v>
      </c>
      <c r="AW17" s="12"/>
      <c r="AX17" s="12">
        <f t="shared" si="28"/>
        <v>0</v>
      </c>
      <c r="AY17" s="32">
        <f t="shared" si="29"/>
        <v>0</v>
      </c>
      <c r="AZ17" s="12"/>
      <c r="BA17" s="12">
        <f t="shared" si="30"/>
        <v>0</v>
      </c>
      <c r="BB17" s="32">
        <f t="shared" si="31"/>
        <v>0</v>
      </c>
      <c r="BC17" s="12"/>
      <c r="BD17" s="12">
        <f t="shared" si="32"/>
        <v>0</v>
      </c>
      <c r="BE17" s="32">
        <f t="shared" si="33"/>
        <v>0</v>
      </c>
      <c r="BF17" s="12"/>
      <c r="BG17" s="12">
        <f t="shared" si="34"/>
        <v>0</v>
      </c>
      <c r="BH17" s="32">
        <f t="shared" si="35"/>
        <v>0</v>
      </c>
      <c r="BI17" s="12"/>
      <c r="BJ17" s="12">
        <f t="shared" si="36"/>
        <v>0</v>
      </c>
      <c r="BK17" s="32">
        <f t="shared" si="37"/>
        <v>0</v>
      </c>
      <c r="BL17" s="12"/>
      <c r="BM17" s="12">
        <f t="shared" si="38"/>
        <v>0</v>
      </c>
      <c r="BN17" s="32">
        <f t="shared" si="39"/>
        <v>0</v>
      </c>
      <c r="BO17" s="12"/>
      <c r="BP17" s="12">
        <f t="shared" si="40"/>
        <v>0</v>
      </c>
      <c r="BQ17" s="32">
        <f t="shared" si="41"/>
        <v>0</v>
      </c>
      <c r="BR17" s="12"/>
      <c r="BS17" s="12">
        <f t="shared" si="42"/>
        <v>0</v>
      </c>
      <c r="BT17" s="32">
        <f t="shared" si="43"/>
        <v>0</v>
      </c>
      <c r="BU17" s="12"/>
      <c r="BV17" s="12">
        <f t="shared" si="44"/>
        <v>0</v>
      </c>
      <c r="BW17" s="32">
        <f t="shared" si="45"/>
        <v>0</v>
      </c>
      <c r="BX17" s="12"/>
      <c r="BY17" s="12">
        <f t="shared" si="46"/>
        <v>0</v>
      </c>
      <c r="BZ17" s="32">
        <f t="shared" si="47"/>
        <v>0</v>
      </c>
      <c r="CA17" s="12"/>
      <c r="CB17" s="12">
        <f t="shared" si="48"/>
        <v>0</v>
      </c>
      <c r="CC17" s="32">
        <f t="shared" si="49"/>
        <v>0</v>
      </c>
      <c r="CD17" s="12"/>
      <c r="CE17" s="12">
        <f t="shared" si="50"/>
        <v>0</v>
      </c>
      <c r="CF17" s="32">
        <f t="shared" si="51"/>
        <v>0</v>
      </c>
      <c r="CG17" s="12"/>
      <c r="CH17" s="12">
        <f t="shared" si="52"/>
        <v>0</v>
      </c>
      <c r="CI17" s="32">
        <f t="shared" si="53"/>
        <v>0</v>
      </c>
      <c r="CJ17" s="12"/>
      <c r="CK17" s="12">
        <f t="shared" si="54"/>
        <v>0</v>
      </c>
      <c r="CL17" s="32">
        <f t="shared" si="55"/>
        <v>0</v>
      </c>
      <c r="CM17" s="12"/>
      <c r="CN17" s="12">
        <f t="shared" si="56"/>
        <v>0</v>
      </c>
      <c r="CO17" s="32">
        <f t="shared" si="57"/>
        <v>0</v>
      </c>
      <c r="CP17" s="12"/>
      <c r="CQ17" s="12">
        <f t="shared" si="58"/>
        <v>0</v>
      </c>
      <c r="CR17" s="32">
        <f t="shared" si="59"/>
        <v>0</v>
      </c>
      <c r="CS17" s="12"/>
      <c r="CT17" s="12">
        <f t="shared" si="60"/>
        <v>0</v>
      </c>
      <c r="CU17" s="32">
        <f t="shared" si="61"/>
        <v>0</v>
      </c>
      <c r="CV17" s="12"/>
      <c r="CW17" s="12">
        <f t="shared" si="62"/>
        <v>0</v>
      </c>
      <c r="CX17" s="32">
        <f t="shared" si="63"/>
        <v>0</v>
      </c>
      <c r="CY17" s="12"/>
      <c r="CZ17" s="12">
        <f t="shared" si="64"/>
        <v>0</v>
      </c>
      <c r="DA17" s="32">
        <f t="shared" si="65"/>
        <v>0</v>
      </c>
      <c r="DB17" s="12"/>
      <c r="DC17" s="12">
        <f t="shared" si="66"/>
        <v>0</v>
      </c>
      <c r="DD17" s="32">
        <f t="shared" si="67"/>
        <v>0</v>
      </c>
      <c r="DE17" s="12"/>
      <c r="DF17" s="12">
        <f t="shared" si="68"/>
        <v>0</v>
      </c>
      <c r="DG17" s="32">
        <f t="shared" si="69"/>
        <v>0</v>
      </c>
      <c r="DH17" s="12"/>
      <c r="DI17" s="12">
        <f t="shared" si="1"/>
        <v>0</v>
      </c>
      <c r="DJ17" s="32">
        <f t="shared" si="70"/>
        <v>0</v>
      </c>
      <c r="DK17" s="12"/>
      <c r="DL17" s="12">
        <f t="shared" si="71"/>
        <v>0</v>
      </c>
      <c r="DM17" s="32">
        <f t="shared" si="72"/>
        <v>0</v>
      </c>
    </row>
    <row r="18" spans="1:117" s="6" customFormat="1" ht="22.25" customHeight="1" x14ac:dyDescent="0.35">
      <c r="A18" s="4">
        <v>9</v>
      </c>
      <c r="B18" s="4" t="s">
        <v>68</v>
      </c>
      <c r="C18" s="4" t="s">
        <v>69</v>
      </c>
      <c r="D18" s="7">
        <f t="shared" si="2"/>
        <v>56.8125</v>
      </c>
      <c r="E18" s="7">
        <v>45.45</v>
      </c>
      <c r="F18" s="7">
        <v>1</v>
      </c>
      <c r="G18" s="7">
        <v>0.8</v>
      </c>
      <c r="H18" s="7">
        <f t="shared" si="74"/>
        <v>8.5218749999999996</v>
      </c>
      <c r="I18" s="9">
        <f t="shared" si="75"/>
        <v>65.334374999999994</v>
      </c>
      <c r="J18" s="13"/>
      <c r="K18" s="12">
        <f t="shared" si="73"/>
        <v>0</v>
      </c>
      <c r="L18" s="32">
        <f t="shared" si="3"/>
        <v>0</v>
      </c>
      <c r="M18" s="12"/>
      <c r="N18" s="12">
        <f t="shared" si="4"/>
        <v>0</v>
      </c>
      <c r="O18" s="32">
        <f t="shared" si="5"/>
        <v>0</v>
      </c>
      <c r="P18" s="12"/>
      <c r="Q18" s="12">
        <f t="shared" si="76"/>
        <v>0</v>
      </c>
      <c r="R18" s="32">
        <f t="shared" si="7"/>
        <v>0</v>
      </c>
      <c r="S18" s="12"/>
      <c r="T18" s="12">
        <f t="shared" si="8"/>
        <v>0</v>
      </c>
      <c r="U18" s="32">
        <f t="shared" si="9"/>
        <v>0</v>
      </c>
      <c r="V18" s="12"/>
      <c r="W18" s="12">
        <f t="shared" si="10"/>
        <v>0</v>
      </c>
      <c r="X18" s="32">
        <f t="shared" si="11"/>
        <v>0</v>
      </c>
      <c r="Y18" s="12"/>
      <c r="Z18" s="12">
        <f t="shared" si="12"/>
        <v>0</v>
      </c>
      <c r="AA18" s="32">
        <f t="shared" si="13"/>
        <v>0</v>
      </c>
      <c r="AB18" s="12"/>
      <c r="AC18" s="12">
        <f t="shared" si="14"/>
        <v>0</v>
      </c>
      <c r="AD18" s="32">
        <f t="shared" si="15"/>
        <v>0</v>
      </c>
      <c r="AE18" s="12"/>
      <c r="AF18" s="37">
        <f t="shared" si="16"/>
        <v>0</v>
      </c>
      <c r="AG18" s="14">
        <f t="shared" si="17"/>
        <v>0</v>
      </c>
      <c r="AH18" s="12"/>
      <c r="AI18" s="12">
        <f t="shared" si="18"/>
        <v>0</v>
      </c>
      <c r="AJ18" s="32">
        <f t="shared" si="19"/>
        <v>0</v>
      </c>
      <c r="AK18" s="12">
        <v>1.4999999999999999E-2</v>
      </c>
      <c r="AL18" s="12">
        <f t="shared" si="20"/>
        <v>0.85218749999999999</v>
      </c>
      <c r="AM18" s="32">
        <f t="shared" si="21"/>
        <v>0.34757359284687095</v>
      </c>
      <c r="AN18" s="12"/>
      <c r="AO18" s="12">
        <f t="shared" si="22"/>
        <v>0</v>
      </c>
      <c r="AP18" s="32">
        <f t="shared" si="23"/>
        <v>0</v>
      </c>
      <c r="AQ18" s="12"/>
      <c r="AR18" s="12">
        <f t="shared" si="24"/>
        <v>0</v>
      </c>
      <c r="AS18" s="32">
        <f t="shared" si="25"/>
        <v>0</v>
      </c>
      <c r="AT18" s="12"/>
      <c r="AU18" s="12">
        <f t="shared" si="26"/>
        <v>0</v>
      </c>
      <c r="AV18" s="32">
        <f t="shared" si="27"/>
        <v>0</v>
      </c>
      <c r="AW18" s="12"/>
      <c r="AX18" s="12">
        <f t="shared" si="28"/>
        <v>0</v>
      </c>
      <c r="AY18" s="32">
        <f t="shared" si="29"/>
        <v>0</v>
      </c>
      <c r="AZ18" s="12"/>
      <c r="BA18" s="12">
        <f t="shared" si="30"/>
        <v>0</v>
      </c>
      <c r="BB18" s="32">
        <f t="shared" si="31"/>
        <v>0</v>
      </c>
      <c r="BC18" s="12"/>
      <c r="BD18" s="12">
        <f t="shared" si="32"/>
        <v>0</v>
      </c>
      <c r="BE18" s="32">
        <f t="shared" si="33"/>
        <v>0</v>
      </c>
      <c r="BF18" s="12"/>
      <c r="BG18" s="12">
        <f t="shared" si="34"/>
        <v>0</v>
      </c>
      <c r="BH18" s="32">
        <f t="shared" si="35"/>
        <v>0</v>
      </c>
      <c r="BI18" s="12"/>
      <c r="BJ18" s="12">
        <f t="shared" si="36"/>
        <v>0</v>
      </c>
      <c r="BK18" s="32">
        <f t="shared" si="37"/>
        <v>0</v>
      </c>
      <c r="BL18" s="12"/>
      <c r="BM18" s="12">
        <f t="shared" si="38"/>
        <v>0</v>
      </c>
      <c r="BN18" s="32">
        <f t="shared" si="39"/>
        <v>0</v>
      </c>
      <c r="BO18" s="12"/>
      <c r="BP18" s="12">
        <f t="shared" si="40"/>
        <v>0</v>
      </c>
      <c r="BQ18" s="32">
        <f t="shared" si="41"/>
        <v>0</v>
      </c>
      <c r="BR18" s="12"/>
      <c r="BS18" s="12">
        <f t="shared" si="42"/>
        <v>0</v>
      </c>
      <c r="BT18" s="32">
        <f t="shared" si="43"/>
        <v>0</v>
      </c>
      <c r="BU18" s="12"/>
      <c r="BV18" s="12">
        <f t="shared" si="44"/>
        <v>0</v>
      </c>
      <c r="BW18" s="32">
        <f t="shared" si="45"/>
        <v>0</v>
      </c>
      <c r="BX18" s="12"/>
      <c r="BY18" s="12">
        <f t="shared" si="46"/>
        <v>0</v>
      </c>
      <c r="BZ18" s="32">
        <f t="shared" si="47"/>
        <v>0</v>
      </c>
      <c r="CA18" s="12"/>
      <c r="CB18" s="12">
        <f t="shared" si="48"/>
        <v>0</v>
      </c>
      <c r="CC18" s="32">
        <f t="shared" si="49"/>
        <v>0</v>
      </c>
      <c r="CD18" s="12"/>
      <c r="CE18" s="12">
        <f t="shared" si="50"/>
        <v>0</v>
      </c>
      <c r="CF18" s="32">
        <f t="shared" si="51"/>
        <v>0</v>
      </c>
      <c r="CG18" s="12"/>
      <c r="CH18" s="12">
        <f t="shared" si="52"/>
        <v>0</v>
      </c>
      <c r="CI18" s="32">
        <f t="shared" si="53"/>
        <v>0</v>
      </c>
      <c r="CJ18" s="12"/>
      <c r="CK18" s="12">
        <f t="shared" si="54"/>
        <v>0</v>
      </c>
      <c r="CL18" s="32">
        <f t="shared" si="55"/>
        <v>0</v>
      </c>
      <c r="CM18" s="12"/>
      <c r="CN18" s="12">
        <f t="shared" si="56"/>
        <v>0</v>
      </c>
      <c r="CO18" s="32">
        <f t="shared" si="57"/>
        <v>0</v>
      </c>
      <c r="CP18" s="12"/>
      <c r="CQ18" s="12">
        <f t="shared" si="58"/>
        <v>0</v>
      </c>
      <c r="CR18" s="32">
        <f t="shared" si="59"/>
        <v>0</v>
      </c>
      <c r="CS18" s="12"/>
      <c r="CT18" s="12">
        <f t="shared" si="60"/>
        <v>0</v>
      </c>
      <c r="CU18" s="32">
        <f t="shared" si="61"/>
        <v>0</v>
      </c>
      <c r="CV18" s="12"/>
      <c r="CW18" s="12">
        <f t="shared" si="62"/>
        <v>0</v>
      </c>
      <c r="CX18" s="32">
        <f t="shared" si="63"/>
        <v>0</v>
      </c>
      <c r="CY18" s="12"/>
      <c r="CZ18" s="12">
        <f t="shared" si="64"/>
        <v>0</v>
      </c>
      <c r="DA18" s="32">
        <f t="shared" si="65"/>
        <v>0</v>
      </c>
      <c r="DB18" s="12"/>
      <c r="DC18" s="12">
        <f t="shared" si="66"/>
        <v>0</v>
      </c>
      <c r="DD18" s="32">
        <f t="shared" si="67"/>
        <v>0</v>
      </c>
      <c r="DE18" s="12"/>
      <c r="DF18" s="12">
        <f t="shared" si="68"/>
        <v>0</v>
      </c>
      <c r="DG18" s="32">
        <f t="shared" si="69"/>
        <v>0</v>
      </c>
      <c r="DH18" s="12"/>
      <c r="DI18" s="12">
        <f t="shared" si="1"/>
        <v>0</v>
      </c>
      <c r="DJ18" s="32">
        <f t="shared" si="70"/>
        <v>0</v>
      </c>
      <c r="DK18" s="12"/>
      <c r="DL18" s="12">
        <f t="shared" si="71"/>
        <v>0</v>
      </c>
      <c r="DM18" s="32">
        <f t="shared" si="72"/>
        <v>0</v>
      </c>
    </row>
    <row r="19" spans="1:117" s="6" customFormat="1" ht="22.25" customHeight="1" x14ac:dyDescent="0.35">
      <c r="A19" s="4">
        <v>10</v>
      </c>
      <c r="B19" s="4" t="s">
        <v>70</v>
      </c>
      <c r="C19" s="4" t="s">
        <v>71</v>
      </c>
      <c r="D19" s="7">
        <f t="shared" si="2"/>
        <v>28.333333333333332</v>
      </c>
      <c r="E19" s="7">
        <f>170/6</f>
        <v>28.333333333333332</v>
      </c>
      <c r="F19" s="7">
        <v>1</v>
      </c>
      <c r="G19" s="7">
        <v>1</v>
      </c>
      <c r="H19" s="7">
        <f t="shared" si="74"/>
        <v>4.25</v>
      </c>
      <c r="I19" s="9">
        <f t="shared" si="75"/>
        <v>32.583333333333329</v>
      </c>
      <c r="J19" s="13">
        <v>5.0000000000000001E-3</v>
      </c>
      <c r="K19" s="12">
        <f t="shared" si="73"/>
        <v>0.14166666666666666</v>
      </c>
      <c r="L19" s="32">
        <f t="shared" si="3"/>
        <v>1.4616209920076482E-2</v>
      </c>
      <c r="M19" s="12"/>
      <c r="N19" s="12">
        <f t="shared" si="4"/>
        <v>0</v>
      </c>
      <c r="O19" s="32">
        <f t="shared" si="5"/>
        <v>0</v>
      </c>
      <c r="P19" s="12"/>
      <c r="Q19" s="12">
        <f t="shared" si="76"/>
        <v>0</v>
      </c>
      <c r="R19" s="32">
        <f t="shared" si="7"/>
        <v>0</v>
      </c>
      <c r="S19" s="12"/>
      <c r="T19" s="12">
        <f t="shared" si="8"/>
        <v>0</v>
      </c>
      <c r="U19" s="32">
        <f t="shared" si="9"/>
        <v>0</v>
      </c>
      <c r="V19" s="12"/>
      <c r="W19" s="12">
        <f t="shared" si="10"/>
        <v>0</v>
      </c>
      <c r="X19" s="32">
        <f t="shared" si="11"/>
        <v>0</v>
      </c>
      <c r="Y19" s="12"/>
      <c r="Z19" s="12">
        <f t="shared" si="12"/>
        <v>0</v>
      </c>
      <c r="AA19" s="32">
        <f t="shared" si="13"/>
        <v>0</v>
      </c>
      <c r="AB19" s="12"/>
      <c r="AC19" s="12">
        <f t="shared" si="14"/>
        <v>0</v>
      </c>
      <c r="AD19" s="32">
        <f t="shared" si="15"/>
        <v>0</v>
      </c>
      <c r="AE19" s="12"/>
      <c r="AF19" s="37">
        <f t="shared" si="16"/>
        <v>0</v>
      </c>
      <c r="AG19" s="14">
        <f t="shared" si="17"/>
        <v>0</v>
      </c>
      <c r="AH19" s="12"/>
      <c r="AI19" s="12">
        <f t="shared" si="18"/>
        <v>0</v>
      </c>
      <c r="AJ19" s="32">
        <f t="shared" si="19"/>
        <v>0</v>
      </c>
      <c r="AK19" s="12"/>
      <c r="AL19" s="12">
        <f t="shared" si="20"/>
        <v>0</v>
      </c>
      <c r="AM19" s="32">
        <f t="shared" si="21"/>
        <v>0</v>
      </c>
      <c r="AN19" s="12"/>
      <c r="AO19" s="12">
        <f t="shared" si="22"/>
        <v>0</v>
      </c>
      <c r="AP19" s="32">
        <f t="shared" si="23"/>
        <v>0</v>
      </c>
      <c r="AQ19" s="12"/>
      <c r="AR19" s="12">
        <f t="shared" si="24"/>
        <v>0</v>
      </c>
      <c r="AS19" s="32">
        <f t="shared" si="25"/>
        <v>0</v>
      </c>
      <c r="AT19" s="12"/>
      <c r="AU19" s="12">
        <f t="shared" si="26"/>
        <v>0</v>
      </c>
      <c r="AV19" s="32">
        <f t="shared" si="27"/>
        <v>0</v>
      </c>
      <c r="AW19" s="12"/>
      <c r="AX19" s="12">
        <f t="shared" si="28"/>
        <v>0</v>
      </c>
      <c r="AY19" s="32">
        <f t="shared" si="29"/>
        <v>0</v>
      </c>
      <c r="AZ19" s="12"/>
      <c r="BA19" s="12">
        <f t="shared" si="30"/>
        <v>0</v>
      </c>
      <c r="BB19" s="32">
        <f t="shared" si="31"/>
        <v>0</v>
      </c>
      <c r="BC19" s="12"/>
      <c r="BD19" s="12">
        <f t="shared" si="32"/>
        <v>0</v>
      </c>
      <c r="BE19" s="32">
        <f t="shared" si="33"/>
        <v>0</v>
      </c>
      <c r="BF19" s="12"/>
      <c r="BG19" s="12">
        <f t="shared" si="34"/>
        <v>0</v>
      </c>
      <c r="BH19" s="32">
        <f t="shared" si="35"/>
        <v>0</v>
      </c>
      <c r="BI19" s="12"/>
      <c r="BJ19" s="12">
        <f t="shared" si="36"/>
        <v>0</v>
      </c>
      <c r="BK19" s="32">
        <f t="shared" si="37"/>
        <v>0</v>
      </c>
      <c r="BL19" s="12"/>
      <c r="BM19" s="12">
        <f t="shared" si="38"/>
        <v>0</v>
      </c>
      <c r="BN19" s="32">
        <f t="shared" si="39"/>
        <v>0</v>
      </c>
      <c r="BO19" s="12"/>
      <c r="BP19" s="12">
        <f t="shared" si="40"/>
        <v>0</v>
      </c>
      <c r="BQ19" s="32">
        <f t="shared" si="41"/>
        <v>0</v>
      </c>
      <c r="BR19" s="12"/>
      <c r="BS19" s="12">
        <f t="shared" si="42"/>
        <v>0</v>
      </c>
      <c r="BT19" s="32">
        <f t="shared" si="43"/>
        <v>0</v>
      </c>
      <c r="BU19" s="12"/>
      <c r="BV19" s="12">
        <f t="shared" si="44"/>
        <v>0</v>
      </c>
      <c r="BW19" s="32">
        <f t="shared" si="45"/>
        <v>0</v>
      </c>
      <c r="BX19" s="12"/>
      <c r="BY19" s="12">
        <f t="shared" si="46"/>
        <v>0</v>
      </c>
      <c r="BZ19" s="32">
        <f t="shared" si="47"/>
        <v>0</v>
      </c>
      <c r="CA19" s="12"/>
      <c r="CB19" s="12">
        <f t="shared" si="48"/>
        <v>0</v>
      </c>
      <c r="CC19" s="32">
        <f t="shared" si="49"/>
        <v>0</v>
      </c>
      <c r="CD19" s="12"/>
      <c r="CE19" s="12">
        <f t="shared" si="50"/>
        <v>0</v>
      </c>
      <c r="CF19" s="32">
        <f t="shared" si="51"/>
        <v>0</v>
      </c>
      <c r="CG19" s="12"/>
      <c r="CH19" s="12">
        <f t="shared" si="52"/>
        <v>0</v>
      </c>
      <c r="CI19" s="32">
        <f t="shared" si="53"/>
        <v>0</v>
      </c>
      <c r="CJ19" s="12"/>
      <c r="CK19" s="12">
        <f t="shared" si="54"/>
        <v>0</v>
      </c>
      <c r="CL19" s="32">
        <f t="shared" si="55"/>
        <v>0</v>
      </c>
      <c r="CM19" s="12"/>
      <c r="CN19" s="12">
        <f t="shared" si="56"/>
        <v>0</v>
      </c>
      <c r="CO19" s="32">
        <f t="shared" si="57"/>
        <v>0</v>
      </c>
      <c r="CP19" s="12"/>
      <c r="CQ19" s="12">
        <f t="shared" si="58"/>
        <v>0</v>
      </c>
      <c r="CR19" s="32">
        <f t="shared" si="59"/>
        <v>0</v>
      </c>
      <c r="CS19" s="12"/>
      <c r="CT19" s="12">
        <f t="shared" si="60"/>
        <v>0</v>
      </c>
      <c r="CU19" s="32">
        <f t="shared" si="61"/>
        <v>0</v>
      </c>
      <c r="CV19" s="12"/>
      <c r="CW19" s="12">
        <f t="shared" si="62"/>
        <v>0</v>
      </c>
      <c r="CX19" s="32">
        <f t="shared" si="63"/>
        <v>0</v>
      </c>
      <c r="CY19" s="12"/>
      <c r="CZ19" s="12">
        <f t="shared" si="64"/>
        <v>0</v>
      </c>
      <c r="DA19" s="32">
        <f t="shared" si="65"/>
        <v>0</v>
      </c>
      <c r="DB19" s="12"/>
      <c r="DC19" s="12">
        <f t="shared" si="66"/>
        <v>0</v>
      </c>
      <c r="DD19" s="32">
        <f t="shared" si="67"/>
        <v>0</v>
      </c>
      <c r="DE19" s="12"/>
      <c r="DF19" s="12">
        <f t="shared" si="68"/>
        <v>0</v>
      </c>
      <c r="DG19" s="32">
        <f t="shared" si="69"/>
        <v>0</v>
      </c>
      <c r="DH19" s="12"/>
      <c r="DI19" s="12">
        <f t="shared" si="1"/>
        <v>0</v>
      </c>
      <c r="DJ19" s="32">
        <f t="shared" si="70"/>
        <v>0</v>
      </c>
      <c r="DK19" s="12"/>
      <c r="DL19" s="12">
        <f t="shared" si="71"/>
        <v>0</v>
      </c>
      <c r="DM19" s="32">
        <f t="shared" si="72"/>
        <v>0</v>
      </c>
    </row>
    <row r="20" spans="1:117" s="6" customFormat="1" ht="22.25" customHeight="1" x14ac:dyDescent="0.35">
      <c r="A20" s="4">
        <v>11</v>
      </c>
      <c r="B20" s="4" t="s">
        <v>72</v>
      </c>
      <c r="C20" s="4" t="s">
        <v>73</v>
      </c>
      <c r="D20" s="7">
        <f t="shared" si="2"/>
        <v>3.125</v>
      </c>
      <c r="E20" s="7">
        <f>15/6</f>
        <v>2.5</v>
      </c>
      <c r="F20" s="7">
        <v>1</v>
      </c>
      <c r="G20" s="7">
        <v>0.8</v>
      </c>
      <c r="H20" s="7">
        <f t="shared" si="74"/>
        <v>0.46875</v>
      </c>
      <c r="I20" s="9">
        <f t="shared" si="75"/>
        <v>3.59375</v>
      </c>
      <c r="J20" s="13"/>
      <c r="K20" s="12">
        <f t="shared" si="73"/>
        <v>0</v>
      </c>
      <c r="L20" s="32">
        <f t="shared" si="3"/>
        <v>0</v>
      </c>
      <c r="M20" s="12"/>
      <c r="N20" s="12">
        <f t="shared" si="4"/>
        <v>0</v>
      </c>
      <c r="O20" s="32">
        <f t="shared" si="5"/>
        <v>0</v>
      </c>
      <c r="P20" s="12"/>
      <c r="Q20" s="12">
        <f t="shared" si="76"/>
        <v>0</v>
      </c>
      <c r="R20" s="32">
        <f t="shared" si="7"/>
        <v>0</v>
      </c>
      <c r="S20" s="12"/>
      <c r="T20" s="12">
        <f t="shared" si="8"/>
        <v>0</v>
      </c>
      <c r="U20" s="32">
        <f t="shared" si="9"/>
        <v>0</v>
      </c>
      <c r="V20" s="12"/>
      <c r="W20" s="12">
        <f t="shared" si="10"/>
        <v>0</v>
      </c>
      <c r="X20" s="32">
        <f t="shared" si="11"/>
        <v>0</v>
      </c>
      <c r="Y20" s="12"/>
      <c r="Z20" s="12">
        <f t="shared" si="12"/>
        <v>0</v>
      </c>
      <c r="AA20" s="32">
        <f t="shared" si="13"/>
        <v>0</v>
      </c>
      <c r="AB20" s="12"/>
      <c r="AC20" s="12">
        <f t="shared" si="14"/>
        <v>0</v>
      </c>
      <c r="AD20" s="32">
        <f t="shared" si="15"/>
        <v>0</v>
      </c>
      <c r="AE20" s="12"/>
      <c r="AF20" s="37">
        <f t="shared" si="16"/>
        <v>0</v>
      </c>
      <c r="AG20" s="14">
        <f t="shared" si="17"/>
        <v>0</v>
      </c>
      <c r="AH20" s="12"/>
      <c r="AI20" s="12">
        <f t="shared" si="18"/>
        <v>0</v>
      </c>
      <c r="AJ20" s="32">
        <f t="shared" si="19"/>
        <v>0</v>
      </c>
      <c r="AK20" s="12">
        <v>0.01</v>
      </c>
      <c r="AL20" s="12">
        <f t="shared" si="20"/>
        <v>3.125E-2</v>
      </c>
      <c r="AM20" s="32">
        <f t="shared" si="21"/>
        <v>1.2745639635015437E-2</v>
      </c>
      <c r="AN20" s="12"/>
      <c r="AO20" s="12">
        <f t="shared" si="22"/>
        <v>0</v>
      </c>
      <c r="AP20" s="32">
        <f t="shared" si="23"/>
        <v>0</v>
      </c>
      <c r="AQ20" s="12"/>
      <c r="AR20" s="12">
        <f t="shared" si="24"/>
        <v>0</v>
      </c>
      <c r="AS20" s="32">
        <f t="shared" si="25"/>
        <v>0</v>
      </c>
      <c r="AT20" s="12"/>
      <c r="AU20" s="12">
        <f t="shared" si="26"/>
        <v>0</v>
      </c>
      <c r="AV20" s="32">
        <f t="shared" si="27"/>
        <v>0</v>
      </c>
      <c r="AW20" s="12"/>
      <c r="AX20" s="12">
        <f t="shared" si="28"/>
        <v>0</v>
      </c>
      <c r="AY20" s="32">
        <f t="shared" si="29"/>
        <v>0</v>
      </c>
      <c r="AZ20" s="12"/>
      <c r="BA20" s="12">
        <f t="shared" si="30"/>
        <v>0</v>
      </c>
      <c r="BB20" s="32">
        <f t="shared" si="31"/>
        <v>0</v>
      </c>
      <c r="BC20" s="12"/>
      <c r="BD20" s="12">
        <f t="shared" si="32"/>
        <v>0</v>
      </c>
      <c r="BE20" s="32">
        <f t="shared" si="33"/>
        <v>0</v>
      </c>
      <c r="BF20" s="12"/>
      <c r="BG20" s="12">
        <f t="shared" si="34"/>
        <v>0</v>
      </c>
      <c r="BH20" s="32">
        <f t="shared" si="35"/>
        <v>0</v>
      </c>
      <c r="BI20" s="12"/>
      <c r="BJ20" s="12">
        <f t="shared" si="36"/>
        <v>0</v>
      </c>
      <c r="BK20" s="32">
        <f t="shared" si="37"/>
        <v>0</v>
      </c>
      <c r="BL20" s="12"/>
      <c r="BM20" s="12">
        <f t="shared" si="38"/>
        <v>0</v>
      </c>
      <c r="BN20" s="32">
        <f t="shared" si="39"/>
        <v>0</v>
      </c>
      <c r="BO20" s="12"/>
      <c r="BP20" s="12">
        <f t="shared" si="40"/>
        <v>0</v>
      </c>
      <c r="BQ20" s="32">
        <f t="shared" si="41"/>
        <v>0</v>
      </c>
      <c r="BR20" s="12"/>
      <c r="BS20" s="12">
        <f t="shared" si="42"/>
        <v>0</v>
      </c>
      <c r="BT20" s="32">
        <f t="shared" si="43"/>
        <v>0</v>
      </c>
      <c r="BU20" s="12"/>
      <c r="BV20" s="12">
        <f t="shared" si="44"/>
        <v>0</v>
      </c>
      <c r="BW20" s="32">
        <f t="shared" si="45"/>
        <v>0</v>
      </c>
      <c r="BX20" s="12"/>
      <c r="BY20" s="12">
        <f t="shared" si="46"/>
        <v>0</v>
      </c>
      <c r="BZ20" s="32">
        <f t="shared" si="47"/>
        <v>0</v>
      </c>
      <c r="CA20" s="12"/>
      <c r="CB20" s="12">
        <f t="shared" si="48"/>
        <v>0</v>
      </c>
      <c r="CC20" s="32">
        <f t="shared" si="49"/>
        <v>0</v>
      </c>
      <c r="CD20" s="12"/>
      <c r="CE20" s="12">
        <f t="shared" si="50"/>
        <v>0</v>
      </c>
      <c r="CF20" s="32">
        <f t="shared" si="51"/>
        <v>0</v>
      </c>
      <c r="CG20" s="12"/>
      <c r="CH20" s="12">
        <f t="shared" si="52"/>
        <v>0</v>
      </c>
      <c r="CI20" s="32">
        <f t="shared" si="53"/>
        <v>0</v>
      </c>
      <c r="CJ20" s="12"/>
      <c r="CK20" s="12">
        <f t="shared" si="54"/>
        <v>0</v>
      </c>
      <c r="CL20" s="32">
        <f t="shared" si="55"/>
        <v>0</v>
      </c>
      <c r="CM20" s="12"/>
      <c r="CN20" s="12">
        <f t="shared" si="56"/>
        <v>0</v>
      </c>
      <c r="CO20" s="32">
        <f t="shared" si="57"/>
        <v>0</v>
      </c>
      <c r="CP20" s="12"/>
      <c r="CQ20" s="12">
        <f t="shared" si="58"/>
        <v>0</v>
      </c>
      <c r="CR20" s="32">
        <f t="shared" si="59"/>
        <v>0</v>
      </c>
      <c r="CS20" s="12"/>
      <c r="CT20" s="12">
        <f t="shared" si="60"/>
        <v>0</v>
      </c>
      <c r="CU20" s="32">
        <f t="shared" si="61"/>
        <v>0</v>
      </c>
      <c r="CV20" s="12"/>
      <c r="CW20" s="12">
        <f t="shared" si="62"/>
        <v>0</v>
      </c>
      <c r="CX20" s="32">
        <f t="shared" si="63"/>
        <v>0</v>
      </c>
      <c r="CY20" s="12"/>
      <c r="CZ20" s="12">
        <f t="shared" si="64"/>
        <v>0</v>
      </c>
      <c r="DA20" s="32">
        <f t="shared" si="65"/>
        <v>0</v>
      </c>
      <c r="DB20" s="12"/>
      <c r="DC20" s="12">
        <f t="shared" si="66"/>
        <v>0</v>
      </c>
      <c r="DD20" s="32">
        <f t="shared" si="67"/>
        <v>0</v>
      </c>
      <c r="DE20" s="12"/>
      <c r="DF20" s="12">
        <f t="shared" si="68"/>
        <v>0</v>
      </c>
      <c r="DG20" s="32">
        <f t="shared" si="69"/>
        <v>0</v>
      </c>
      <c r="DH20" s="12"/>
      <c r="DI20" s="12">
        <f t="shared" si="1"/>
        <v>0</v>
      </c>
      <c r="DJ20" s="32">
        <f t="shared" si="70"/>
        <v>0</v>
      </c>
      <c r="DK20" s="12"/>
      <c r="DL20" s="12">
        <f t="shared" si="71"/>
        <v>0</v>
      </c>
      <c r="DM20" s="32">
        <f t="shared" si="72"/>
        <v>0</v>
      </c>
    </row>
    <row r="21" spans="1:117" s="6" customFormat="1" ht="22.25" customHeight="1" x14ac:dyDescent="0.35">
      <c r="A21" s="4">
        <v>12</v>
      </c>
      <c r="B21" s="4" t="s">
        <v>74</v>
      </c>
      <c r="C21" s="4" t="s">
        <v>75</v>
      </c>
      <c r="D21" s="7">
        <f t="shared" si="2"/>
        <v>5.75</v>
      </c>
      <c r="E21" s="7">
        <f>230/40</f>
        <v>5.75</v>
      </c>
      <c r="F21" s="7">
        <v>1</v>
      </c>
      <c r="G21" s="7">
        <v>1</v>
      </c>
      <c r="H21" s="7">
        <f t="shared" si="74"/>
        <v>0.86249999999999993</v>
      </c>
      <c r="I21" s="9">
        <f t="shared" si="75"/>
        <v>6.6124999999999998</v>
      </c>
      <c r="J21" s="13"/>
      <c r="K21" s="12">
        <f t="shared" si="73"/>
        <v>0</v>
      </c>
      <c r="L21" s="32">
        <f t="shared" si="3"/>
        <v>0</v>
      </c>
      <c r="M21" s="12"/>
      <c r="N21" s="12">
        <f t="shared" si="4"/>
        <v>0</v>
      </c>
      <c r="O21" s="32">
        <f t="shared" si="5"/>
        <v>0</v>
      </c>
      <c r="P21" s="12"/>
      <c r="Q21" s="12">
        <f t="shared" si="76"/>
        <v>0</v>
      </c>
      <c r="R21" s="32">
        <f t="shared" si="7"/>
        <v>0</v>
      </c>
      <c r="S21" s="12"/>
      <c r="T21" s="12">
        <f t="shared" si="8"/>
        <v>0</v>
      </c>
      <c r="U21" s="32">
        <f t="shared" si="9"/>
        <v>0</v>
      </c>
      <c r="V21" s="12"/>
      <c r="W21" s="12">
        <f t="shared" si="10"/>
        <v>0</v>
      </c>
      <c r="X21" s="32">
        <f t="shared" si="11"/>
        <v>0</v>
      </c>
      <c r="Y21" s="12"/>
      <c r="Z21" s="12">
        <f t="shared" si="12"/>
        <v>0</v>
      </c>
      <c r="AA21" s="32">
        <f t="shared" si="13"/>
        <v>0</v>
      </c>
      <c r="AB21" s="12"/>
      <c r="AC21" s="12">
        <f t="shared" si="14"/>
        <v>0</v>
      </c>
      <c r="AD21" s="32">
        <f t="shared" si="15"/>
        <v>0</v>
      </c>
      <c r="AE21" s="12"/>
      <c r="AF21" s="37">
        <f t="shared" si="16"/>
        <v>0</v>
      </c>
      <c r="AG21" s="14">
        <f t="shared" si="17"/>
        <v>0</v>
      </c>
      <c r="AH21" s="12"/>
      <c r="AI21" s="12">
        <f t="shared" si="18"/>
        <v>0</v>
      </c>
      <c r="AJ21" s="32">
        <f t="shared" si="19"/>
        <v>0</v>
      </c>
      <c r="AK21" s="12"/>
      <c r="AL21" s="12">
        <f t="shared" si="20"/>
        <v>0</v>
      </c>
      <c r="AM21" s="32">
        <f t="shared" si="21"/>
        <v>0</v>
      </c>
      <c r="AN21" s="12"/>
      <c r="AO21" s="12">
        <f t="shared" si="22"/>
        <v>0</v>
      </c>
      <c r="AP21" s="32">
        <f t="shared" si="23"/>
        <v>0</v>
      </c>
      <c r="AQ21" s="12"/>
      <c r="AR21" s="12">
        <f t="shared" si="24"/>
        <v>0</v>
      </c>
      <c r="AS21" s="32">
        <f t="shared" si="25"/>
        <v>0</v>
      </c>
      <c r="AT21" s="12"/>
      <c r="AU21" s="12">
        <f t="shared" si="26"/>
        <v>0</v>
      </c>
      <c r="AV21" s="32">
        <f t="shared" si="27"/>
        <v>0</v>
      </c>
      <c r="AW21" s="12"/>
      <c r="AX21" s="12">
        <f t="shared" si="28"/>
        <v>0</v>
      </c>
      <c r="AY21" s="32">
        <f t="shared" si="29"/>
        <v>0</v>
      </c>
      <c r="AZ21" s="12"/>
      <c r="BA21" s="12">
        <f t="shared" si="30"/>
        <v>0</v>
      </c>
      <c r="BB21" s="32">
        <f t="shared" si="31"/>
        <v>0</v>
      </c>
      <c r="BC21" s="12"/>
      <c r="BD21" s="12">
        <f t="shared" si="32"/>
        <v>0</v>
      </c>
      <c r="BE21" s="32">
        <f t="shared" si="33"/>
        <v>0</v>
      </c>
      <c r="BF21" s="12"/>
      <c r="BG21" s="12">
        <f t="shared" si="34"/>
        <v>0</v>
      </c>
      <c r="BH21" s="32">
        <f t="shared" si="35"/>
        <v>0</v>
      </c>
      <c r="BI21" s="12">
        <v>0.1</v>
      </c>
      <c r="BJ21" s="12">
        <f t="shared" si="36"/>
        <v>0.57500000000000007</v>
      </c>
      <c r="BK21" s="32">
        <f t="shared" si="37"/>
        <v>0.166877456882082</v>
      </c>
      <c r="BL21" s="12"/>
      <c r="BM21" s="12">
        <f t="shared" si="38"/>
        <v>0</v>
      </c>
      <c r="BN21" s="32">
        <f t="shared" si="39"/>
        <v>0</v>
      </c>
      <c r="BO21" s="12"/>
      <c r="BP21" s="12">
        <f t="shared" si="40"/>
        <v>0</v>
      </c>
      <c r="BQ21" s="32">
        <f t="shared" si="41"/>
        <v>0</v>
      </c>
      <c r="BR21" s="12"/>
      <c r="BS21" s="12">
        <f t="shared" si="42"/>
        <v>0</v>
      </c>
      <c r="BT21" s="32">
        <f t="shared" si="43"/>
        <v>0</v>
      </c>
      <c r="BU21" s="12"/>
      <c r="BV21" s="12">
        <f t="shared" si="44"/>
        <v>0</v>
      </c>
      <c r="BW21" s="32">
        <f t="shared" si="45"/>
        <v>0</v>
      </c>
      <c r="BX21" s="12"/>
      <c r="BY21" s="12">
        <f t="shared" si="46"/>
        <v>0</v>
      </c>
      <c r="BZ21" s="32">
        <f t="shared" si="47"/>
        <v>0</v>
      </c>
      <c r="CA21" s="12"/>
      <c r="CB21" s="12">
        <f t="shared" si="48"/>
        <v>0</v>
      </c>
      <c r="CC21" s="32">
        <f t="shared" si="49"/>
        <v>0</v>
      </c>
      <c r="CD21" s="12"/>
      <c r="CE21" s="12">
        <f t="shared" si="50"/>
        <v>0</v>
      </c>
      <c r="CF21" s="32">
        <f t="shared" si="51"/>
        <v>0</v>
      </c>
      <c r="CG21" s="12"/>
      <c r="CH21" s="12">
        <f t="shared" si="52"/>
        <v>0</v>
      </c>
      <c r="CI21" s="32">
        <f t="shared" si="53"/>
        <v>0</v>
      </c>
      <c r="CJ21" s="12"/>
      <c r="CK21" s="12">
        <f t="shared" si="54"/>
        <v>0</v>
      </c>
      <c r="CL21" s="32">
        <f t="shared" si="55"/>
        <v>0</v>
      </c>
      <c r="CM21" s="12"/>
      <c r="CN21" s="12">
        <f t="shared" si="56"/>
        <v>0</v>
      </c>
      <c r="CO21" s="32">
        <f t="shared" si="57"/>
        <v>0</v>
      </c>
      <c r="CP21" s="12"/>
      <c r="CQ21" s="12">
        <f t="shared" si="58"/>
        <v>0</v>
      </c>
      <c r="CR21" s="32">
        <f t="shared" si="59"/>
        <v>0</v>
      </c>
      <c r="CS21" s="12"/>
      <c r="CT21" s="12">
        <f t="shared" si="60"/>
        <v>0</v>
      </c>
      <c r="CU21" s="32">
        <f t="shared" si="61"/>
        <v>0</v>
      </c>
      <c r="CV21" s="12"/>
      <c r="CW21" s="12">
        <f t="shared" si="62"/>
        <v>0</v>
      </c>
      <c r="CX21" s="32">
        <f t="shared" si="63"/>
        <v>0</v>
      </c>
      <c r="CY21" s="12"/>
      <c r="CZ21" s="12">
        <f t="shared" si="64"/>
        <v>0</v>
      </c>
      <c r="DA21" s="32">
        <f t="shared" si="65"/>
        <v>0</v>
      </c>
      <c r="DB21" s="12"/>
      <c r="DC21" s="12">
        <f t="shared" si="66"/>
        <v>0</v>
      </c>
      <c r="DD21" s="32">
        <f t="shared" si="67"/>
        <v>0</v>
      </c>
      <c r="DE21" s="12"/>
      <c r="DF21" s="12">
        <f t="shared" si="68"/>
        <v>0</v>
      </c>
      <c r="DG21" s="32">
        <f t="shared" si="69"/>
        <v>0</v>
      </c>
      <c r="DH21" s="12"/>
      <c r="DI21" s="12">
        <f t="shared" si="1"/>
        <v>0</v>
      </c>
      <c r="DJ21" s="32">
        <f t="shared" si="70"/>
        <v>0</v>
      </c>
      <c r="DK21" s="12"/>
      <c r="DL21" s="12">
        <f t="shared" si="71"/>
        <v>0</v>
      </c>
      <c r="DM21" s="32">
        <f t="shared" si="72"/>
        <v>0</v>
      </c>
    </row>
    <row r="22" spans="1:117" s="6" customFormat="1" ht="22.25" customHeight="1" x14ac:dyDescent="0.35">
      <c r="A22" s="4">
        <v>13</v>
      </c>
      <c r="B22" s="4" t="s">
        <v>76</v>
      </c>
      <c r="C22" s="4" t="s">
        <v>77</v>
      </c>
      <c r="D22" s="7">
        <f t="shared" si="2"/>
        <v>10</v>
      </c>
      <c r="E22" s="7">
        <v>10</v>
      </c>
      <c r="F22" s="7">
        <v>1</v>
      </c>
      <c r="G22" s="7">
        <v>1</v>
      </c>
      <c r="H22" s="7">
        <f t="shared" si="74"/>
        <v>1.5</v>
      </c>
      <c r="I22" s="9">
        <f t="shared" si="75"/>
        <v>11.5</v>
      </c>
      <c r="J22" s="13"/>
      <c r="K22" s="12">
        <f t="shared" si="73"/>
        <v>0</v>
      </c>
      <c r="L22" s="32">
        <f t="shared" si="3"/>
        <v>0</v>
      </c>
      <c r="M22" s="12"/>
      <c r="N22" s="12">
        <f t="shared" si="4"/>
        <v>0</v>
      </c>
      <c r="O22" s="32">
        <f t="shared" si="5"/>
        <v>0</v>
      </c>
      <c r="P22" s="12"/>
      <c r="Q22" s="12">
        <f t="shared" si="76"/>
        <v>0</v>
      </c>
      <c r="R22" s="32">
        <f t="shared" si="7"/>
        <v>0</v>
      </c>
      <c r="S22" s="12"/>
      <c r="T22" s="12">
        <f t="shared" si="8"/>
        <v>0</v>
      </c>
      <c r="U22" s="32">
        <f t="shared" si="9"/>
        <v>0</v>
      </c>
      <c r="V22" s="12"/>
      <c r="W22" s="12">
        <f t="shared" si="10"/>
        <v>0</v>
      </c>
      <c r="X22" s="32">
        <f t="shared" si="11"/>
        <v>0</v>
      </c>
      <c r="Y22" s="12"/>
      <c r="Z22" s="12">
        <f t="shared" si="12"/>
        <v>0</v>
      </c>
      <c r="AA22" s="32">
        <f t="shared" si="13"/>
        <v>0</v>
      </c>
      <c r="AB22" s="12"/>
      <c r="AC22" s="12">
        <f t="shared" si="14"/>
        <v>0</v>
      </c>
      <c r="AD22" s="32">
        <f t="shared" si="15"/>
        <v>0</v>
      </c>
      <c r="AE22" s="12"/>
      <c r="AF22" s="37">
        <f t="shared" si="16"/>
        <v>0</v>
      </c>
      <c r="AG22" s="14">
        <f t="shared" si="17"/>
        <v>0</v>
      </c>
      <c r="AH22" s="12"/>
      <c r="AI22" s="12">
        <f t="shared" si="18"/>
        <v>0</v>
      </c>
      <c r="AJ22" s="32">
        <f t="shared" si="19"/>
        <v>0</v>
      </c>
      <c r="AK22" s="12"/>
      <c r="AL22" s="12">
        <f t="shared" si="20"/>
        <v>0</v>
      </c>
      <c r="AM22" s="32">
        <f t="shared" si="21"/>
        <v>0</v>
      </c>
      <c r="AN22" s="12"/>
      <c r="AO22" s="12">
        <f t="shared" si="22"/>
        <v>0</v>
      </c>
      <c r="AP22" s="32">
        <f t="shared" si="23"/>
        <v>0</v>
      </c>
      <c r="AQ22" s="12"/>
      <c r="AR22" s="12">
        <f t="shared" si="24"/>
        <v>0</v>
      </c>
      <c r="AS22" s="32">
        <f t="shared" si="25"/>
        <v>0</v>
      </c>
      <c r="AT22" s="12"/>
      <c r="AU22" s="12">
        <f t="shared" si="26"/>
        <v>0</v>
      </c>
      <c r="AV22" s="32">
        <f t="shared" si="27"/>
        <v>0</v>
      </c>
      <c r="AW22" s="12"/>
      <c r="AX22" s="12">
        <f t="shared" si="28"/>
        <v>0</v>
      </c>
      <c r="AY22" s="32">
        <f t="shared" si="29"/>
        <v>0</v>
      </c>
      <c r="AZ22" s="12"/>
      <c r="BA22" s="12">
        <f t="shared" si="30"/>
        <v>0</v>
      </c>
      <c r="BB22" s="32">
        <f t="shared" si="31"/>
        <v>0</v>
      </c>
      <c r="BC22" s="12"/>
      <c r="BD22" s="12">
        <f t="shared" si="32"/>
        <v>0</v>
      </c>
      <c r="BE22" s="32">
        <f t="shared" si="33"/>
        <v>0</v>
      </c>
      <c r="BF22" s="12"/>
      <c r="BG22" s="12">
        <f t="shared" si="34"/>
        <v>0</v>
      </c>
      <c r="BH22" s="32">
        <f t="shared" si="35"/>
        <v>0</v>
      </c>
      <c r="BI22" s="12">
        <v>1E-3</v>
      </c>
      <c r="BJ22" s="12">
        <f t="shared" si="36"/>
        <v>0.01</v>
      </c>
      <c r="BK22" s="32">
        <f t="shared" si="37"/>
        <v>2.9022166414275127E-3</v>
      </c>
      <c r="BL22" s="12"/>
      <c r="BM22" s="12">
        <f t="shared" si="38"/>
        <v>0</v>
      </c>
      <c r="BN22" s="32">
        <f t="shared" si="39"/>
        <v>0</v>
      </c>
      <c r="BO22" s="12"/>
      <c r="BP22" s="12">
        <f t="shared" si="40"/>
        <v>0</v>
      </c>
      <c r="BQ22" s="32">
        <f t="shared" si="41"/>
        <v>0</v>
      </c>
      <c r="BR22" s="12"/>
      <c r="BS22" s="12">
        <f t="shared" si="42"/>
        <v>0</v>
      </c>
      <c r="BT22" s="32">
        <f t="shared" si="43"/>
        <v>0</v>
      </c>
      <c r="BU22" s="12"/>
      <c r="BV22" s="12">
        <f t="shared" si="44"/>
        <v>0</v>
      </c>
      <c r="BW22" s="32">
        <f t="shared" si="45"/>
        <v>0</v>
      </c>
      <c r="BX22" s="12"/>
      <c r="BY22" s="12">
        <f t="shared" si="46"/>
        <v>0</v>
      </c>
      <c r="BZ22" s="32">
        <f t="shared" si="47"/>
        <v>0</v>
      </c>
      <c r="CA22" s="12"/>
      <c r="CB22" s="12">
        <f t="shared" si="48"/>
        <v>0</v>
      </c>
      <c r="CC22" s="32">
        <f t="shared" si="49"/>
        <v>0</v>
      </c>
      <c r="CD22" s="12"/>
      <c r="CE22" s="12">
        <f t="shared" si="50"/>
        <v>0</v>
      </c>
      <c r="CF22" s="32">
        <f t="shared" si="51"/>
        <v>0</v>
      </c>
      <c r="CG22" s="12"/>
      <c r="CH22" s="12">
        <f t="shared" si="52"/>
        <v>0</v>
      </c>
      <c r="CI22" s="32">
        <f t="shared" si="53"/>
        <v>0</v>
      </c>
      <c r="CJ22" s="12"/>
      <c r="CK22" s="12">
        <f t="shared" si="54"/>
        <v>0</v>
      </c>
      <c r="CL22" s="32">
        <f t="shared" si="55"/>
        <v>0</v>
      </c>
      <c r="CM22" s="12"/>
      <c r="CN22" s="12">
        <f t="shared" si="56"/>
        <v>0</v>
      </c>
      <c r="CO22" s="32">
        <f t="shared" si="57"/>
        <v>0</v>
      </c>
      <c r="CP22" s="12"/>
      <c r="CQ22" s="12">
        <f t="shared" si="58"/>
        <v>0</v>
      </c>
      <c r="CR22" s="32">
        <f t="shared" si="59"/>
        <v>0</v>
      </c>
      <c r="CS22" s="12"/>
      <c r="CT22" s="12">
        <f t="shared" si="60"/>
        <v>0</v>
      </c>
      <c r="CU22" s="32">
        <f t="shared" si="61"/>
        <v>0</v>
      </c>
      <c r="CV22" s="12"/>
      <c r="CW22" s="12">
        <f t="shared" si="62"/>
        <v>0</v>
      </c>
      <c r="CX22" s="32">
        <f t="shared" si="63"/>
        <v>0</v>
      </c>
      <c r="CY22" s="12"/>
      <c r="CZ22" s="12">
        <f t="shared" si="64"/>
        <v>0</v>
      </c>
      <c r="DA22" s="32">
        <f t="shared" si="65"/>
        <v>0</v>
      </c>
      <c r="DB22" s="12"/>
      <c r="DC22" s="12">
        <f t="shared" si="66"/>
        <v>0</v>
      </c>
      <c r="DD22" s="32">
        <f t="shared" si="67"/>
        <v>0</v>
      </c>
      <c r="DE22" s="12"/>
      <c r="DF22" s="12">
        <f t="shared" si="68"/>
        <v>0</v>
      </c>
      <c r="DG22" s="32">
        <f t="shared" si="69"/>
        <v>0</v>
      </c>
      <c r="DH22" s="12"/>
      <c r="DI22" s="12">
        <f t="shared" si="1"/>
        <v>0</v>
      </c>
      <c r="DJ22" s="32">
        <f t="shared" si="70"/>
        <v>0</v>
      </c>
      <c r="DK22" s="12"/>
      <c r="DL22" s="12">
        <f t="shared" si="71"/>
        <v>0</v>
      </c>
      <c r="DM22" s="32">
        <f t="shared" si="72"/>
        <v>0</v>
      </c>
    </row>
    <row r="23" spans="1:117" s="6" customFormat="1" ht="22.25" customHeight="1" x14ac:dyDescent="0.35">
      <c r="A23" s="4">
        <v>14</v>
      </c>
      <c r="B23" s="4" t="s">
        <v>78</v>
      </c>
      <c r="C23" s="4" t="s">
        <v>79</v>
      </c>
      <c r="D23" s="7">
        <f t="shared" si="2"/>
        <v>89.487179487179489</v>
      </c>
      <c r="E23" s="7">
        <f>13.96*1000/156</f>
        <v>89.487179487179489</v>
      </c>
      <c r="F23" s="7">
        <v>1</v>
      </c>
      <c r="G23" s="7">
        <v>1</v>
      </c>
      <c r="H23" s="7">
        <f t="shared" si="74"/>
        <v>13.423076923076923</v>
      </c>
      <c r="I23" s="9">
        <f t="shared" si="75"/>
        <v>102.91025641025641</v>
      </c>
      <c r="J23" s="13"/>
      <c r="K23" s="12">
        <f t="shared" si="73"/>
        <v>0</v>
      </c>
      <c r="L23" s="32">
        <f t="shared" si="3"/>
        <v>0</v>
      </c>
      <c r="M23" s="12"/>
      <c r="N23" s="12">
        <f t="shared" si="4"/>
        <v>0</v>
      </c>
      <c r="O23" s="32">
        <f t="shared" si="5"/>
        <v>0</v>
      </c>
      <c r="P23" s="12"/>
      <c r="Q23" s="12">
        <f t="shared" si="76"/>
        <v>0</v>
      </c>
      <c r="R23" s="32">
        <f t="shared" si="7"/>
        <v>0</v>
      </c>
      <c r="S23" s="12">
        <v>2E-3</v>
      </c>
      <c r="T23" s="12">
        <f t="shared" si="8"/>
        <v>0.17897435897435898</v>
      </c>
      <c r="U23" s="32">
        <f t="shared" si="9"/>
        <v>3.5553705226777699E-2</v>
      </c>
      <c r="V23" s="12"/>
      <c r="W23" s="12">
        <f t="shared" si="10"/>
        <v>0</v>
      </c>
      <c r="X23" s="32">
        <f t="shared" si="11"/>
        <v>0</v>
      </c>
      <c r="Y23" s="12"/>
      <c r="Z23" s="12">
        <f t="shared" si="12"/>
        <v>0</v>
      </c>
      <c r="AA23" s="32">
        <f t="shared" si="13"/>
        <v>0</v>
      </c>
      <c r="AB23" s="12"/>
      <c r="AC23" s="12">
        <f t="shared" si="14"/>
        <v>0</v>
      </c>
      <c r="AD23" s="32">
        <f t="shared" si="15"/>
        <v>0</v>
      </c>
      <c r="AE23" s="12"/>
      <c r="AF23" s="37">
        <f t="shared" si="16"/>
        <v>0</v>
      </c>
      <c r="AG23" s="14">
        <f t="shared" si="17"/>
        <v>0</v>
      </c>
      <c r="AH23" s="12"/>
      <c r="AI23" s="12">
        <f t="shared" si="18"/>
        <v>0</v>
      </c>
      <c r="AJ23" s="32">
        <f t="shared" si="19"/>
        <v>0</v>
      </c>
      <c r="AK23" s="12"/>
      <c r="AL23" s="12">
        <f t="shared" si="20"/>
        <v>0</v>
      </c>
      <c r="AM23" s="32">
        <f t="shared" si="21"/>
        <v>0</v>
      </c>
      <c r="AN23" s="12"/>
      <c r="AO23" s="12">
        <f t="shared" si="22"/>
        <v>0</v>
      </c>
      <c r="AP23" s="32">
        <f t="shared" si="23"/>
        <v>0</v>
      </c>
      <c r="AQ23" s="12"/>
      <c r="AR23" s="12">
        <f t="shared" si="24"/>
        <v>0</v>
      </c>
      <c r="AS23" s="32">
        <f t="shared" si="25"/>
        <v>0</v>
      </c>
      <c r="AT23" s="12"/>
      <c r="AU23" s="12">
        <f t="shared" si="26"/>
        <v>0</v>
      </c>
      <c r="AV23" s="32">
        <f t="shared" si="27"/>
        <v>0</v>
      </c>
      <c r="AW23" s="12"/>
      <c r="AX23" s="12">
        <f t="shared" si="28"/>
        <v>0</v>
      </c>
      <c r="AY23" s="32">
        <f t="shared" si="29"/>
        <v>0</v>
      </c>
      <c r="AZ23" s="12"/>
      <c r="BA23" s="12">
        <f t="shared" si="30"/>
        <v>0</v>
      </c>
      <c r="BB23" s="32">
        <f t="shared" si="31"/>
        <v>0</v>
      </c>
      <c r="BC23" s="12"/>
      <c r="BD23" s="12">
        <f t="shared" si="32"/>
        <v>0</v>
      </c>
      <c r="BE23" s="32">
        <f t="shared" si="33"/>
        <v>0</v>
      </c>
      <c r="BF23" s="12"/>
      <c r="BG23" s="12">
        <f t="shared" si="34"/>
        <v>0</v>
      </c>
      <c r="BH23" s="32">
        <f t="shared" si="35"/>
        <v>0</v>
      </c>
      <c r="BI23" s="12"/>
      <c r="BJ23" s="12">
        <f t="shared" si="36"/>
        <v>0</v>
      </c>
      <c r="BK23" s="32">
        <f t="shared" si="37"/>
        <v>0</v>
      </c>
      <c r="BL23" s="12"/>
      <c r="BM23" s="12">
        <f t="shared" si="38"/>
        <v>0</v>
      </c>
      <c r="BN23" s="32">
        <f t="shared" si="39"/>
        <v>0</v>
      </c>
      <c r="BO23" s="12"/>
      <c r="BP23" s="12">
        <f t="shared" si="40"/>
        <v>0</v>
      </c>
      <c r="BQ23" s="32">
        <f t="shared" si="41"/>
        <v>0</v>
      </c>
      <c r="BR23" s="12"/>
      <c r="BS23" s="12">
        <f t="shared" si="42"/>
        <v>0</v>
      </c>
      <c r="BT23" s="32">
        <f t="shared" si="43"/>
        <v>0</v>
      </c>
      <c r="BU23" s="12"/>
      <c r="BV23" s="12">
        <f t="shared" si="44"/>
        <v>0</v>
      </c>
      <c r="BW23" s="32">
        <f t="shared" si="45"/>
        <v>0</v>
      </c>
      <c r="BX23" s="12"/>
      <c r="BY23" s="12">
        <f t="shared" si="46"/>
        <v>0</v>
      </c>
      <c r="BZ23" s="32">
        <f t="shared" si="47"/>
        <v>0</v>
      </c>
      <c r="CA23" s="12"/>
      <c r="CB23" s="12">
        <f t="shared" si="48"/>
        <v>0</v>
      </c>
      <c r="CC23" s="32">
        <f t="shared" si="49"/>
        <v>0</v>
      </c>
      <c r="CD23" s="12"/>
      <c r="CE23" s="12">
        <f t="shared" si="50"/>
        <v>0</v>
      </c>
      <c r="CF23" s="32">
        <f t="shared" si="51"/>
        <v>0</v>
      </c>
      <c r="CG23" s="12"/>
      <c r="CH23" s="12">
        <f t="shared" si="52"/>
        <v>0</v>
      </c>
      <c r="CI23" s="32">
        <f t="shared" si="53"/>
        <v>0</v>
      </c>
      <c r="CJ23" s="12"/>
      <c r="CK23" s="12">
        <f t="shared" si="54"/>
        <v>0</v>
      </c>
      <c r="CL23" s="32">
        <f t="shared" si="55"/>
        <v>0</v>
      </c>
      <c r="CM23" s="12"/>
      <c r="CN23" s="12">
        <f t="shared" si="56"/>
        <v>0</v>
      </c>
      <c r="CO23" s="32">
        <f t="shared" si="57"/>
        <v>0</v>
      </c>
      <c r="CP23" s="12"/>
      <c r="CQ23" s="12">
        <f t="shared" si="58"/>
        <v>0</v>
      </c>
      <c r="CR23" s="32">
        <f t="shared" si="59"/>
        <v>0</v>
      </c>
      <c r="CS23" s="12"/>
      <c r="CT23" s="12">
        <f t="shared" si="60"/>
        <v>0</v>
      </c>
      <c r="CU23" s="32">
        <f t="shared" si="61"/>
        <v>0</v>
      </c>
      <c r="CV23" s="12"/>
      <c r="CW23" s="12">
        <f t="shared" si="62"/>
        <v>0</v>
      </c>
      <c r="CX23" s="32">
        <f t="shared" si="63"/>
        <v>0</v>
      </c>
      <c r="CY23" s="12"/>
      <c r="CZ23" s="12">
        <f t="shared" si="64"/>
        <v>0</v>
      </c>
      <c r="DA23" s="32">
        <f t="shared" si="65"/>
        <v>0</v>
      </c>
      <c r="DB23" s="12"/>
      <c r="DC23" s="12">
        <f t="shared" si="66"/>
        <v>0</v>
      </c>
      <c r="DD23" s="32">
        <f t="shared" si="67"/>
        <v>0</v>
      </c>
      <c r="DE23" s="12"/>
      <c r="DF23" s="12">
        <f t="shared" si="68"/>
        <v>0</v>
      </c>
      <c r="DG23" s="32">
        <f t="shared" si="69"/>
        <v>0</v>
      </c>
      <c r="DH23" s="12"/>
      <c r="DI23" s="12">
        <f t="shared" si="1"/>
        <v>0</v>
      </c>
      <c r="DJ23" s="32">
        <f t="shared" si="70"/>
        <v>0</v>
      </c>
      <c r="DK23" s="12"/>
      <c r="DL23" s="12">
        <f t="shared" si="71"/>
        <v>0</v>
      </c>
      <c r="DM23" s="32">
        <f t="shared" si="72"/>
        <v>0</v>
      </c>
    </row>
    <row r="24" spans="1:117" s="6" customFormat="1" ht="22.25" customHeight="1" x14ac:dyDescent="0.35">
      <c r="A24" s="4">
        <v>15</v>
      </c>
      <c r="B24" s="4" t="s">
        <v>80</v>
      </c>
      <c r="C24" s="4" t="s">
        <v>81</v>
      </c>
      <c r="D24" s="7">
        <f t="shared" si="2"/>
        <v>13.6</v>
      </c>
      <c r="E24" s="7">
        <f>136/10</f>
        <v>13.6</v>
      </c>
      <c r="F24" s="7">
        <v>1</v>
      </c>
      <c r="G24" s="7">
        <v>1</v>
      </c>
      <c r="H24" s="7">
        <f t="shared" si="74"/>
        <v>2.04</v>
      </c>
      <c r="I24" s="9">
        <f t="shared" si="75"/>
        <v>15.64</v>
      </c>
      <c r="J24" s="13"/>
      <c r="K24" s="12">
        <f t="shared" si="73"/>
        <v>0</v>
      </c>
      <c r="L24" s="32">
        <f t="shared" si="3"/>
        <v>0</v>
      </c>
      <c r="M24" s="12"/>
      <c r="N24" s="12">
        <f t="shared" si="4"/>
        <v>0</v>
      </c>
      <c r="O24" s="32">
        <f t="shared" si="5"/>
        <v>0</v>
      </c>
      <c r="P24" s="12"/>
      <c r="Q24" s="12">
        <f t="shared" si="76"/>
        <v>0</v>
      </c>
      <c r="R24" s="32">
        <f t="shared" si="7"/>
        <v>0</v>
      </c>
      <c r="S24" s="12"/>
      <c r="T24" s="12">
        <f t="shared" si="8"/>
        <v>0</v>
      </c>
      <c r="U24" s="32">
        <f t="shared" si="9"/>
        <v>0</v>
      </c>
      <c r="V24" s="12"/>
      <c r="W24" s="12">
        <f t="shared" si="10"/>
        <v>0</v>
      </c>
      <c r="X24" s="32">
        <f t="shared" si="11"/>
        <v>0</v>
      </c>
      <c r="Y24" s="12"/>
      <c r="Z24" s="12">
        <f t="shared" si="12"/>
        <v>0</v>
      </c>
      <c r="AA24" s="32">
        <f t="shared" si="13"/>
        <v>0</v>
      </c>
      <c r="AB24" s="12">
        <v>0.01</v>
      </c>
      <c r="AC24" s="12">
        <f t="shared" si="14"/>
        <v>0.13600000000000001</v>
      </c>
      <c r="AD24" s="32">
        <f t="shared" si="15"/>
        <v>3.686716334029904E-2</v>
      </c>
      <c r="AE24" s="12"/>
      <c r="AF24" s="37">
        <f t="shared" si="16"/>
        <v>0</v>
      </c>
      <c r="AG24" s="14">
        <f t="shared" si="17"/>
        <v>0</v>
      </c>
      <c r="AH24" s="12"/>
      <c r="AI24" s="12">
        <f t="shared" si="18"/>
        <v>0</v>
      </c>
      <c r="AJ24" s="32">
        <f t="shared" si="19"/>
        <v>0</v>
      </c>
      <c r="AK24" s="12"/>
      <c r="AL24" s="12">
        <f t="shared" si="20"/>
        <v>0</v>
      </c>
      <c r="AM24" s="32">
        <f t="shared" si="21"/>
        <v>0</v>
      </c>
      <c r="AN24" s="12"/>
      <c r="AO24" s="12">
        <f t="shared" si="22"/>
        <v>0</v>
      </c>
      <c r="AP24" s="32">
        <f t="shared" si="23"/>
        <v>0</v>
      </c>
      <c r="AQ24" s="12"/>
      <c r="AR24" s="12">
        <f t="shared" si="24"/>
        <v>0</v>
      </c>
      <c r="AS24" s="32">
        <f t="shared" si="25"/>
        <v>0</v>
      </c>
      <c r="AT24" s="12"/>
      <c r="AU24" s="12">
        <f t="shared" si="26"/>
        <v>0</v>
      </c>
      <c r="AV24" s="32">
        <f t="shared" si="27"/>
        <v>0</v>
      </c>
      <c r="AW24" s="12"/>
      <c r="AX24" s="12">
        <f t="shared" si="28"/>
        <v>0</v>
      </c>
      <c r="AY24" s="32">
        <f t="shared" si="29"/>
        <v>0</v>
      </c>
      <c r="AZ24" s="12"/>
      <c r="BA24" s="12">
        <f t="shared" si="30"/>
        <v>0</v>
      </c>
      <c r="BB24" s="32">
        <f t="shared" si="31"/>
        <v>0</v>
      </c>
      <c r="BC24" s="12"/>
      <c r="BD24" s="12">
        <f t="shared" si="32"/>
        <v>0</v>
      </c>
      <c r="BE24" s="32">
        <f t="shared" si="33"/>
        <v>0</v>
      </c>
      <c r="BF24" s="12"/>
      <c r="BG24" s="12">
        <f t="shared" si="34"/>
        <v>0</v>
      </c>
      <c r="BH24" s="32">
        <f t="shared" si="35"/>
        <v>0</v>
      </c>
      <c r="BI24" s="12"/>
      <c r="BJ24" s="12">
        <f t="shared" si="36"/>
        <v>0</v>
      </c>
      <c r="BK24" s="32">
        <f t="shared" si="37"/>
        <v>0</v>
      </c>
      <c r="BL24" s="12"/>
      <c r="BM24" s="12">
        <f t="shared" si="38"/>
        <v>0</v>
      </c>
      <c r="BN24" s="32">
        <f t="shared" si="39"/>
        <v>0</v>
      </c>
      <c r="BO24" s="12"/>
      <c r="BP24" s="12">
        <f t="shared" si="40"/>
        <v>0</v>
      </c>
      <c r="BQ24" s="32">
        <f t="shared" si="41"/>
        <v>0</v>
      </c>
      <c r="BR24" s="12"/>
      <c r="BS24" s="12">
        <f t="shared" si="42"/>
        <v>0</v>
      </c>
      <c r="BT24" s="32">
        <f t="shared" si="43"/>
        <v>0</v>
      </c>
      <c r="BU24" s="12"/>
      <c r="BV24" s="12">
        <f t="shared" si="44"/>
        <v>0</v>
      </c>
      <c r="BW24" s="32">
        <f t="shared" si="45"/>
        <v>0</v>
      </c>
      <c r="BX24" s="12"/>
      <c r="BY24" s="12">
        <f t="shared" si="46"/>
        <v>0</v>
      </c>
      <c r="BZ24" s="32">
        <f t="shared" si="47"/>
        <v>0</v>
      </c>
      <c r="CA24" s="12"/>
      <c r="CB24" s="12">
        <f t="shared" si="48"/>
        <v>0</v>
      </c>
      <c r="CC24" s="32">
        <f t="shared" si="49"/>
        <v>0</v>
      </c>
      <c r="CD24" s="12"/>
      <c r="CE24" s="12">
        <f t="shared" si="50"/>
        <v>0</v>
      </c>
      <c r="CF24" s="32">
        <f t="shared" si="51"/>
        <v>0</v>
      </c>
      <c r="CG24" s="12"/>
      <c r="CH24" s="12">
        <f t="shared" si="52"/>
        <v>0</v>
      </c>
      <c r="CI24" s="32">
        <f t="shared" si="53"/>
        <v>0</v>
      </c>
      <c r="CJ24" s="12"/>
      <c r="CK24" s="12">
        <f t="shared" si="54"/>
        <v>0</v>
      </c>
      <c r="CL24" s="32">
        <f t="shared" si="55"/>
        <v>0</v>
      </c>
      <c r="CM24" s="12"/>
      <c r="CN24" s="12">
        <f t="shared" si="56"/>
        <v>0</v>
      </c>
      <c r="CO24" s="32">
        <f t="shared" si="57"/>
        <v>0</v>
      </c>
      <c r="CP24" s="12"/>
      <c r="CQ24" s="12">
        <f t="shared" si="58"/>
        <v>0</v>
      </c>
      <c r="CR24" s="32">
        <f t="shared" si="59"/>
        <v>0</v>
      </c>
      <c r="CS24" s="12"/>
      <c r="CT24" s="12">
        <f t="shared" si="60"/>
        <v>0</v>
      </c>
      <c r="CU24" s="32">
        <f t="shared" si="61"/>
        <v>0</v>
      </c>
      <c r="CV24" s="12"/>
      <c r="CW24" s="12">
        <f t="shared" si="62"/>
        <v>0</v>
      </c>
      <c r="CX24" s="32">
        <f t="shared" si="63"/>
        <v>0</v>
      </c>
      <c r="CY24" s="12"/>
      <c r="CZ24" s="12">
        <f t="shared" si="64"/>
        <v>0</v>
      </c>
      <c r="DA24" s="32">
        <f t="shared" si="65"/>
        <v>0</v>
      </c>
      <c r="DB24" s="12"/>
      <c r="DC24" s="12">
        <f t="shared" si="66"/>
        <v>0</v>
      </c>
      <c r="DD24" s="32">
        <f t="shared" si="67"/>
        <v>0</v>
      </c>
      <c r="DE24" s="12"/>
      <c r="DF24" s="12">
        <f t="shared" si="68"/>
        <v>0</v>
      </c>
      <c r="DG24" s="32">
        <f t="shared" si="69"/>
        <v>0</v>
      </c>
      <c r="DH24" s="12"/>
      <c r="DI24" s="12">
        <f t="shared" si="1"/>
        <v>0</v>
      </c>
      <c r="DJ24" s="32">
        <f t="shared" si="70"/>
        <v>0</v>
      </c>
      <c r="DK24" s="12"/>
      <c r="DL24" s="12">
        <f t="shared" si="71"/>
        <v>0</v>
      </c>
      <c r="DM24" s="32">
        <f t="shared" si="72"/>
        <v>0</v>
      </c>
    </row>
    <row r="25" spans="1:117" s="6" customFormat="1" ht="22.25" customHeight="1" x14ac:dyDescent="0.35">
      <c r="A25" s="4">
        <v>16</v>
      </c>
      <c r="B25" s="4" t="s">
        <v>82</v>
      </c>
      <c r="C25" s="4" t="s">
        <v>83</v>
      </c>
      <c r="D25" s="7">
        <f t="shared" si="2"/>
        <v>18</v>
      </c>
      <c r="E25" s="7">
        <v>18</v>
      </c>
      <c r="F25" s="7">
        <v>1</v>
      </c>
      <c r="G25" s="7">
        <v>1</v>
      </c>
      <c r="H25" s="7">
        <f t="shared" si="74"/>
        <v>2.6999999999999997</v>
      </c>
      <c r="I25" s="9">
        <f t="shared" si="75"/>
        <v>20.7</v>
      </c>
      <c r="J25" s="13">
        <v>5.0000000000000001E-3</v>
      </c>
      <c r="K25" s="12">
        <f t="shared" si="73"/>
        <v>0.09</v>
      </c>
      <c r="L25" s="32">
        <f t="shared" si="3"/>
        <v>9.2855921845191765E-3</v>
      </c>
      <c r="M25" s="12">
        <v>2E-3</v>
      </c>
      <c r="N25" s="12">
        <f t="shared" si="4"/>
        <v>3.6000000000000004E-2</v>
      </c>
      <c r="O25" s="32">
        <f t="shared" si="5"/>
        <v>4.8203870235181325E-3</v>
      </c>
      <c r="P25" s="12">
        <v>2E-3</v>
      </c>
      <c r="Q25" s="12">
        <f t="shared" si="76"/>
        <v>3.6000000000000004E-2</v>
      </c>
      <c r="R25" s="32">
        <f t="shared" si="7"/>
        <v>8.6277813843151172E-3</v>
      </c>
      <c r="S25" s="12">
        <v>2E-3</v>
      </c>
      <c r="T25" s="12">
        <f t="shared" si="8"/>
        <v>3.6000000000000004E-2</v>
      </c>
      <c r="U25" s="32">
        <f t="shared" si="9"/>
        <v>7.1514902777071471E-3</v>
      </c>
      <c r="V25" s="12">
        <v>1E-3</v>
      </c>
      <c r="W25" s="12">
        <f t="shared" si="10"/>
        <v>1.8000000000000002E-2</v>
      </c>
      <c r="X25" s="32">
        <f t="shared" si="11"/>
        <v>2.7133826542859365E-3</v>
      </c>
      <c r="Y25" s="12">
        <v>2E-3</v>
      </c>
      <c r="Z25" s="12">
        <f t="shared" si="12"/>
        <v>3.6000000000000004E-2</v>
      </c>
      <c r="AA25" s="32">
        <f t="shared" si="13"/>
        <v>8.3801971988805169E-3</v>
      </c>
      <c r="AB25" s="12"/>
      <c r="AC25" s="12">
        <f t="shared" si="14"/>
        <v>0</v>
      </c>
      <c r="AD25" s="32">
        <f t="shared" si="15"/>
        <v>0</v>
      </c>
      <c r="AE25" s="12"/>
      <c r="AF25" s="37">
        <f t="shared" si="16"/>
        <v>0</v>
      </c>
      <c r="AG25" s="14">
        <f t="shared" si="17"/>
        <v>0</v>
      </c>
      <c r="AH25" s="12"/>
      <c r="AI25" s="12">
        <f t="shared" si="18"/>
        <v>0</v>
      </c>
      <c r="AJ25" s="32">
        <f t="shared" si="19"/>
        <v>0</v>
      </c>
      <c r="AK25" s="12"/>
      <c r="AL25" s="12">
        <f t="shared" si="20"/>
        <v>0</v>
      </c>
      <c r="AM25" s="32">
        <f t="shared" si="21"/>
        <v>0</v>
      </c>
      <c r="AN25" s="12">
        <v>2E-3</v>
      </c>
      <c r="AO25" s="12">
        <f t="shared" si="22"/>
        <v>3.6000000000000004E-2</v>
      </c>
      <c r="AP25" s="32">
        <f t="shared" si="23"/>
        <v>8.8014397217830945E-3</v>
      </c>
      <c r="AQ25" s="12"/>
      <c r="AR25" s="12">
        <f t="shared" si="24"/>
        <v>0</v>
      </c>
      <c r="AS25" s="32">
        <f t="shared" si="25"/>
        <v>0</v>
      </c>
      <c r="AT25" s="12">
        <v>5.0000000000000001E-4</v>
      </c>
      <c r="AU25" s="12">
        <f t="shared" si="26"/>
        <v>9.0000000000000011E-3</v>
      </c>
      <c r="AV25" s="32">
        <f t="shared" si="27"/>
        <v>6.6524199547018503E-3</v>
      </c>
      <c r="AW25" s="12"/>
      <c r="AX25" s="12">
        <f t="shared" si="28"/>
        <v>0</v>
      </c>
      <c r="AY25" s="32">
        <f t="shared" si="29"/>
        <v>0</v>
      </c>
      <c r="AZ25" s="12"/>
      <c r="BA25" s="12">
        <f t="shared" si="30"/>
        <v>0</v>
      </c>
      <c r="BB25" s="32">
        <f t="shared" si="31"/>
        <v>0</v>
      </c>
      <c r="BC25" s="12"/>
      <c r="BD25" s="12">
        <f t="shared" si="32"/>
        <v>0</v>
      </c>
      <c r="BE25" s="32">
        <f t="shared" si="33"/>
        <v>0</v>
      </c>
      <c r="BF25" s="12"/>
      <c r="BG25" s="12">
        <f t="shared" si="34"/>
        <v>0</v>
      </c>
      <c r="BH25" s="32">
        <f t="shared" si="35"/>
        <v>0</v>
      </c>
      <c r="BI25" s="12"/>
      <c r="BJ25" s="12">
        <f t="shared" si="36"/>
        <v>0</v>
      </c>
      <c r="BK25" s="32">
        <f t="shared" si="37"/>
        <v>0</v>
      </c>
      <c r="BL25" s="12">
        <v>2E-3</v>
      </c>
      <c r="BM25" s="12">
        <f t="shared" si="38"/>
        <v>3.6000000000000004E-2</v>
      </c>
      <c r="BN25" s="32">
        <f t="shared" si="39"/>
        <v>2.6455591363335876E-2</v>
      </c>
      <c r="BO25" s="12">
        <v>2.0000000000000001E-4</v>
      </c>
      <c r="BP25" s="12">
        <f t="shared" si="40"/>
        <v>3.6000000000000003E-3</v>
      </c>
      <c r="BQ25" s="32">
        <f t="shared" si="41"/>
        <v>1.5670271103937605E-3</v>
      </c>
      <c r="BR25" s="12">
        <v>1E-3</v>
      </c>
      <c r="BS25" s="12">
        <f t="shared" si="42"/>
        <v>1.8000000000000002E-2</v>
      </c>
      <c r="BT25" s="32">
        <f t="shared" si="43"/>
        <v>4.9695708423066693E-3</v>
      </c>
      <c r="BU25" s="12">
        <v>2.5000000000000001E-3</v>
      </c>
      <c r="BV25" s="12">
        <f t="shared" si="44"/>
        <v>4.4999999999999998E-2</v>
      </c>
      <c r="BW25" s="32">
        <f t="shared" si="45"/>
        <v>1.3423707135153449E-2</v>
      </c>
      <c r="BX25" s="12"/>
      <c r="BY25" s="12">
        <f t="shared" si="46"/>
        <v>0</v>
      </c>
      <c r="BZ25" s="32">
        <f t="shared" si="47"/>
        <v>0</v>
      </c>
      <c r="CA25" s="12"/>
      <c r="CB25" s="12">
        <f t="shared" si="48"/>
        <v>0</v>
      </c>
      <c r="CC25" s="32">
        <f t="shared" si="49"/>
        <v>0</v>
      </c>
      <c r="CD25" s="12"/>
      <c r="CE25" s="12">
        <f t="shared" si="50"/>
        <v>0</v>
      </c>
      <c r="CF25" s="32">
        <f t="shared" si="51"/>
        <v>0</v>
      </c>
      <c r="CG25" s="12"/>
      <c r="CH25" s="12">
        <f t="shared" si="52"/>
        <v>0</v>
      </c>
      <c r="CI25" s="32">
        <f t="shared" si="53"/>
        <v>0</v>
      </c>
      <c r="CJ25" s="12"/>
      <c r="CK25" s="12">
        <f t="shared" si="54"/>
        <v>0</v>
      </c>
      <c r="CL25" s="32">
        <f t="shared" si="55"/>
        <v>0</v>
      </c>
      <c r="CM25" s="12"/>
      <c r="CN25" s="12">
        <f t="shared" si="56"/>
        <v>0</v>
      </c>
      <c r="CO25" s="32">
        <f t="shared" si="57"/>
        <v>0</v>
      </c>
      <c r="CP25" s="12"/>
      <c r="CQ25" s="12">
        <f t="shared" si="58"/>
        <v>0</v>
      </c>
      <c r="CR25" s="32">
        <f t="shared" si="59"/>
        <v>0</v>
      </c>
      <c r="CS25" s="12"/>
      <c r="CT25" s="12">
        <f t="shared" si="60"/>
        <v>0</v>
      </c>
      <c r="CU25" s="32">
        <f t="shared" si="61"/>
        <v>0</v>
      </c>
      <c r="CV25" s="12">
        <v>0.01</v>
      </c>
      <c r="CW25" s="12">
        <f t="shared" si="62"/>
        <v>0.18</v>
      </c>
      <c r="CX25" s="32">
        <f t="shared" si="63"/>
        <v>1.0612458041113888</v>
      </c>
      <c r="CY25" s="12"/>
      <c r="CZ25" s="12">
        <f t="shared" si="64"/>
        <v>0</v>
      </c>
      <c r="DA25" s="32">
        <f t="shared" si="65"/>
        <v>0</v>
      </c>
      <c r="DB25" s="12"/>
      <c r="DC25" s="12">
        <f t="shared" si="66"/>
        <v>0</v>
      </c>
      <c r="DD25" s="32">
        <f t="shared" si="67"/>
        <v>0</v>
      </c>
      <c r="DE25" s="12">
        <f>0.01/50</f>
        <v>2.0000000000000001E-4</v>
      </c>
      <c r="DF25" s="12">
        <f t="shared" si="68"/>
        <v>3.6000000000000003E-3</v>
      </c>
      <c r="DG25" s="32">
        <f t="shared" si="69"/>
        <v>2.122491608222778E-2</v>
      </c>
      <c r="DH25" s="12">
        <v>0.02</v>
      </c>
      <c r="DI25" s="12">
        <f t="shared" si="1"/>
        <v>0.36</v>
      </c>
      <c r="DJ25" s="32">
        <f t="shared" si="70"/>
        <v>2.1224916082227776</v>
      </c>
      <c r="DK25" s="12">
        <v>0.01</v>
      </c>
      <c r="DL25" s="12">
        <f t="shared" si="71"/>
        <v>0.18</v>
      </c>
      <c r="DM25" s="32">
        <f t="shared" si="72"/>
        <v>1.0612458041113888</v>
      </c>
    </row>
    <row r="26" spans="1:117" s="6" customFormat="1" ht="22.25" customHeight="1" x14ac:dyDescent="0.35">
      <c r="A26" s="4">
        <v>17</v>
      </c>
      <c r="B26" s="4" t="s">
        <v>84</v>
      </c>
      <c r="C26" s="4" t="s">
        <v>85</v>
      </c>
      <c r="D26" s="7">
        <f t="shared" si="2"/>
        <v>5.333333333333333</v>
      </c>
      <c r="E26" s="7">
        <f>80/15</f>
        <v>5.333333333333333</v>
      </c>
      <c r="F26" s="7">
        <v>1</v>
      </c>
      <c r="G26" s="7">
        <v>1</v>
      </c>
      <c r="H26" s="7">
        <f t="shared" si="74"/>
        <v>0.79999999999999993</v>
      </c>
      <c r="I26" s="9">
        <f t="shared" si="75"/>
        <v>6.1333333333333329</v>
      </c>
      <c r="J26" s="13"/>
      <c r="K26" s="12">
        <f t="shared" si="73"/>
        <v>0</v>
      </c>
      <c r="L26" s="32">
        <f t="shared" si="3"/>
        <v>0</v>
      </c>
      <c r="M26" s="12"/>
      <c r="N26" s="12">
        <f t="shared" si="4"/>
        <v>0</v>
      </c>
      <c r="O26" s="32">
        <f t="shared" si="5"/>
        <v>0</v>
      </c>
      <c r="P26" s="12"/>
      <c r="Q26" s="12">
        <f t="shared" si="76"/>
        <v>0</v>
      </c>
      <c r="R26" s="32">
        <f t="shared" si="7"/>
        <v>0</v>
      </c>
      <c r="S26" s="12"/>
      <c r="T26" s="12">
        <f t="shared" si="8"/>
        <v>0</v>
      </c>
      <c r="U26" s="32">
        <f t="shared" si="9"/>
        <v>0</v>
      </c>
      <c r="V26" s="12"/>
      <c r="W26" s="12">
        <f t="shared" si="10"/>
        <v>0</v>
      </c>
      <c r="X26" s="32">
        <f t="shared" si="11"/>
        <v>0</v>
      </c>
      <c r="Y26" s="12"/>
      <c r="Z26" s="12">
        <f t="shared" si="12"/>
        <v>0</v>
      </c>
      <c r="AA26" s="32">
        <f t="shared" si="13"/>
        <v>0</v>
      </c>
      <c r="AB26" s="12"/>
      <c r="AC26" s="12">
        <f t="shared" si="14"/>
        <v>0</v>
      </c>
      <c r="AD26" s="32">
        <f t="shared" si="15"/>
        <v>0</v>
      </c>
      <c r="AE26" s="12">
        <v>0.02</v>
      </c>
      <c r="AF26" s="37">
        <f t="shared" si="16"/>
        <v>0.10666666666666666</v>
      </c>
      <c r="AG26" s="14">
        <f t="shared" si="17"/>
        <v>3.7072694054702628E-2</v>
      </c>
      <c r="AH26" s="12"/>
      <c r="AI26" s="12">
        <f t="shared" si="18"/>
        <v>0</v>
      </c>
      <c r="AJ26" s="32">
        <f t="shared" si="19"/>
        <v>0</v>
      </c>
      <c r="AK26" s="12"/>
      <c r="AL26" s="12">
        <f t="shared" si="20"/>
        <v>0</v>
      </c>
      <c r="AM26" s="32">
        <f t="shared" si="21"/>
        <v>0</v>
      </c>
      <c r="AN26" s="12"/>
      <c r="AO26" s="12">
        <f t="shared" si="22"/>
        <v>0</v>
      </c>
      <c r="AP26" s="32">
        <f t="shared" si="23"/>
        <v>0</v>
      </c>
      <c r="AQ26" s="12"/>
      <c r="AR26" s="12">
        <f t="shared" si="24"/>
        <v>0</v>
      </c>
      <c r="AS26" s="32">
        <f t="shared" si="25"/>
        <v>0</v>
      </c>
      <c r="AT26" s="12"/>
      <c r="AU26" s="12">
        <f t="shared" si="26"/>
        <v>0</v>
      </c>
      <c r="AV26" s="32">
        <f t="shared" si="27"/>
        <v>0</v>
      </c>
      <c r="AW26" s="12">
        <v>6.25E-2</v>
      </c>
      <c r="AX26" s="12">
        <f t="shared" si="28"/>
        <v>0.33333333333333331</v>
      </c>
      <c r="AY26" s="32">
        <f t="shared" si="29"/>
        <v>0.15226796857352171</v>
      </c>
      <c r="AZ26" s="12"/>
      <c r="BA26" s="12">
        <f t="shared" si="30"/>
        <v>0</v>
      </c>
      <c r="BB26" s="32">
        <f t="shared" si="31"/>
        <v>0</v>
      </c>
      <c r="BC26" s="12"/>
      <c r="BD26" s="12">
        <f t="shared" si="32"/>
        <v>0</v>
      </c>
      <c r="BE26" s="32">
        <f t="shared" si="33"/>
        <v>0</v>
      </c>
      <c r="BF26" s="12"/>
      <c r="BG26" s="12">
        <f t="shared" si="34"/>
        <v>0</v>
      </c>
      <c r="BH26" s="32">
        <f t="shared" si="35"/>
        <v>0</v>
      </c>
      <c r="BI26" s="12"/>
      <c r="BJ26" s="12">
        <f t="shared" si="36"/>
        <v>0</v>
      </c>
      <c r="BK26" s="32">
        <f t="shared" si="37"/>
        <v>0</v>
      </c>
      <c r="BL26" s="12"/>
      <c r="BM26" s="12">
        <f t="shared" si="38"/>
        <v>0</v>
      </c>
      <c r="BN26" s="32">
        <f t="shared" si="39"/>
        <v>0</v>
      </c>
      <c r="BO26" s="12"/>
      <c r="BP26" s="12">
        <f t="shared" si="40"/>
        <v>0</v>
      </c>
      <c r="BQ26" s="32">
        <f t="shared" si="41"/>
        <v>0</v>
      </c>
      <c r="BR26" s="12"/>
      <c r="BS26" s="12">
        <f t="shared" si="42"/>
        <v>0</v>
      </c>
      <c r="BT26" s="32">
        <f t="shared" si="43"/>
        <v>0</v>
      </c>
      <c r="BU26" s="12"/>
      <c r="BV26" s="12">
        <f t="shared" si="44"/>
        <v>0</v>
      </c>
      <c r="BW26" s="32">
        <f t="shared" si="45"/>
        <v>0</v>
      </c>
      <c r="BX26" s="12"/>
      <c r="BY26" s="12">
        <f t="shared" si="46"/>
        <v>0</v>
      </c>
      <c r="BZ26" s="32">
        <f t="shared" si="47"/>
        <v>0</v>
      </c>
      <c r="CA26" s="12">
        <v>0.02</v>
      </c>
      <c r="CB26" s="12">
        <f t="shared" si="48"/>
        <v>0.10666666666666666</v>
      </c>
      <c r="CC26" s="32">
        <f t="shared" si="49"/>
        <v>2.9737656832933463E-2</v>
      </c>
      <c r="CD26" s="12"/>
      <c r="CE26" s="12">
        <f t="shared" si="50"/>
        <v>0</v>
      </c>
      <c r="CF26" s="32">
        <f t="shared" si="51"/>
        <v>0</v>
      </c>
      <c r="CG26" s="12"/>
      <c r="CH26" s="12">
        <f t="shared" si="52"/>
        <v>0</v>
      </c>
      <c r="CI26" s="32">
        <f t="shared" si="53"/>
        <v>0</v>
      </c>
      <c r="CJ26" s="12"/>
      <c r="CK26" s="12">
        <f t="shared" si="54"/>
        <v>0</v>
      </c>
      <c r="CL26" s="32">
        <f t="shared" si="55"/>
        <v>0</v>
      </c>
      <c r="CM26" s="12"/>
      <c r="CN26" s="12">
        <f t="shared" si="56"/>
        <v>0</v>
      </c>
      <c r="CO26" s="32">
        <f t="shared" si="57"/>
        <v>0</v>
      </c>
      <c r="CP26" s="12"/>
      <c r="CQ26" s="12">
        <f t="shared" si="58"/>
        <v>0</v>
      </c>
      <c r="CR26" s="32">
        <f t="shared" si="59"/>
        <v>0</v>
      </c>
      <c r="CS26" s="12"/>
      <c r="CT26" s="12">
        <f t="shared" si="60"/>
        <v>0</v>
      </c>
      <c r="CU26" s="32">
        <f t="shared" si="61"/>
        <v>0</v>
      </c>
      <c r="CV26" s="12"/>
      <c r="CW26" s="12">
        <f t="shared" si="62"/>
        <v>0</v>
      </c>
      <c r="CX26" s="32">
        <f t="shared" si="63"/>
        <v>0</v>
      </c>
      <c r="CY26" s="12"/>
      <c r="CZ26" s="12">
        <f t="shared" si="64"/>
        <v>0</v>
      </c>
      <c r="DA26" s="32">
        <f t="shared" si="65"/>
        <v>0</v>
      </c>
      <c r="DB26" s="12"/>
      <c r="DC26" s="12">
        <f t="shared" si="66"/>
        <v>0</v>
      </c>
      <c r="DD26" s="32">
        <f t="shared" si="67"/>
        <v>0</v>
      </c>
      <c r="DE26" s="12"/>
      <c r="DF26" s="12">
        <f t="shared" si="68"/>
        <v>0</v>
      </c>
      <c r="DG26" s="32">
        <f t="shared" si="69"/>
        <v>0</v>
      </c>
      <c r="DH26" s="12"/>
      <c r="DI26" s="12">
        <f t="shared" si="1"/>
        <v>0</v>
      </c>
      <c r="DJ26" s="32">
        <f t="shared" si="70"/>
        <v>0</v>
      </c>
      <c r="DK26" s="12"/>
      <c r="DL26" s="12">
        <f t="shared" si="71"/>
        <v>0</v>
      </c>
      <c r="DM26" s="32">
        <f t="shared" si="72"/>
        <v>0</v>
      </c>
    </row>
    <row r="27" spans="1:117" s="6" customFormat="1" ht="22.25" customHeight="1" x14ac:dyDescent="0.35">
      <c r="A27" s="4">
        <v>19</v>
      </c>
      <c r="B27" s="4" t="s">
        <v>86</v>
      </c>
      <c r="C27" s="4" t="s">
        <v>87</v>
      </c>
      <c r="D27" s="7">
        <f t="shared" si="2"/>
        <v>0.12</v>
      </c>
      <c r="E27" s="7">
        <f>0.12</f>
        <v>0.12</v>
      </c>
      <c r="F27" s="7">
        <v>1</v>
      </c>
      <c r="G27" s="7">
        <v>1</v>
      </c>
      <c r="H27" s="7">
        <f t="shared" si="74"/>
        <v>1.7999999999999999E-2</v>
      </c>
      <c r="I27" s="9">
        <f t="shared" si="75"/>
        <v>0.13799999999999998</v>
      </c>
      <c r="J27" s="13">
        <v>2</v>
      </c>
      <c r="K27" s="12">
        <f t="shared" si="73"/>
        <v>0.24</v>
      </c>
      <c r="L27" s="32">
        <f t="shared" si="3"/>
        <v>2.4761579158717805E-2</v>
      </c>
      <c r="M27" s="12">
        <v>2</v>
      </c>
      <c r="N27" s="12">
        <f t="shared" si="4"/>
        <v>0.24</v>
      </c>
      <c r="O27" s="32">
        <f t="shared" si="5"/>
        <v>3.2135913490120877E-2</v>
      </c>
      <c r="P27" s="12">
        <v>2</v>
      </c>
      <c r="Q27" s="12">
        <f t="shared" si="76"/>
        <v>0.24</v>
      </c>
      <c r="R27" s="32">
        <f t="shared" si="7"/>
        <v>5.7518542562100768E-2</v>
      </c>
      <c r="S27" s="12">
        <v>2</v>
      </c>
      <c r="T27" s="12">
        <f t="shared" si="8"/>
        <v>0.24</v>
      </c>
      <c r="U27" s="32">
        <f t="shared" si="9"/>
        <v>4.7676601851380979E-2</v>
      </c>
      <c r="V27" s="12">
        <v>2</v>
      </c>
      <c r="W27" s="12">
        <f t="shared" si="10"/>
        <v>0.24</v>
      </c>
      <c r="X27" s="32">
        <f t="shared" si="11"/>
        <v>3.6178435390479144E-2</v>
      </c>
      <c r="Y27" s="12">
        <v>2</v>
      </c>
      <c r="Z27" s="12">
        <f t="shared" si="12"/>
        <v>0.24</v>
      </c>
      <c r="AA27" s="32">
        <f t="shared" si="13"/>
        <v>5.5867981325870099E-2</v>
      </c>
      <c r="AB27" s="12">
        <v>2</v>
      </c>
      <c r="AC27" s="12">
        <f t="shared" si="14"/>
        <v>0.24</v>
      </c>
      <c r="AD27" s="32">
        <f>AC27/$AB$2</f>
        <v>6.5059700012292415E-2</v>
      </c>
      <c r="AE27" s="12">
        <v>2</v>
      </c>
      <c r="AF27" s="37">
        <f t="shared" si="16"/>
        <v>0.24</v>
      </c>
      <c r="AG27" s="14">
        <f t="shared" si="17"/>
        <v>8.3413561623080917E-2</v>
      </c>
      <c r="AH27" s="12"/>
      <c r="AI27" s="12">
        <f t="shared" si="18"/>
        <v>0</v>
      </c>
      <c r="AJ27" s="32">
        <f t="shared" si="19"/>
        <v>0</v>
      </c>
      <c r="AK27" s="12">
        <v>0.1</v>
      </c>
      <c r="AL27" s="12">
        <f t="shared" si="20"/>
        <v>1.2E-2</v>
      </c>
      <c r="AM27" s="32">
        <f t="shared" si="21"/>
        <v>4.8943256198459278E-3</v>
      </c>
      <c r="AN27" s="12">
        <v>2</v>
      </c>
      <c r="AO27" s="12">
        <f t="shared" si="22"/>
        <v>0.24</v>
      </c>
      <c r="AP27" s="32">
        <f t="shared" si="23"/>
        <v>5.8676264811887285E-2</v>
      </c>
      <c r="AQ27" s="12"/>
      <c r="AR27" s="12">
        <f t="shared" si="24"/>
        <v>0</v>
      </c>
      <c r="AS27" s="32">
        <f t="shared" si="25"/>
        <v>0</v>
      </c>
      <c r="AT27" s="12"/>
      <c r="AU27" s="12">
        <f t="shared" si="26"/>
        <v>0</v>
      </c>
      <c r="AV27" s="32">
        <f t="shared" si="27"/>
        <v>0</v>
      </c>
      <c r="AW27" s="12"/>
      <c r="AX27" s="12">
        <f t="shared" si="28"/>
        <v>0</v>
      </c>
      <c r="AY27" s="32">
        <f t="shared" si="29"/>
        <v>0</v>
      </c>
      <c r="AZ27" s="12"/>
      <c r="BA27" s="12">
        <f t="shared" si="30"/>
        <v>0</v>
      </c>
      <c r="BB27" s="32">
        <f t="shared" si="31"/>
        <v>0</v>
      </c>
      <c r="BC27" s="12"/>
      <c r="BD27" s="12">
        <f t="shared" si="32"/>
        <v>0</v>
      </c>
      <c r="BE27" s="32">
        <f t="shared" si="33"/>
        <v>0</v>
      </c>
      <c r="BF27" s="12"/>
      <c r="BG27" s="12">
        <f t="shared" si="34"/>
        <v>0</v>
      </c>
      <c r="BH27" s="32">
        <f t="shared" si="35"/>
        <v>0</v>
      </c>
      <c r="BI27" s="12"/>
      <c r="BJ27" s="12">
        <f t="shared" si="36"/>
        <v>0</v>
      </c>
      <c r="BK27" s="32">
        <f t="shared" si="37"/>
        <v>0</v>
      </c>
      <c r="BL27" s="12"/>
      <c r="BM27" s="12">
        <f t="shared" si="38"/>
        <v>0</v>
      </c>
      <c r="BN27" s="32">
        <f t="shared" si="39"/>
        <v>0</v>
      </c>
      <c r="BO27" s="12"/>
      <c r="BP27" s="12">
        <f t="shared" si="40"/>
        <v>0</v>
      </c>
      <c r="BQ27" s="32">
        <f t="shared" si="41"/>
        <v>0</v>
      </c>
      <c r="BR27" s="12"/>
      <c r="BS27" s="12">
        <f t="shared" si="42"/>
        <v>0</v>
      </c>
      <c r="BT27" s="32">
        <f t="shared" si="43"/>
        <v>0</v>
      </c>
      <c r="BU27" s="12"/>
      <c r="BV27" s="12">
        <f t="shared" si="44"/>
        <v>0</v>
      </c>
      <c r="BW27" s="32">
        <f t="shared" si="45"/>
        <v>0</v>
      </c>
      <c r="BX27" s="12"/>
      <c r="BY27" s="12">
        <f t="shared" si="46"/>
        <v>0</v>
      </c>
      <c r="BZ27" s="32">
        <f t="shared" si="47"/>
        <v>0</v>
      </c>
      <c r="CA27" s="12">
        <v>2</v>
      </c>
      <c r="CB27" s="12">
        <f t="shared" si="48"/>
        <v>0.24</v>
      </c>
      <c r="CC27" s="32">
        <f t="shared" si="49"/>
        <v>6.6909727874100294E-2</v>
      </c>
      <c r="CD27" s="12"/>
      <c r="CE27" s="12">
        <f t="shared" si="50"/>
        <v>0</v>
      </c>
      <c r="CF27" s="32">
        <f t="shared" si="51"/>
        <v>0</v>
      </c>
      <c r="CG27" s="12"/>
      <c r="CH27" s="12">
        <f t="shared" si="52"/>
        <v>0</v>
      </c>
      <c r="CI27" s="32">
        <f t="shared" si="53"/>
        <v>0</v>
      </c>
      <c r="CJ27" s="12"/>
      <c r="CK27" s="12">
        <f t="shared" si="54"/>
        <v>0</v>
      </c>
      <c r="CL27" s="32">
        <f t="shared" si="55"/>
        <v>0</v>
      </c>
      <c r="CM27" s="12"/>
      <c r="CN27" s="12">
        <f t="shared" si="56"/>
        <v>0</v>
      </c>
      <c r="CO27" s="32">
        <f t="shared" si="57"/>
        <v>0</v>
      </c>
      <c r="CP27" s="12"/>
      <c r="CQ27" s="12">
        <f t="shared" si="58"/>
        <v>0</v>
      </c>
      <c r="CR27" s="32">
        <f t="shared" si="59"/>
        <v>0</v>
      </c>
      <c r="CS27" s="12"/>
      <c r="CT27" s="12">
        <f t="shared" si="60"/>
        <v>0</v>
      </c>
      <c r="CU27" s="32">
        <f t="shared" si="61"/>
        <v>0</v>
      </c>
      <c r="CV27" s="12"/>
      <c r="CW27" s="12">
        <f t="shared" si="62"/>
        <v>0</v>
      </c>
      <c r="CX27" s="32">
        <f t="shared" si="63"/>
        <v>0</v>
      </c>
      <c r="CY27" s="12"/>
      <c r="CZ27" s="12">
        <f t="shared" si="64"/>
        <v>0</v>
      </c>
      <c r="DA27" s="32">
        <f t="shared" si="65"/>
        <v>0</v>
      </c>
      <c r="DB27" s="12"/>
      <c r="DC27" s="12">
        <f t="shared" si="66"/>
        <v>0</v>
      </c>
      <c r="DD27" s="32">
        <f t="shared" si="67"/>
        <v>0</v>
      </c>
      <c r="DE27" s="12"/>
      <c r="DF27" s="12">
        <f t="shared" si="68"/>
        <v>0</v>
      </c>
      <c r="DG27" s="32">
        <f t="shared" si="69"/>
        <v>0</v>
      </c>
      <c r="DH27" s="12"/>
      <c r="DI27" s="12">
        <f t="shared" si="1"/>
        <v>0</v>
      </c>
      <c r="DJ27" s="32">
        <f t="shared" si="70"/>
        <v>0</v>
      </c>
      <c r="DK27" s="12"/>
      <c r="DL27" s="12">
        <f t="shared" si="71"/>
        <v>0</v>
      </c>
      <c r="DM27" s="32">
        <f t="shared" si="72"/>
        <v>0</v>
      </c>
    </row>
    <row r="28" spans="1:117" s="6" customFormat="1" ht="22.25" customHeight="1" x14ac:dyDescent="0.35">
      <c r="A28" s="4">
        <v>20</v>
      </c>
      <c r="B28" s="4" t="s">
        <v>88</v>
      </c>
      <c r="C28" s="4" t="s">
        <v>89</v>
      </c>
      <c r="D28" s="7">
        <f t="shared" si="2"/>
        <v>12.5</v>
      </c>
      <c r="E28" s="7">
        <f>60/(12*400)*1000</f>
        <v>12.5</v>
      </c>
      <c r="F28" s="7">
        <v>1</v>
      </c>
      <c r="G28" s="7">
        <v>1</v>
      </c>
      <c r="H28" s="7">
        <f t="shared" si="74"/>
        <v>1.875</v>
      </c>
      <c r="I28" s="9">
        <f t="shared" si="75"/>
        <v>14.375</v>
      </c>
      <c r="J28" s="13"/>
      <c r="K28" s="12">
        <f t="shared" si="73"/>
        <v>0</v>
      </c>
      <c r="L28" s="32">
        <f t="shared" si="3"/>
        <v>0</v>
      </c>
      <c r="M28" s="12"/>
      <c r="N28" s="12">
        <f t="shared" si="4"/>
        <v>0</v>
      </c>
      <c r="O28" s="32">
        <f t="shared" si="5"/>
        <v>0</v>
      </c>
      <c r="P28" s="12"/>
      <c r="Q28" s="12">
        <f t="shared" si="76"/>
        <v>0</v>
      </c>
      <c r="R28" s="32">
        <f t="shared" si="7"/>
        <v>0</v>
      </c>
      <c r="S28" s="12"/>
      <c r="T28" s="12">
        <f t="shared" si="8"/>
        <v>0</v>
      </c>
      <c r="U28" s="32">
        <f t="shared" si="9"/>
        <v>0</v>
      </c>
      <c r="V28" s="12"/>
      <c r="W28" s="12">
        <f t="shared" si="10"/>
        <v>0</v>
      </c>
      <c r="X28" s="32">
        <f t="shared" si="11"/>
        <v>0</v>
      </c>
      <c r="Y28" s="12"/>
      <c r="Z28" s="12">
        <f t="shared" si="12"/>
        <v>0</v>
      </c>
      <c r="AA28" s="32">
        <f t="shared" si="13"/>
        <v>0</v>
      </c>
      <c r="AB28" s="12"/>
      <c r="AC28" s="12">
        <f t="shared" si="14"/>
        <v>0</v>
      </c>
      <c r="AD28" s="32">
        <f t="shared" si="15"/>
        <v>0</v>
      </c>
      <c r="AE28" s="12"/>
      <c r="AF28" s="37">
        <f t="shared" si="16"/>
        <v>0</v>
      </c>
      <c r="AG28" s="14">
        <f t="shared" si="17"/>
        <v>0</v>
      </c>
      <c r="AH28" s="12"/>
      <c r="AI28" s="12">
        <f t="shared" si="18"/>
        <v>0</v>
      </c>
      <c r="AJ28" s="32">
        <f t="shared" si="19"/>
        <v>0</v>
      </c>
      <c r="AK28" s="12"/>
      <c r="AL28" s="12">
        <f t="shared" si="20"/>
        <v>0</v>
      </c>
      <c r="AM28" s="32">
        <f t="shared" si="21"/>
        <v>0</v>
      </c>
      <c r="AN28" s="12"/>
      <c r="AO28" s="12">
        <f t="shared" si="22"/>
        <v>0</v>
      </c>
      <c r="AP28" s="32">
        <f t="shared" si="23"/>
        <v>0</v>
      </c>
      <c r="AQ28" s="12"/>
      <c r="AR28" s="12">
        <f t="shared" si="24"/>
        <v>0</v>
      </c>
      <c r="AS28" s="32">
        <f t="shared" si="25"/>
        <v>0</v>
      </c>
      <c r="AT28" s="12"/>
      <c r="AU28" s="12">
        <f t="shared" si="26"/>
        <v>0</v>
      </c>
      <c r="AV28" s="32">
        <f t="shared" si="27"/>
        <v>0</v>
      </c>
      <c r="AW28" s="12"/>
      <c r="AX28" s="12">
        <f t="shared" si="28"/>
        <v>0</v>
      </c>
      <c r="AY28" s="32">
        <f t="shared" si="29"/>
        <v>0</v>
      </c>
      <c r="AZ28" s="12"/>
      <c r="BA28" s="12">
        <f t="shared" si="30"/>
        <v>0</v>
      </c>
      <c r="BB28" s="32">
        <f t="shared" si="31"/>
        <v>0</v>
      </c>
      <c r="BC28" s="12"/>
      <c r="BD28" s="12">
        <f t="shared" si="32"/>
        <v>0</v>
      </c>
      <c r="BE28" s="32">
        <f t="shared" si="33"/>
        <v>0</v>
      </c>
      <c r="BF28" s="12"/>
      <c r="BG28" s="12">
        <f t="shared" si="34"/>
        <v>0</v>
      </c>
      <c r="BH28" s="32">
        <f t="shared" si="35"/>
        <v>0</v>
      </c>
      <c r="BI28" s="12"/>
      <c r="BJ28" s="12">
        <f t="shared" si="36"/>
        <v>0</v>
      </c>
      <c r="BK28" s="32">
        <f t="shared" si="37"/>
        <v>0</v>
      </c>
      <c r="BL28" s="12"/>
      <c r="BM28" s="12">
        <f t="shared" si="38"/>
        <v>0</v>
      </c>
      <c r="BN28" s="32">
        <f t="shared" si="39"/>
        <v>0</v>
      </c>
      <c r="BO28" s="12"/>
      <c r="BP28" s="12">
        <f t="shared" si="40"/>
        <v>0</v>
      </c>
      <c r="BQ28" s="32">
        <f t="shared" si="41"/>
        <v>0</v>
      </c>
      <c r="BR28" s="12"/>
      <c r="BS28" s="12">
        <f t="shared" si="42"/>
        <v>0</v>
      </c>
      <c r="BT28" s="32">
        <f t="shared" si="43"/>
        <v>0</v>
      </c>
      <c r="BU28" s="12"/>
      <c r="BV28" s="12">
        <f t="shared" si="44"/>
        <v>0</v>
      </c>
      <c r="BW28" s="32">
        <f t="shared" si="45"/>
        <v>0</v>
      </c>
      <c r="BX28" s="12"/>
      <c r="BY28" s="12">
        <f t="shared" si="46"/>
        <v>0</v>
      </c>
      <c r="BZ28" s="32">
        <f t="shared" si="47"/>
        <v>0</v>
      </c>
      <c r="CA28" s="12"/>
      <c r="CB28" s="12">
        <f t="shared" si="48"/>
        <v>0</v>
      </c>
      <c r="CC28" s="32">
        <f t="shared" si="49"/>
        <v>0</v>
      </c>
      <c r="CD28" s="12"/>
      <c r="CE28" s="12">
        <f t="shared" si="50"/>
        <v>0</v>
      </c>
      <c r="CF28" s="32">
        <f t="shared" si="51"/>
        <v>0</v>
      </c>
      <c r="CG28" s="12"/>
      <c r="CH28" s="12">
        <f t="shared" si="52"/>
        <v>0</v>
      </c>
      <c r="CI28" s="32">
        <f t="shared" si="53"/>
        <v>0</v>
      </c>
      <c r="CJ28" s="12"/>
      <c r="CK28" s="12">
        <f t="shared" si="54"/>
        <v>0</v>
      </c>
      <c r="CL28" s="32">
        <f t="shared" si="55"/>
        <v>0</v>
      </c>
      <c r="CM28" s="12"/>
      <c r="CN28" s="12">
        <f t="shared" si="56"/>
        <v>0</v>
      </c>
      <c r="CO28" s="32">
        <f t="shared" si="57"/>
        <v>0</v>
      </c>
      <c r="CP28" s="12"/>
      <c r="CQ28" s="12">
        <f t="shared" si="58"/>
        <v>0</v>
      </c>
      <c r="CR28" s="32">
        <f t="shared" si="59"/>
        <v>0</v>
      </c>
      <c r="CS28" s="12"/>
      <c r="CT28" s="12">
        <f t="shared" si="60"/>
        <v>0</v>
      </c>
      <c r="CU28" s="32">
        <f t="shared" si="61"/>
        <v>0</v>
      </c>
      <c r="CV28" s="12"/>
      <c r="CW28" s="12">
        <f t="shared" si="62"/>
        <v>0</v>
      </c>
      <c r="CX28" s="32">
        <f t="shared" si="63"/>
        <v>0</v>
      </c>
      <c r="CY28" s="12"/>
      <c r="CZ28" s="12">
        <f t="shared" si="64"/>
        <v>0</v>
      </c>
      <c r="DA28" s="32">
        <f t="shared" si="65"/>
        <v>0</v>
      </c>
      <c r="DB28" s="12"/>
      <c r="DC28" s="12">
        <f t="shared" si="66"/>
        <v>0</v>
      </c>
      <c r="DD28" s="32">
        <f t="shared" si="67"/>
        <v>0</v>
      </c>
      <c r="DE28" s="12"/>
      <c r="DF28" s="12">
        <f t="shared" si="68"/>
        <v>0</v>
      </c>
      <c r="DG28" s="32">
        <f t="shared" si="69"/>
        <v>0</v>
      </c>
      <c r="DH28" s="12"/>
      <c r="DI28" s="12">
        <f t="shared" si="1"/>
        <v>0</v>
      </c>
      <c r="DJ28" s="32">
        <f t="shared" si="70"/>
        <v>0</v>
      </c>
      <c r="DK28" s="12"/>
      <c r="DL28" s="12">
        <f t="shared" si="71"/>
        <v>0</v>
      </c>
      <c r="DM28" s="32">
        <f t="shared" si="72"/>
        <v>0</v>
      </c>
    </row>
    <row r="29" spans="1:117" s="6" customFormat="1" ht="22.25" customHeight="1" x14ac:dyDescent="0.35">
      <c r="A29" s="4">
        <v>21</v>
      </c>
      <c r="B29" s="4" t="s">
        <v>90</v>
      </c>
      <c r="C29" s="4" t="s">
        <v>91</v>
      </c>
      <c r="D29" s="7">
        <f t="shared" si="2"/>
        <v>0.12631578947368421</v>
      </c>
      <c r="E29" s="7">
        <v>0.12</v>
      </c>
      <c r="F29" s="7">
        <v>1</v>
      </c>
      <c r="G29" s="7">
        <v>0.95</v>
      </c>
      <c r="H29" s="7">
        <f t="shared" si="74"/>
        <v>1.8947368421052633E-2</v>
      </c>
      <c r="I29" s="9">
        <f t="shared" si="75"/>
        <v>0.14526315789473684</v>
      </c>
      <c r="J29" s="13"/>
      <c r="K29" s="12">
        <f t="shared" si="73"/>
        <v>0</v>
      </c>
      <c r="L29" s="32">
        <f t="shared" si="3"/>
        <v>0</v>
      </c>
      <c r="M29" s="12"/>
      <c r="N29" s="12">
        <f t="shared" si="4"/>
        <v>0</v>
      </c>
      <c r="O29" s="32">
        <f t="shared" si="5"/>
        <v>0</v>
      </c>
      <c r="P29" s="12"/>
      <c r="Q29" s="12">
        <f t="shared" si="76"/>
        <v>0</v>
      </c>
      <c r="R29" s="32">
        <f t="shared" si="7"/>
        <v>0</v>
      </c>
      <c r="S29" s="12"/>
      <c r="T29" s="12">
        <f t="shared" si="8"/>
        <v>0</v>
      </c>
      <c r="U29" s="32">
        <f t="shared" si="9"/>
        <v>0</v>
      </c>
      <c r="V29" s="12"/>
      <c r="W29" s="12">
        <f t="shared" si="10"/>
        <v>0</v>
      </c>
      <c r="X29" s="32">
        <f t="shared" si="11"/>
        <v>0</v>
      </c>
      <c r="Y29" s="12"/>
      <c r="Z29" s="12">
        <f t="shared" si="12"/>
        <v>0</v>
      </c>
      <c r="AA29" s="32">
        <f t="shared" si="13"/>
        <v>0</v>
      </c>
      <c r="AB29" s="12"/>
      <c r="AC29" s="12">
        <f t="shared" si="14"/>
        <v>0</v>
      </c>
      <c r="AD29" s="32">
        <f t="shared" si="15"/>
        <v>0</v>
      </c>
      <c r="AE29" s="12"/>
      <c r="AF29" s="37">
        <f t="shared" si="16"/>
        <v>0</v>
      </c>
      <c r="AG29" s="14">
        <f t="shared" si="17"/>
        <v>0</v>
      </c>
      <c r="AH29" s="12"/>
      <c r="AI29" s="12">
        <f t="shared" si="18"/>
        <v>0</v>
      </c>
      <c r="AJ29" s="32">
        <f t="shared" si="19"/>
        <v>0</v>
      </c>
      <c r="AK29" s="12"/>
      <c r="AL29" s="12">
        <f t="shared" si="20"/>
        <v>0</v>
      </c>
      <c r="AM29" s="32">
        <f t="shared" si="21"/>
        <v>0</v>
      </c>
      <c r="AN29" s="12"/>
      <c r="AO29" s="12">
        <f t="shared" si="22"/>
        <v>0</v>
      </c>
      <c r="AP29" s="32">
        <f t="shared" si="23"/>
        <v>0</v>
      </c>
      <c r="AQ29" s="12"/>
      <c r="AR29" s="12">
        <f t="shared" si="24"/>
        <v>0</v>
      </c>
      <c r="AS29" s="32">
        <f t="shared" si="25"/>
        <v>0</v>
      </c>
      <c r="AT29" s="12"/>
      <c r="AU29" s="12">
        <f t="shared" si="26"/>
        <v>0</v>
      </c>
      <c r="AV29" s="32">
        <f t="shared" si="27"/>
        <v>0</v>
      </c>
      <c r="AW29" s="12"/>
      <c r="AX29" s="12">
        <f t="shared" si="28"/>
        <v>0</v>
      </c>
      <c r="AY29" s="32">
        <f t="shared" si="29"/>
        <v>0</v>
      </c>
      <c r="AZ29" s="12"/>
      <c r="BA29" s="12">
        <f t="shared" si="30"/>
        <v>0</v>
      </c>
      <c r="BB29" s="32">
        <f t="shared" si="31"/>
        <v>0</v>
      </c>
      <c r="BC29" s="12"/>
      <c r="BD29" s="12">
        <f t="shared" si="32"/>
        <v>0</v>
      </c>
      <c r="BE29" s="32">
        <f t="shared" si="33"/>
        <v>0</v>
      </c>
      <c r="BF29" s="12"/>
      <c r="BG29" s="12">
        <f t="shared" si="34"/>
        <v>0</v>
      </c>
      <c r="BH29" s="32">
        <f t="shared" si="35"/>
        <v>0</v>
      </c>
      <c r="BI29" s="12"/>
      <c r="BJ29" s="12">
        <f t="shared" si="36"/>
        <v>0</v>
      </c>
      <c r="BK29" s="32">
        <f t="shared" si="37"/>
        <v>0</v>
      </c>
      <c r="BL29" s="12"/>
      <c r="BM29" s="12">
        <f t="shared" si="38"/>
        <v>0</v>
      </c>
      <c r="BN29" s="32">
        <f t="shared" si="39"/>
        <v>0</v>
      </c>
      <c r="BO29" s="12"/>
      <c r="BP29" s="12">
        <f t="shared" si="40"/>
        <v>0</v>
      </c>
      <c r="BQ29" s="32">
        <f t="shared" si="41"/>
        <v>0</v>
      </c>
      <c r="BR29" s="12"/>
      <c r="BS29" s="12">
        <f t="shared" si="42"/>
        <v>0</v>
      </c>
      <c r="BT29" s="32">
        <f t="shared" si="43"/>
        <v>0</v>
      </c>
      <c r="BU29" s="12"/>
      <c r="BV29" s="12">
        <f t="shared" si="44"/>
        <v>0</v>
      </c>
      <c r="BW29" s="32">
        <f t="shared" si="45"/>
        <v>0</v>
      </c>
      <c r="BX29" s="12"/>
      <c r="BY29" s="12">
        <f t="shared" si="46"/>
        <v>0</v>
      </c>
      <c r="BZ29" s="32">
        <f t="shared" si="47"/>
        <v>0</v>
      </c>
      <c r="CA29" s="12"/>
      <c r="CB29" s="12">
        <f t="shared" si="48"/>
        <v>0</v>
      </c>
      <c r="CC29" s="32">
        <f t="shared" si="49"/>
        <v>0</v>
      </c>
      <c r="CD29" s="12"/>
      <c r="CE29" s="12">
        <f t="shared" si="50"/>
        <v>0</v>
      </c>
      <c r="CF29" s="32">
        <f t="shared" si="51"/>
        <v>0</v>
      </c>
      <c r="CG29" s="12"/>
      <c r="CH29" s="12">
        <f t="shared" si="52"/>
        <v>0</v>
      </c>
      <c r="CI29" s="32">
        <f t="shared" si="53"/>
        <v>0</v>
      </c>
      <c r="CJ29" s="12"/>
      <c r="CK29" s="12">
        <f t="shared" si="54"/>
        <v>0</v>
      </c>
      <c r="CL29" s="32">
        <f t="shared" si="55"/>
        <v>0</v>
      </c>
      <c r="CM29" s="12"/>
      <c r="CN29" s="12">
        <f t="shared" si="56"/>
        <v>0</v>
      </c>
      <c r="CO29" s="32">
        <f t="shared" si="57"/>
        <v>0</v>
      </c>
      <c r="CP29" s="12"/>
      <c r="CQ29" s="12">
        <f t="shared" si="58"/>
        <v>0</v>
      </c>
      <c r="CR29" s="32">
        <f t="shared" si="59"/>
        <v>0</v>
      </c>
      <c r="CS29" s="12"/>
      <c r="CT29" s="12">
        <f t="shared" si="60"/>
        <v>0</v>
      </c>
      <c r="CU29" s="32">
        <f t="shared" si="61"/>
        <v>0</v>
      </c>
      <c r="CV29" s="12"/>
      <c r="CW29" s="12">
        <f t="shared" si="62"/>
        <v>0</v>
      </c>
      <c r="CX29" s="32">
        <f t="shared" si="63"/>
        <v>0</v>
      </c>
      <c r="CY29" s="12"/>
      <c r="CZ29" s="12">
        <f t="shared" si="64"/>
        <v>0</v>
      </c>
      <c r="DA29" s="32">
        <f t="shared" si="65"/>
        <v>0</v>
      </c>
      <c r="DB29" s="12"/>
      <c r="DC29" s="12">
        <f t="shared" si="66"/>
        <v>0</v>
      </c>
      <c r="DD29" s="32">
        <f t="shared" si="67"/>
        <v>0</v>
      </c>
      <c r="DE29" s="12"/>
      <c r="DF29" s="12">
        <f t="shared" si="68"/>
        <v>0</v>
      </c>
      <c r="DG29" s="32">
        <f t="shared" si="69"/>
        <v>0</v>
      </c>
      <c r="DH29" s="12"/>
      <c r="DI29" s="12">
        <f t="shared" si="1"/>
        <v>0</v>
      </c>
      <c r="DJ29" s="32">
        <f t="shared" si="70"/>
        <v>0</v>
      </c>
      <c r="DK29" s="12"/>
      <c r="DL29" s="12">
        <f t="shared" si="71"/>
        <v>0</v>
      </c>
      <c r="DM29" s="32">
        <f t="shared" si="72"/>
        <v>0</v>
      </c>
    </row>
    <row r="30" spans="1:117" s="6" customFormat="1" ht="22.25" customHeight="1" x14ac:dyDescent="0.35">
      <c r="A30" s="4">
        <v>22</v>
      </c>
      <c r="B30" s="4" t="s">
        <v>92</v>
      </c>
      <c r="C30" s="4" t="s">
        <v>93</v>
      </c>
      <c r="D30" s="7">
        <f t="shared" si="2"/>
        <v>3.6666666666666665</v>
      </c>
      <c r="E30" s="7">
        <f>55/15</f>
        <v>3.6666666666666665</v>
      </c>
      <c r="F30" s="7">
        <v>1</v>
      </c>
      <c r="G30" s="7">
        <v>1</v>
      </c>
      <c r="H30" s="7">
        <f t="shared" si="74"/>
        <v>0.54999999999999993</v>
      </c>
      <c r="I30" s="9">
        <f t="shared" si="75"/>
        <v>4.2166666666666668</v>
      </c>
      <c r="J30" s="13"/>
      <c r="K30" s="12">
        <f t="shared" si="73"/>
        <v>0</v>
      </c>
      <c r="L30" s="32">
        <f t="shared" si="3"/>
        <v>0</v>
      </c>
      <c r="M30" s="12"/>
      <c r="N30" s="12">
        <f t="shared" si="4"/>
        <v>0</v>
      </c>
      <c r="O30" s="32">
        <f t="shared" si="5"/>
        <v>0</v>
      </c>
      <c r="P30" s="12"/>
      <c r="Q30" s="12">
        <f t="shared" si="76"/>
        <v>0</v>
      </c>
      <c r="R30" s="32">
        <f t="shared" si="7"/>
        <v>0</v>
      </c>
      <c r="S30" s="12"/>
      <c r="T30" s="12">
        <f t="shared" si="8"/>
        <v>0</v>
      </c>
      <c r="U30" s="32">
        <f t="shared" si="9"/>
        <v>0</v>
      </c>
      <c r="V30" s="12"/>
      <c r="W30" s="12">
        <f t="shared" si="10"/>
        <v>0</v>
      </c>
      <c r="X30" s="32">
        <f t="shared" si="11"/>
        <v>0</v>
      </c>
      <c r="Y30" s="12"/>
      <c r="Z30" s="12">
        <f t="shared" si="12"/>
        <v>0</v>
      </c>
      <c r="AA30" s="32">
        <f t="shared" si="13"/>
        <v>0</v>
      </c>
      <c r="AB30" s="12"/>
      <c r="AC30" s="12">
        <f t="shared" si="14"/>
        <v>0</v>
      </c>
      <c r="AD30" s="32">
        <f t="shared" si="15"/>
        <v>0</v>
      </c>
      <c r="AE30" s="12"/>
      <c r="AF30" s="37">
        <f t="shared" si="16"/>
        <v>0</v>
      </c>
      <c r="AG30" s="14">
        <f t="shared" si="17"/>
        <v>0</v>
      </c>
      <c r="AH30" s="12">
        <v>0.01</v>
      </c>
      <c r="AI30" s="12">
        <f t="shared" si="18"/>
        <v>3.6666666666666667E-2</v>
      </c>
      <c r="AJ30" s="32">
        <f t="shared" si="19"/>
        <v>3.223489697506976E-2</v>
      </c>
      <c r="AK30" s="12"/>
      <c r="AL30" s="12">
        <f t="shared" si="20"/>
        <v>0</v>
      </c>
      <c r="AM30" s="32">
        <f t="shared" si="21"/>
        <v>0</v>
      </c>
      <c r="AN30" s="12"/>
      <c r="AO30" s="12">
        <f t="shared" si="22"/>
        <v>0</v>
      </c>
      <c r="AP30" s="32">
        <f t="shared" si="23"/>
        <v>0</v>
      </c>
      <c r="AQ30" s="12"/>
      <c r="AR30" s="12">
        <f t="shared" si="24"/>
        <v>0</v>
      </c>
      <c r="AS30" s="32">
        <f t="shared" si="25"/>
        <v>0</v>
      </c>
      <c r="AT30" s="12"/>
      <c r="AU30" s="12">
        <f t="shared" si="26"/>
        <v>0</v>
      </c>
      <c r="AV30" s="32">
        <f t="shared" si="27"/>
        <v>0</v>
      </c>
      <c r="AW30" s="12"/>
      <c r="AX30" s="12">
        <f t="shared" si="28"/>
        <v>0</v>
      </c>
      <c r="AY30" s="32">
        <f t="shared" si="29"/>
        <v>0</v>
      </c>
      <c r="AZ30" s="12"/>
      <c r="BA30" s="12">
        <f t="shared" si="30"/>
        <v>0</v>
      </c>
      <c r="BB30" s="32">
        <f t="shared" si="31"/>
        <v>0</v>
      </c>
      <c r="BC30" s="12"/>
      <c r="BD30" s="12">
        <f t="shared" si="32"/>
        <v>0</v>
      </c>
      <c r="BE30" s="32">
        <f t="shared" si="33"/>
        <v>0</v>
      </c>
      <c r="BF30" s="12"/>
      <c r="BG30" s="12">
        <f t="shared" si="34"/>
        <v>0</v>
      </c>
      <c r="BH30" s="32">
        <f t="shared" si="35"/>
        <v>0</v>
      </c>
      <c r="BI30" s="12"/>
      <c r="BJ30" s="12">
        <f t="shared" si="36"/>
        <v>0</v>
      </c>
      <c r="BK30" s="32">
        <f t="shared" si="37"/>
        <v>0</v>
      </c>
      <c r="BL30" s="12"/>
      <c r="BM30" s="12">
        <f t="shared" si="38"/>
        <v>0</v>
      </c>
      <c r="BN30" s="32">
        <f t="shared" si="39"/>
        <v>0</v>
      </c>
      <c r="BO30" s="12">
        <v>8.0000000000000002E-3</v>
      </c>
      <c r="BP30" s="12">
        <f t="shared" si="40"/>
        <v>2.9333333333333333E-2</v>
      </c>
      <c r="BQ30" s="32">
        <f t="shared" si="41"/>
        <v>1.2768369047652861E-2</v>
      </c>
      <c r="BR30" s="12"/>
      <c r="BS30" s="12">
        <f t="shared" si="42"/>
        <v>0</v>
      </c>
      <c r="BT30" s="32">
        <f t="shared" si="43"/>
        <v>0</v>
      </c>
      <c r="BU30" s="12"/>
      <c r="BV30" s="12">
        <f t="shared" si="44"/>
        <v>0</v>
      </c>
      <c r="BW30" s="32">
        <f t="shared" si="45"/>
        <v>0</v>
      </c>
      <c r="BX30" s="12"/>
      <c r="BY30" s="12">
        <f t="shared" si="46"/>
        <v>0</v>
      </c>
      <c r="BZ30" s="32">
        <f t="shared" si="47"/>
        <v>0</v>
      </c>
      <c r="CA30" s="12"/>
      <c r="CB30" s="12">
        <f t="shared" si="48"/>
        <v>0</v>
      </c>
      <c r="CC30" s="32">
        <f t="shared" si="49"/>
        <v>0</v>
      </c>
      <c r="CD30" s="12"/>
      <c r="CE30" s="12">
        <f t="shared" si="50"/>
        <v>0</v>
      </c>
      <c r="CF30" s="32">
        <f t="shared" si="51"/>
        <v>0</v>
      </c>
      <c r="CG30" s="12"/>
      <c r="CH30" s="12">
        <f t="shared" si="52"/>
        <v>0</v>
      </c>
      <c r="CI30" s="32">
        <f t="shared" si="53"/>
        <v>0</v>
      </c>
      <c r="CJ30" s="12"/>
      <c r="CK30" s="12">
        <f t="shared" si="54"/>
        <v>0</v>
      </c>
      <c r="CL30" s="32">
        <f t="shared" si="55"/>
        <v>0</v>
      </c>
      <c r="CM30" s="12"/>
      <c r="CN30" s="12">
        <f t="shared" si="56"/>
        <v>0</v>
      </c>
      <c r="CO30" s="32">
        <f t="shared" si="57"/>
        <v>0</v>
      </c>
      <c r="CP30" s="12"/>
      <c r="CQ30" s="12">
        <f t="shared" si="58"/>
        <v>0</v>
      </c>
      <c r="CR30" s="32">
        <f t="shared" si="59"/>
        <v>0</v>
      </c>
      <c r="CS30" s="12"/>
      <c r="CT30" s="12">
        <f t="shared" si="60"/>
        <v>0</v>
      </c>
      <c r="CU30" s="32">
        <f t="shared" si="61"/>
        <v>0</v>
      </c>
      <c r="CV30" s="12"/>
      <c r="CW30" s="12">
        <f t="shared" si="62"/>
        <v>0</v>
      </c>
      <c r="CX30" s="32">
        <f t="shared" si="63"/>
        <v>0</v>
      </c>
      <c r="CY30" s="12"/>
      <c r="CZ30" s="12">
        <f t="shared" si="64"/>
        <v>0</v>
      </c>
      <c r="DA30" s="32">
        <f t="shared" si="65"/>
        <v>0</v>
      </c>
      <c r="DB30" s="12"/>
      <c r="DC30" s="12">
        <f t="shared" si="66"/>
        <v>0</v>
      </c>
      <c r="DD30" s="32">
        <f t="shared" si="67"/>
        <v>0</v>
      </c>
      <c r="DE30" s="12"/>
      <c r="DF30" s="12">
        <f t="shared" si="68"/>
        <v>0</v>
      </c>
      <c r="DG30" s="32">
        <f t="shared" si="69"/>
        <v>0</v>
      </c>
      <c r="DH30" s="12">
        <f>0.2/15</f>
        <v>1.3333333333333334E-2</v>
      </c>
      <c r="DI30" s="12">
        <f t="shared" si="1"/>
        <v>4.8888888888888891E-2</v>
      </c>
      <c r="DJ30" s="32">
        <f t="shared" si="70"/>
        <v>0.28823960111667357</v>
      </c>
      <c r="DK30" s="12"/>
      <c r="DL30" s="12">
        <f t="shared" si="71"/>
        <v>0</v>
      </c>
      <c r="DM30" s="32">
        <f t="shared" si="72"/>
        <v>0</v>
      </c>
    </row>
    <row r="31" spans="1:117" s="6" customFormat="1" ht="22.25" customHeight="1" x14ac:dyDescent="0.35">
      <c r="A31" s="4">
        <v>23</v>
      </c>
      <c r="B31" s="4" t="s">
        <v>94</v>
      </c>
      <c r="C31" s="4" t="s">
        <v>95</v>
      </c>
      <c r="D31" s="7">
        <f t="shared" si="2"/>
        <v>36</v>
      </c>
      <c r="E31" s="7">
        <v>36</v>
      </c>
      <c r="F31" s="7">
        <v>1</v>
      </c>
      <c r="G31" s="7">
        <v>1</v>
      </c>
      <c r="H31" s="7">
        <f t="shared" si="74"/>
        <v>5.3999999999999995</v>
      </c>
      <c r="I31" s="9">
        <f t="shared" si="75"/>
        <v>41.4</v>
      </c>
      <c r="J31" s="13"/>
      <c r="K31" s="12">
        <f t="shared" si="73"/>
        <v>0</v>
      </c>
      <c r="L31" s="32">
        <f t="shared" si="3"/>
        <v>0</v>
      </c>
      <c r="M31" s="12"/>
      <c r="N31" s="12">
        <f t="shared" si="4"/>
        <v>0</v>
      </c>
      <c r="O31" s="32">
        <f t="shared" si="5"/>
        <v>0</v>
      </c>
      <c r="P31" s="12"/>
      <c r="Q31" s="12">
        <f t="shared" si="76"/>
        <v>0</v>
      </c>
      <c r="R31" s="32">
        <f t="shared" si="7"/>
        <v>0</v>
      </c>
      <c r="S31" s="12"/>
      <c r="T31" s="12">
        <f t="shared" si="8"/>
        <v>0</v>
      </c>
      <c r="U31" s="32">
        <f t="shared" si="9"/>
        <v>0</v>
      </c>
      <c r="V31" s="12"/>
      <c r="W31" s="12">
        <f t="shared" si="10"/>
        <v>0</v>
      </c>
      <c r="X31" s="32">
        <f t="shared" si="11"/>
        <v>0</v>
      </c>
      <c r="Y31" s="12"/>
      <c r="Z31" s="12">
        <f t="shared" si="12"/>
        <v>0</v>
      </c>
      <c r="AA31" s="32">
        <f t="shared" si="13"/>
        <v>0</v>
      </c>
      <c r="AB31" s="12"/>
      <c r="AC31" s="12">
        <f t="shared" si="14"/>
        <v>0</v>
      </c>
      <c r="AD31" s="32">
        <f t="shared" si="15"/>
        <v>0</v>
      </c>
      <c r="AE31" s="12"/>
      <c r="AF31" s="37">
        <f t="shared" si="16"/>
        <v>0</v>
      </c>
      <c r="AG31" s="14">
        <f t="shared" si="17"/>
        <v>0</v>
      </c>
      <c r="AH31" s="12"/>
      <c r="AI31" s="12">
        <f t="shared" si="18"/>
        <v>0</v>
      </c>
      <c r="AJ31" s="32">
        <f t="shared" si="19"/>
        <v>0</v>
      </c>
      <c r="AK31" s="12"/>
      <c r="AL31" s="12">
        <f t="shared" si="20"/>
        <v>0</v>
      </c>
      <c r="AM31" s="32">
        <f t="shared" si="21"/>
        <v>0</v>
      </c>
      <c r="AN31" s="12"/>
      <c r="AO31" s="12">
        <f t="shared" si="22"/>
        <v>0</v>
      </c>
      <c r="AP31" s="32">
        <f t="shared" si="23"/>
        <v>0</v>
      </c>
      <c r="AQ31" s="12"/>
      <c r="AR31" s="12">
        <f t="shared" si="24"/>
        <v>0</v>
      </c>
      <c r="AS31" s="32">
        <f t="shared" si="25"/>
        <v>0</v>
      </c>
      <c r="AT31" s="12"/>
      <c r="AU31" s="12">
        <f t="shared" si="26"/>
        <v>0</v>
      </c>
      <c r="AV31" s="32">
        <f t="shared" si="27"/>
        <v>0</v>
      </c>
      <c r="AW31" s="12"/>
      <c r="AX31" s="12">
        <f t="shared" si="28"/>
        <v>0</v>
      </c>
      <c r="AY31" s="32">
        <f t="shared" si="29"/>
        <v>0</v>
      </c>
      <c r="AZ31" s="12"/>
      <c r="BA31" s="12">
        <f t="shared" si="30"/>
        <v>0</v>
      </c>
      <c r="BB31" s="32">
        <f t="shared" si="31"/>
        <v>0</v>
      </c>
      <c r="BC31" s="12"/>
      <c r="BD31" s="12">
        <f t="shared" si="32"/>
        <v>0</v>
      </c>
      <c r="BE31" s="32">
        <f t="shared" si="33"/>
        <v>0</v>
      </c>
      <c r="BF31" s="12"/>
      <c r="BG31" s="12">
        <f t="shared" si="34"/>
        <v>0</v>
      </c>
      <c r="BH31" s="32">
        <f t="shared" si="35"/>
        <v>0</v>
      </c>
      <c r="BI31" s="73"/>
      <c r="BJ31" s="12">
        <f t="shared" si="36"/>
        <v>0</v>
      </c>
      <c r="BK31" s="32">
        <f t="shared" si="37"/>
        <v>0</v>
      </c>
      <c r="BL31" s="12"/>
      <c r="BM31" s="12">
        <f t="shared" si="38"/>
        <v>0</v>
      </c>
      <c r="BN31" s="32">
        <f t="shared" si="39"/>
        <v>0</v>
      </c>
      <c r="BO31" s="12"/>
      <c r="BP31" s="12">
        <f t="shared" si="40"/>
        <v>0</v>
      </c>
      <c r="BQ31" s="32">
        <f t="shared" si="41"/>
        <v>0</v>
      </c>
      <c r="BR31" s="12"/>
      <c r="BS31" s="12">
        <f t="shared" si="42"/>
        <v>0</v>
      </c>
      <c r="BT31" s="32">
        <f t="shared" si="43"/>
        <v>0</v>
      </c>
      <c r="BU31" s="12"/>
      <c r="BV31" s="12">
        <f t="shared" si="44"/>
        <v>0</v>
      </c>
      <c r="BW31" s="32">
        <f t="shared" si="45"/>
        <v>0</v>
      </c>
      <c r="BX31" s="12"/>
      <c r="BY31" s="12">
        <f t="shared" si="46"/>
        <v>0</v>
      </c>
      <c r="BZ31" s="32">
        <f t="shared" si="47"/>
        <v>0</v>
      </c>
      <c r="CA31" s="12"/>
      <c r="CB31" s="12">
        <f t="shared" si="48"/>
        <v>0</v>
      </c>
      <c r="CC31" s="32">
        <f t="shared" si="49"/>
        <v>0</v>
      </c>
      <c r="CD31" s="12"/>
      <c r="CE31" s="12">
        <f t="shared" si="50"/>
        <v>0</v>
      </c>
      <c r="CF31" s="32">
        <f t="shared" si="51"/>
        <v>0</v>
      </c>
      <c r="CG31" s="12"/>
      <c r="CH31" s="12">
        <f t="shared" si="52"/>
        <v>0</v>
      </c>
      <c r="CI31" s="32">
        <f t="shared" si="53"/>
        <v>0</v>
      </c>
      <c r="CJ31" s="12"/>
      <c r="CK31" s="12">
        <f t="shared" si="54"/>
        <v>0</v>
      </c>
      <c r="CL31" s="32">
        <f t="shared" si="55"/>
        <v>0</v>
      </c>
      <c r="CM31" s="12"/>
      <c r="CN31" s="12">
        <f t="shared" si="56"/>
        <v>0</v>
      </c>
      <c r="CO31" s="32">
        <f t="shared" si="57"/>
        <v>0</v>
      </c>
      <c r="CP31" s="12"/>
      <c r="CQ31" s="12">
        <f t="shared" si="58"/>
        <v>0</v>
      </c>
      <c r="CR31" s="32">
        <f t="shared" si="59"/>
        <v>0</v>
      </c>
      <c r="CS31" s="12"/>
      <c r="CT31" s="12">
        <f t="shared" si="60"/>
        <v>0</v>
      </c>
      <c r="CU31" s="32">
        <f t="shared" si="61"/>
        <v>0</v>
      </c>
      <c r="CV31" s="12"/>
      <c r="CW31" s="12">
        <f t="shared" si="62"/>
        <v>0</v>
      </c>
      <c r="CX31" s="32">
        <f t="shared" si="63"/>
        <v>0</v>
      </c>
      <c r="CY31" s="12"/>
      <c r="CZ31" s="12">
        <f t="shared" si="64"/>
        <v>0</v>
      </c>
      <c r="DA31" s="32">
        <f t="shared" si="65"/>
        <v>0</v>
      </c>
      <c r="DB31" s="12"/>
      <c r="DC31" s="12">
        <f t="shared" si="66"/>
        <v>0</v>
      </c>
      <c r="DD31" s="32">
        <f t="shared" si="67"/>
        <v>0</v>
      </c>
      <c r="DE31" s="12"/>
      <c r="DF31" s="12">
        <f t="shared" si="68"/>
        <v>0</v>
      </c>
      <c r="DG31" s="32">
        <f t="shared" si="69"/>
        <v>0</v>
      </c>
      <c r="DH31" s="12"/>
      <c r="DI31" s="12">
        <f t="shared" si="1"/>
        <v>0</v>
      </c>
      <c r="DJ31" s="32">
        <f t="shared" si="70"/>
        <v>0</v>
      </c>
      <c r="DK31" s="12"/>
      <c r="DL31" s="12">
        <f t="shared" si="71"/>
        <v>0</v>
      </c>
      <c r="DM31" s="32">
        <f t="shared" si="72"/>
        <v>0</v>
      </c>
    </row>
    <row r="32" spans="1:117" s="6" customFormat="1" ht="22.25" customHeight="1" x14ac:dyDescent="0.35">
      <c r="A32" s="4">
        <v>24</v>
      </c>
      <c r="B32" s="4" t="s">
        <v>96</v>
      </c>
      <c r="C32" s="4" t="s">
        <v>97</v>
      </c>
      <c r="D32" s="7">
        <f t="shared" si="2"/>
        <v>1.8072289156626506</v>
      </c>
      <c r="E32" s="7">
        <v>1.5</v>
      </c>
      <c r="F32" s="7">
        <v>1</v>
      </c>
      <c r="G32" s="7">
        <v>0.83</v>
      </c>
      <c r="H32" s="7">
        <f t="shared" si="74"/>
        <v>0.27108433734939757</v>
      </c>
      <c r="I32" s="9">
        <f t="shared" si="75"/>
        <v>2.0783132530120483</v>
      </c>
      <c r="J32" s="13"/>
      <c r="K32" s="12">
        <f t="shared" si="73"/>
        <v>0</v>
      </c>
      <c r="L32" s="32">
        <f t="shared" si="3"/>
        <v>0</v>
      </c>
      <c r="M32" s="12"/>
      <c r="N32" s="12">
        <f t="shared" si="4"/>
        <v>0</v>
      </c>
      <c r="O32" s="32">
        <f t="shared" si="5"/>
        <v>0</v>
      </c>
      <c r="P32" s="12"/>
      <c r="Q32" s="12">
        <f t="shared" si="76"/>
        <v>0</v>
      </c>
      <c r="R32" s="32">
        <f t="shared" si="7"/>
        <v>0</v>
      </c>
      <c r="S32" s="12"/>
      <c r="T32" s="12">
        <f t="shared" si="8"/>
        <v>0</v>
      </c>
      <c r="U32" s="32">
        <f t="shared" si="9"/>
        <v>0</v>
      </c>
      <c r="V32" s="12"/>
      <c r="W32" s="12">
        <f t="shared" si="10"/>
        <v>0</v>
      </c>
      <c r="X32" s="32">
        <f t="shared" si="11"/>
        <v>0</v>
      </c>
      <c r="Y32" s="12"/>
      <c r="Z32" s="12">
        <f t="shared" si="12"/>
        <v>0</v>
      </c>
      <c r="AA32" s="32">
        <f t="shared" si="13"/>
        <v>0</v>
      </c>
      <c r="AB32" s="12"/>
      <c r="AC32" s="12">
        <f t="shared" si="14"/>
        <v>0</v>
      </c>
      <c r="AD32" s="32">
        <f t="shared" si="15"/>
        <v>0</v>
      </c>
      <c r="AE32" s="12"/>
      <c r="AF32" s="37">
        <f t="shared" si="16"/>
        <v>0</v>
      </c>
      <c r="AG32" s="14">
        <f t="shared" si="17"/>
        <v>0</v>
      </c>
      <c r="AH32" s="12"/>
      <c r="AI32" s="12">
        <f t="shared" si="18"/>
        <v>0</v>
      </c>
      <c r="AJ32" s="32">
        <f t="shared" si="19"/>
        <v>0</v>
      </c>
      <c r="AK32" s="12"/>
      <c r="AL32" s="12">
        <f t="shared" si="20"/>
        <v>0</v>
      </c>
      <c r="AM32" s="32">
        <f t="shared" si="21"/>
        <v>0</v>
      </c>
      <c r="AN32" s="12"/>
      <c r="AO32" s="12">
        <f t="shared" si="22"/>
        <v>0</v>
      </c>
      <c r="AP32" s="32">
        <f t="shared" si="23"/>
        <v>0</v>
      </c>
      <c r="AQ32" s="12"/>
      <c r="AR32" s="12">
        <f t="shared" si="24"/>
        <v>0</v>
      </c>
      <c r="AS32" s="32">
        <f t="shared" si="25"/>
        <v>0</v>
      </c>
      <c r="AT32" s="12">
        <v>0.12</v>
      </c>
      <c r="AU32" s="12">
        <f t="shared" si="26"/>
        <v>0.21686746987951808</v>
      </c>
      <c r="AV32" s="32">
        <f t="shared" si="27"/>
        <v>0.16029927601691202</v>
      </c>
      <c r="AW32" s="12"/>
      <c r="AX32" s="12">
        <f t="shared" si="28"/>
        <v>0</v>
      </c>
      <c r="AY32" s="32">
        <f t="shared" si="29"/>
        <v>0</v>
      </c>
      <c r="AZ32" s="12"/>
      <c r="BA32" s="12">
        <f t="shared" si="30"/>
        <v>0</v>
      </c>
      <c r="BB32" s="32">
        <f t="shared" si="31"/>
        <v>0</v>
      </c>
      <c r="BC32" s="12"/>
      <c r="BD32" s="12">
        <f t="shared" si="32"/>
        <v>0</v>
      </c>
      <c r="BE32" s="32">
        <f t="shared" si="33"/>
        <v>0</v>
      </c>
      <c r="BF32" s="12"/>
      <c r="BG32" s="12">
        <f t="shared" si="34"/>
        <v>0</v>
      </c>
      <c r="BH32" s="32">
        <f t="shared" si="35"/>
        <v>0</v>
      </c>
      <c r="BI32" s="12"/>
      <c r="BJ32" s="12">
        <f t="shared" si="36"/>
        <v>0</v>
      </c>
      <c r="BK32" s="32">
        <f t="shared" si="37"/>
        <v>0</v>
      </c>
      <c r="BL32" s="12"/>
      <c r="BM32" s="12">
        <f t="shared" si="38"/>
        <v>0</v>
      </c>
      <c r="BN32" s="32">
        <f t="shared" si="39"/>
        <v>0</v>
      </c>
      <c r="BO32" s="12"/>
      <c r="BP32" s="12">
        <f t="shared" si="40"/>
        <v>0</v>
      </c>
      <c r="BQ32" s="32">
        <f t="shared" si="41"/>
        <v>0</v>
      </c>
      <c r="BR32" s="12"/>
      <c r="BS32" s="12">
        <f t="shared" si="42"/>
        <v>0</v>
      </c>
      <c r="BT32" s="32">
        <f t="shared" si="43"/>
        <v>0</v>
      </c>
      <c r="BU32" s="12"/>
      <c r="BV32" s="12">
        <f t="shared" si="44"/>
        <v>0</v>
      </c>
      <c r="BW32" s="32">
        <f t="shared" si="45"/>
        <v>0</v>
      </c>
      <c r="BX32" s="12"/>
      <c r="BY32" s="12">
        <f t="shared" si="46"/>
        <v>0</v>
      </c>
      <c r="BZ32" s="32">
        <f t="shared" si="47"/>
        <v>0</v>
      </c>
      <c r="CA32" s="12"/>
      <c r="CB32" s="12">
        <f t="shared" si="48"/>
        <v>0</v>
      </c>
      <c r="CC32" s="32">
        <f t="shared" si="49"/>
        <v>0</v>
      </c>
      <c r="CD32" s="12"/>
      <c r="CE32" s="12">
        <f t="shared" si="50"/>
        <v>0</v>
      </c>
      <c r="CF32" s="32">
        <f t="shared" si="51"/>
        <v>0</v>
      </c>
      <c r="CG32" s="12"/>
      <c r="CH32" s="12">
        <f t="shared" si="52"/>
        <v>0</v>
      </c>
      <c r="CI32" s="32">
        <f t="shared" si="53"/>
        <v>0</v>
      </c>
      <c r="CJ32" s="12"/>
      <c r="CK32" s="12">
        <f t="shared" si="54"/>
        <v>0</v>
      </c>
      <c r="CL32" s="32">
        <f t="shared" si="55"/>
        <v>0</v>
      </c>
      <c r="CM32" s="12"/>
      <c r="CN32" s="12">
        <f t="shared" si="56"/>
        <v>0</v>
      </c>
      <c r="CO32" s="32">
        <f t="shared" si="57"/>
        <v>0</v>
      </c>
      <c r="CP32" s="12"/>
      <c r="CQ32" s="12">
        <f t="shared" si="58"/>
        <v>0</v>
      </c>
      <c r="CR32" s="32">
        <f t="shared" si="59"/>
        <v>0</v>
      </c>
      <c r="CS32" s="12"/>
      <c r="CT32" s="12">
        <f t="shared" si="60"/>
        <v>0</v>
      </c>
      <c r="CU32" s="32">
        <f t="shared" si="61"/>
        <v>0</v>
      </c>
      <c r="CV32" s="12"/>
      <c r="CW32" s="12">
        <f t="shared" si="62"/>
        <v>0</v>
      </c>
      <c r="CX32" s="32">
        <f t="shared" si="63"/>
        <v>0</v>
      </c>
      <c r="CY32" s="12"/>
      <c r="CZ32" s="12">
        <f t="shared" si="64"/>
        <v>0</v>
      </c>
      <c r="DA32" s="32">
        <f t="shared" si="65"/>
        <v>0</v>
      </c>
      <c r="DB32" s="12"/>
      <c r="DC32" s="12">
        <f t="shared" si="66"/>
        <v>0</v>
      </c>
      <c r="DD32" s="32">
        <f t="shared" si="67"/>
        <v>0</v>
      </c>
      <c r="DE32" s="12"/>
      <c r="DF32" s="12">
        <f t="shared" si="68"/>
        <v>0</v>
      </c>
      <c r="DG32" s="32">
        <f t="shared" si="69"/>
        <v>0</v>
      </c>
      <c r="DH32" s="12"/>
      <c r="DI32" s="12">
        <f t="shared" si="1"/>
        <v>0</v>
      </c>
      <c r="DJ32" s="32">
        <f t="shared" si="70"/>
        <v>0</v>
      </c>
      <c r="DK32" s="12"/>
      <c r="DL32" s="12">
        <f t="shared" si="71"/>
        <v>0</v>
      </c>
      <c r="DM32" s="32">
        <f t="shared" si="72"/>
        <v>0</v>
      </c>
    </row>
    <row r="33" spans="1:117" s="6" customFormat="1" ht="22.25" customHeight="1" x14ac:dyDescent="0.35">
      <c r="A33" s="4">
        <v>25</v>
      </c>
      <c r="B33" s="4" t="s">
        <v>98</v>
      </c>
      <c r="C33" s="4" t="s">
        <v>99</v>
      </c>
      <c r="D33" s="7">
        <f t="shared" si="2"/>
        <v>15.966666666666667</v>
      </c>
      <c r="E33" s="7">
        <f>23.95/1.5</f>
        <v>15.966666666666667</v>
      </c>
      <c r="F33" s="7">
        <v>1</v>
      </c>
      <c r="G33" s="7">
        <v>1</v>
      </c>
      <c r="H33" s="7">
        <f t="shared" si="74"/>
        <v>2.395</v>
      </c>
      <c r="I33" s="9">
        <f t="shared" si="75"/>
        <v>18.361666666666668</v>
      </c>
      <c r="J33" s="13"/>
      <c r="K33" s="12">
        <f t="shared" si="73"/>
        <v>0</v>
      </c>
      <c r="L33" s="32">
        <f t="shared" si="3"/>
        <v>0</v>
      </c>
      <c r="M33" s="12"/>
      <c r="N33" s="12">
        <f t="shared" si="4"/>
        <v>0</v>
      </c>
      <c r="O33" s="32">
        <f t="shared" si="5"/>
        <v>0</v>
      </c>
      <c r="P33" s="12"/>
      <c r="Q33" s="12">
        <f t="shared" si="76"/>
        <v>0</v>
      </c>
      <c r="R33" s="32">
        <f t="shared" si="7"/>
        <v>0</v>
      </c>
      <c r="S33" s="12"/>
      <c r="T33" s="12">
        <f t="shared" si="8"/>
        <v>0</v>
      </c>
      <c r="U33" s="32">
        <f t="shared" si="9"/>
        <v>0</v>
      </c>
      <c r="V33" s="12"/>
      <c r="W33" s="12">
        <f t="shared" si="10"/>
        <v>0</v>
      </c>
      <c r="X33" s="32">
        <f t="shared" si="11"/>
        <v>0</v>
      </c>
      <c r="Y33" s="12"/>
      <c r="Z33" s="12">
        <f t="shared" si="12"/>
        <v>0</v>
      </c>
      <c r="AA33" s="32">
        <f t="shared" si="13"/>
        <v>0</v>
      </c>
      <c r="AB33" s="12"/>
      <c r="AC33" s="12">
        <f t="shared" si="14"/>
        <v>0</v>
      </c>
      <c r="AD33" s="32">
        <f t="shared" si="15"/>
        <v>0</v>
      </c>
      <c r="AE33" s="12"/>
      <c r="AF33" s="37">
        <f t="shared" si="16"/>
        <v>0</v>
      </c>
      <c r="AG33" s="14">
        <f t="shared" si="17"/>
        <v>0</v>
      </c>
      <c r="AH33" s="12"/>
      <c r="AI33" s="12">
        <f t="shared" si="18"/>
        <v>0</v>
      </c>
      <c r="AJ33" s="32">
        <f t="shared" si="19"/>
        <v>0</v>
      </c>
      <c r="AK33" s="12"/>
      <c r="AL33" s="12">
        <f t="shared" si="20"/>
        <v>0</v>
      </c>
      <c r="AM33" s="32">
        <f t="shared" si="21"/>
        <v>0</v>
      </c>
      <c r="AN33" s="12"/>
      <c r="AO33" s="12">
        <f t="shared" si="22"/>
        <v>0</v>
      </c>
      <c r="AP33" s="32">
        <f t="shared" si="23"/>
        <v>0</v>
      </c>
      <c r="AQ33" s="12"/>
      <c r="AR33" s="12">
        <f t="shared" si="24"/>
        <v>0</v>
      </c>
      <c r="AS33" s="32">
        <f t="shared" si="25"/>
        <v>0</v>
      </c>
      <c r="AT33" s="12"/>
      <c r="AU33" s="12">
        <f t="shared" si="26"/>
        <v>0</v>
      </c>
      <c r="AV33" s="32">
        <f t="shared" si="27"/>
        <v>0</v>
      </c>
      <c r="AW33" s="12"/>
      <c r="AX33" s="12">
        <f t="shared" si="28"/>
        <v>0</v>
      </c>
      <c r="AY33" s="32">
        <f t="shared" si="29"/>
        <v>0</v>
      </c>
      <c r="AZ33" s="12"/>
      <c r="BA33" s="12">
        <f t="shared" si="30"/>
        <v>0</v>
      </c>
      <c r="BB33" s="32">
        <f t="shared" si="31"/>
        <v>0</v>
      </c>
      <c r="BC33" s="12"/>
      <c r="BD33" s="12">
        <f t="shared" si="32"/>
        <v>0</v>
      </c>
      <c r="BE33" s="32">
        <f t="shared" si="33"/>
        <v>0</v>
      </c>
      <c r="BF33" s="12"/>
      <c r="BG33" s="12">
        <f t="shared" si="34"/>
        <v>0</v>
      </c>
      <c r="BH33" s="32">
        <f t="shared" si="35"/>
        <v>0</v>
      </c>
      <c r="BI33" s="12"/>
      <c r="BJ33" s="12">
        <f t="shared" si="36"/>
        <v>0</v>
      </c>
      <c r="BK33" s="32">
        <f t="shared" si="37"/>
        <v>0</v>
      </c>
      <c r="BL33" s="12"/>
      <c r="BM33" s="12">
        <f t="shared" si="38"/>
        <v>0</v>
      </c>
      <c r="BN33" s="32">
        <f t="shared" si="39"/>
        <v>0</v>
      </c>
      <c r="BO33" s="12"/>
      <c r="BP33" s="12">
        <f t="shared" si="40"/>
        <v>0</v>
      </c>
      <c r="BQ33" s="32">
        <f t="shared" si="41"/>
        <v>0</v>
      </c>
      <c r="BR33" s="12">
        <v>0.05</v>
      </c>
      <c r="BS33" s="12">
        <f t="shared" si="42"/>
        <v>0.79833333333333334</v>
      </c>
      <c r="BT33" s="32">
        <f t="shared" si="43"/>
        <v>0.22040966976526799</v>
      </c>
      <c r="BU33" s="12">
        <v>0.06</v>
      </c>
      <c r="BV33" s="12">
        <f t="shared" si="44"/>
        <v>0.95799999999999996</v>
      </c>
      <c r="BW33" s="32">
        <f t="shared" si="45"/>
        <v>0.28577580967726673</v>
      </c>
      <c r="BX33" s="12"/>
      <c r="BY33" s="12">
        <f t="shared" si="46"/>
        <v>0</v>
      </c>
      <c r="BZ33" s="32">
        <f t="shared" si="47"/>
        <v>0</v>
      </c>
      <c r="CA33" s="12"/>
      <c r="CB33" s="12">
        <f t="shared" si="48"/>
        <v>0</v>
      </c>
      <c r="CC33" s="32">
        <f t="shared" si="49"/>
        <v>0</v>
      </c>
      <c r="CD33" s="12"/>
      <c r="CE33" s="12">
        <f t="shared" si="50"/>
        <v>0</v>
      </c>
      <c r="CF33" s="32">
        <f t="shared" si="51"/>
        <v>0</v>
      </c>
      <c r="CG33" s="12"/>
      <c r="CH33" s="12">
        <f t="shared" si="52"/>
        <v>0</v>
      </c>
      <c r="CI33" s="32">
        <f t="shared" si="53"/>
        <v>0</v>
      </c>
      <c r="CJ33" s="12"/>
      <c r="CK33" s="12">
        <f t="shared" si="54"/>
        <v>0</v>
      </c>
      <c r="CL33" s="32">
        <f t="shared" si="55"/>
        <v>0</v>
      </c>
      <c r="CM33" s="12"/>
      <c r="CN33" s="12">
        <f t="shared" si="56"/>
        <v>0</v>
      </c>
      <c r="CO33" s="32">
        <f t="shared" si="57"/>
        <v>0</v>
      </c>
      <c r="CP33" s="12"/>
      <c r="CQ33" s="12">
        <f t="shared" si="58"/>
        <v>0</v>
      </c>
      <c r="CR33" s="32">
        <f t="shared" si="59"/>
        <v>0</v>
      </c>
      <c r="CS33" s="12"/>
      <c r="CT33" s="12">
        <f t="shared" si="60"/>
        <v>0</v>
      </c>
      <c r="CU33" s="32">
        <f t="shared" si="61"/>
        <v>0</v>
      </c>
      <c r="CV33" s="12"/>
      <c r="CW33" s="12">
        <f t="shared" si="62"/>
        <v>0</v>
      </c>
      <c r="CX33" s="32">
        <f t="shared" si="63"/>
        <v>0</v>
      </c>
      <c r="CY33" s="12"/>
      <c r="CZ33" s="12">
        <f t="shared" si="64"/>
        <v>0</v>
      </c>
      <c r="DA33" s="32">
        <f t="shared" si="65"/>
        <v>0</v>
      </c>
      <c r="DB33" s="12"/>
      <c r="DC33" s="12">
        <f t="shared" si="66"/>
        <v>0</v>
      </c>
      <c r="DD33" s="32">
        <f t="shared" si="67"/>
        <v>0</v>
      </c>
      <c r="DE33" s="12"/>
      <c r="DF33" s="12">
        <f t="shared" si="68"/>
        <v>0</v>
      </c>
      <c r="DG33" s="32">
        <f t="shared" si="69"/>
        <v>0</v>
      </c>
      <c r="DH33" s="12"/>
      <c r="DI33" s="12">
        <f t="shared" si="1"/>
        <v>0</v>
      </c>
      <c r="DJ33" s="32">
        <f t="shared" si="70"/>
        <v>0</v>
      </c>
      <c r="DK33" s="12"/>
      <c r="DL33" s="12">
        <f t="shared" si="71"/>
        <v>0</v>
      </c>
      <c r="DM33" s="32">
        <f t="shared" si="72"/>
        <v>0</v>
      </c>
    </row>
    <row r="34" spans="1:117" s="6" customFormat="1" ht="22.25" customHeight="1" x14ac:dyDescent="0.35">
      <c r="A34" s="4">
        <v>26</v>
      </c>
      <c r="B34" s="4" t="s">
        <v>100</v>
      </c>
      <c r="C34" s="4" t="s">
        <v>101</v>
      </c>
      <c r="D34" s="7">
        <f t="shared" si="2"/>
        <v>58</v>
      </c>
      <c r="E34" s="7">
        <v>58</v>
      </c>
      <c r="F34" s="7">
        <v>1</v>
      </c>
      <c r="G34" s="7">
        <v>1</v>
      </c>
      <c r="H34" s="7">
        <f t="shared" si="74"/>
        <v>8.6999999999999993</v>
      </c>
      <c r="I34" s="9">
        <f t="shared" si="75"/>
        <v>66.7</v>
      </c>
      <c r="J34" s="13"/>
      <c r="K34" s="12">
        <f t="shared" si="73"/>
        <v>0</v>
      </c>
      <c r="L34" s="32">
        <f t="shared" si="3"/>
        <v>0</v>
      </c>
      <c r="M34" s="12"/>
      <c r="N34" s="12">
        <f t="shared" si="4"/>
        <v>0</v>
      </c>
      <c r="O34" s="32">
        <f t="shared" si="5"/>
        <v>0</v>
      </c>
      <c r="P34" s="12"/>
      <c r="Q34" s="12">
        <f t="shared" si="76"/>
        <v>0</v>
      </c>
      <c r="R34" s="32">
        <f t="shared" si="7"/>
        <v>0</v>
      </c>
      <c r="S34" s="12">
        <v>2E-3</v>
      </c>
      <c r="T34" s="12">
        <f t="shared" si="8"/>
        <v>0.11600000000000001</v>
      </c>
      <c r="U34" s="32">
        <f t="shared" si="9"/>
        <v>2.3043690894834139E-2</v>
      </c>
      <c r="V34" s="12"/>
      <c r="W34" s="12">
        <f t="shared" si="10"/>
        <v>0</v>
      </c>
      <c r="X34" s="32">
        <f t="shared" si="11"/>
        <v>0</v>
      </c>
      <c r="Y34" s="12"/>
      <c r="Z34" s="12">
        <f t="shared" si="12"/>
        <v>0</v>
      </c>
      <c r="AA34" s="32">
        <f t="shared" si="13"/>
        <v>0</v>
      </c>
      <c r="AB34" s="12"/>
      <c r="AC34" s="12">
        <f t="shared" si="14"/>
        <v>0</v>
      </c>
      <c r="AD34" s="32">
        <f t="shared" si="15"/>
        <v>0</v>
      </c>
      <c r="AE34" s="12"/>
      <c r="AF34" s="37">
        <f t="shared" si="16"/>
        <v>0</v>
      </c>
      <c r="AG34" s="14">
        <f t="shared" si="17"/>
        <v>0</v>
      </c>
      <c r="AH34" s="12"/>
      <c r="AI34" s="12">
        <f t="shared" si="18"/>
        <v>0</v>
      </c>
      <c r="AJ34" s="32">
        <f t="shared" si="19"/>
        <v>0</v>
      </c>
      <c r="AK34" s="12"/>
      <c r="AL34" s="12">
        <f t="shared" si="20"/>
        <v>0</v>
      </c>
      <c r="AM34" s="32">
        <f t="shared" si="21"/>
        <v>0</v>
      </c>
      <c r="AN34" s="12"/>
      <c r="AO34" s="12">
        <f t="shared" si="22"/>
        <v>0</v>
      </c>
      <c r="AP34" s="32">
        <f t="shared" si="23"/>
        <v>0</v>
      </c>
      <c r="AQ34" s="12"/>
      <c r="AR34" s="12">
        <f t="shared" si="24"/>
        <v>0</v>
      </c>
      <c r="AS34" s="32">
        <f t="shared" si="25"/>
        <v>0</v>
      </c>
      <c r="AT34" s="12"/>
      <c r="AU34" s="12">
        <f t="shared" si="26"/>
        <v>0</v>
      </c>
      <c r="AV34" s="32">
        <f t="shared" si="27"/>
        <v>0</v>
      </c>
      <c r="AW34" s="12"/>
      <c r="AX34" s="12">
        <f t="shared" si="28"/>
        <v>0</v>
      </c>
      <c r="AY34" s="32">
        <f t="shared" si="29"/>
        <v>0</v>
      </c>
      <c r="AZ34" s="12"/>
      <c r="BA34" s="12">
        <f t="shared" si="30"/>
        <v>0</v>
      </c>
      <c r="BB34" s="32">
        <f t="shared" si="31"/>
        <v>0</v>
      </c>
      <c r="BC34" s="12"/>
      <c r="BD34" s="12">
        <f t="shared" si="32"/>
        <v>0</v>
      </c>
      <c r="BE34" s="32">
        <f t="shared" si="33"/>
        <v>0</v>
      </c>
      <c r="BF34" s="12"/>
      <c r="BG34" s="12">
        <f t="shared" si="34"/>
        <v>0</v>
      </c>
      <c r="BH34" s="32">
        <f t="shared" si="35"/>
        <v>0</v>
      </c>
      <c r="BI34" s="12"/>
      <c r="BJ34" s="12">
        <f t="shared" si="36"/>
        <v>0</v>
      </c>
      <c r="BK34" s="32">
        <f t="shared" si="37"/>
        <v>0</v>
      </c>
      <c r="BL34" s="12"/>
      <c r="BM34" s="12">
        <f t="shared" si="38"/>
        <v>0</v>
      </c>
      <c r="BN34" s="32">
        <f t="shared" si="39"/>
        <v>0</v>
      </c>
      <c r="BO34" s="12"/>
      <c r="BP34" s="12">
        <f t="shared" si="40"/>
        <v>0</v>
      </c>
      <c r="BQ34" s="32">
        <f t="shared" si="41"/>
        <v>0</v>
      </c>
      <c r="BR34" s="12"/>
      <c r="BS34" s="12">
        <f t="shared" si="42"/>
        <v>0</v>
      </c>
      <c r="BT34" s="32">
        <f t="shared" si="43"/>
        <v>0</v>
      </c>
      <c r="BU34" s="12"/>
      <c r="BV34" s="12">
        <f t="shared" si="44"/>
        <v>0</v>
      </c>
      <c r="BW34" s="32">
        <f t="shared" si="45"/>
        <v>0</v>
      </c>
      <c r="BX34" s="12"/>
      <c r="BY34" s="12">
        <f t="shared" si="46"/>
        <v>0</v>
      </c>
      <c r="BZ34" s="32">
        <f t="shared" si="47"/>
        <v>0</v>
      </c>
      <c r="CA34" s="12"/>
      <c r="CB34" s="12">
        <f t="shared" si="48"/>
        <v>0</v>
      </c>
      <c r="CC34" s="32">
        <f t="shared" si="49"/>
        <v>0</v>
      </c>
      <c r="CD34" s="12"/>
      <c r="CE34" s="12">
        <f t="shared" si="50"/>
        <v>0</v>
      </c>
      <c r="CF34" s="32">
        <f t="shared" si="51"/>
        <v>0</v>
      </c>
      <c r="CG34" s="12"/>
      <c r="CH34" s="12">
        <f t="shared" si="52"/>
        <v>0</v>
      </c>
      <c r="CI34" s="32">
        <f t="shared" si="53"/>
        <v>0</v>
      </c>
      <c r="CJ34" s="12"/>
      <c r="CK34" s="12">
        <f t="shared" si="54"/>
        <v>0</v>
      </c>
      <c r="CL34" s="32">
        <f t="shared" si="55"/>
        <v>0</v>
      </c>
      <c r="CM34" s="12"/>
      <c r="CN34" s="12">
        <f t="shared" si="56"/>
        <v>0</v>
      </c>
      <c r="CO34" s="32">
        <f t="shared" si="57"/>
        <v>0</v>
      </c>
      <c r="CP34" s="12"/>
      <c r="CQ34" s="12">
        <f t="shared" si="58"/>
        <v>0</v>
      </c>
      <c r="CR34" s="32">
        <f t="shared" si="59"/>
        <v>0</v>
      </c>
      <c r="CS34" s="12"/>
      <c r="CT34" s="12">
        <f t="shared" si="60"/>
        <v>0</v>
      </c>
      <c r="CU34" s="32">
        <f t="shared" si="61"/>
        <v>0</v>
      </c>
      <c r="CV34" s="12"/>
      <c r="CW34" s="12">
        <f t="shared" si="62"/>
        <v>0</v>
      </c>
      <c r="CX34" s="32">
        <f t="shared" si="63"/>
        <v>0</v>
      </c>
      <c r="CY34" s="12"/>
      <c r="CZ34" s="12">
        <f t="shared" si="64"/>
        <v>0</v>
      </c>
      <c r="DA34" s="32">
        <f t="shared" si="65"/>
        <v>0</v>
      </c>
      <c r="DB34" s="12"/>
      <c r="DC34" s="12">
        <f t="shared" si="66"/>
        <v>0</v>
      </c>
      <c r="DD34" s="32">
        <f t="shared" si="67"/>
        <v>0</v>
      </c>
      <c r="DE34" s="12"/>
      <c r="DF34" s="12">
        <f t="shared" si="68"/>
        <v>0</v>
      </c>
      <c r="DG34" s="32">
        <f t="shared" si="69"/>
        <v>0</v>
      </c>
      <c r="DH34" s="12"/>
      <c r="DI34" s="12">
        <f t="shared" si="1"/>
        <v>0</v>
      </c>
      <c r="DJ34" s="32">
        <f t="shared" si="70"/>
        <v>0</v>
      </c>
      <c r="DK34" s="12"/>
      <c r="DL34" s="12">
        <f t="shared" si="71"/>
        <v>0</v>
      </c>
      <c r="DM34" s="32">
        <f t="shared" si="72"/>
        <v>0</v>
      </c>
    </row>
    <row r="35" spans="1:117" s="6" customFormat="1" ht="22.25" customHeight="1" x14ac:dyDescent="0.35">
      <c r="A35" s="4">
        <v>27</v>
      </c>
      <c r="B35" s="4" t="s">
        <v>102</v>
      </c>
      <c r="C35" s="4" t="s">
        <v>103</v>
      </c>
      <c r="D35" s="7">
        <f t="shared" si="2"/>
        <v>5.4374999999999991</v>
      </c>
      <c r="E35" s="7">
        <v>4.3499999999999996</v>
      </c>
      <c r="F35" s="7">
        <v>1</v>
      </c>
      <c r="G35" s="7">
        <v>0.8</v>
      </c>
      <c r="H35" s="7">
        <f t="shared" si="74"/>
        <v>0.81562499999999982</v>
      </c>
      <c r="I35" s="9">
        <f t="shared" si="75"/>
        <v>6.2531249999999989</v>
      </c>
      <c r="J35" s="13"/>
      <c r="K35" s="12">
        <f t="shared" si="73"/>
        <v>0</v>
      </c>
      <c r="L35" s="32">
        <f t="shared" si="3"/>
        <v>0</v>
      </c>
      <c r="M35" s="12"/>
      <c r="N35" s="12">
        <f t="shared" si="4"/>
        <v>0</v>
      </c>
      <c r="O35" s="32">
        <f t="shared" si="5"/>
        <v>0</v>
      </c>
      <c r="P35" s="12"/>
      <c r="Q35" s="12">
        <f t="shared" si="76"/>
        <v>0</v>
      </c>
      <c r="R35" s="32">
        <f t="shared" si="7"/>
        <v>0</v>
      </c>
      <c r="S35" s="12"/>
      <c r="T35" s="12">
        <f t="shared" si="8"/>
        <v>0</v>
      </c>
      <c r="U35" s="32">
        <f t="shared" si="9"/>
        <v>0</v>
      </c>
      <c r="V35" s="12"/>
      <c r="W35" s="12">
        <f t="shared" si="10"/>
        <v>0</v>
      </c>
      <c r="X35" s="32">
        <f t="shared" si="11"/>
        <v>0</v>
      </c>
      <c r="Y35" s="12"/>
      <c r="Z35" s="12">
        <f t="shared" si="12"/>
        <v>0</v>
      </c>
      <c r="AA35" s="32">
        <f t="shared" si="13"/>
        <v>0</v>
      </c>
      <c r="AB35" s="12"/>
      <c r="AC35" s="12">
        <f t="shared" si="14"/>
        <v>0</v>
      </c>
      <c r="AD35" s="32">
        <f t="shared" si="15"/>
        <v>0</v>
      </c>
      <c r="AE35" s="12"/>
      <c r="AF35" s="37">
        <f t="shared" si="16"/>
        <v>0</v>
      </c>
      <c r="AG35" s="14">
        <f t="shared" si="17"/>
        <v>0</v>
      </c>
      <c r="AH35" s="12"/>
      <c r="AI35" s="12">
        <f t="shared" si="18"/>
        <v>0</v>
      </c>
      <c r="AJ35" s="32">
        <f t="shared" si="19"/>
        <v>0</v>
      </c>
      <c r="AK35" s="12"/>
      <c r="AL35" s="12">
        <f t="shared" si="20"/>
        <v>0</v>
      </c>
      <c r="AM35" s="32">
        <f t="shared" si="21"/>
        <v>0</v>
      </c>
      <c r="AN35" s="12"/>
      <c r="AO35" s="12">
        <f t="shared" si="22"/>
        <v>0</v>
      </c>
      <c r="AP35" s="32">
        <f t="shared" si="23"/>
        <v>0</v>
      </c>
      <c r="AQ35" s="12"/>
      <c r="AR35" s="12">
        <f t="shared" si="24"/>
        <v>0</v>
      </c>
      <c r="AS35" s="32">
        <f t="shared" si="25"/>
        <v>0</v>
      </c>
      <c r="AT35" s="12"/>
      <c r="AU35" s="12">
        <f t="shared" si="26"/>
        <v>0</v>
      </c>
      <c r="AV35" s="32">
        <f t="shared" si="27"/>
        <v>0</v>
      </c>
      <c r="AW35" s="12"/>
      <c r="AX35" s="12">
        <f t="shared" si="28"/>
        <v>0</v>
      </c>
      <c r="AY35" s="32">
        <f t="shared" si="29"/>
        <v>0</v>
      </c>
      <c r="AZ35" s="12"/>
      <c r="BA35" s="12">
        <f t="shared" si="30"/>
        <v>0</v>
      </c>
      <c r="BB35" s="32">
        <f t="shared" si="31"/>
        <v>0</v>
      </c>
      <c r="BC35" s="12"/>
      <c r="BD35" s="12">
        <f t="shared" si="32"/>
        <v>0</v>
      </c>
      <c r="BE35" s="32">
        <f t="shared" si="33"/>
        <v>0</v>
      </c>
      <c r="BF35" s="12"/>
      <c r="BG35" s="12">
        <f t="shared" si="34"/>
        <v>0</v>
      </c>
      <c r="BH35" s="32">
        <f t="shared" si="35"/>
        <v>0</v>
      </c>
      <c r="BI35" s="12"/>
      <c r="BJ35" s="12">
        <f t="shared" si="36"/>
        <v>0</v>
      </c>
      <c r="BK35" s="32">
        <f t="shared" si="37"/>
        <v>0</v>
      </c>
      <c r="BL35" s="12"/>
      <c r="BM35" s="12">
        <f t="shared" si="38"/>
        <v>0</v>
      </c>
      <c r="BN35" s="32">
        <f t="shared" si="39"/>
        <v>0</v>
      </c>
      <c r="BO35" s="12"/>
      <c r="BP35" s="12">
        <f t="shared" si="40"/>
        <v>0</v>
      </c>
      <c r="BQ35" s="32">
        <f t="shared" si="41"/>
        <v>0</v>
      </c>
      <c r="BR35" s="12">
        <v>0.2</v>
      </c>
      <c r="BS35" s="12">
        <f t="shared" si="42"/>
        <v>1.0874999999999999</v>
      </c>
      <c r="BT35" s="32">
        <f t="shared" si="43"/>
        <v>0.30024490505602786</v>
      </c>
      <c r="BU35" s="12"/>
      <c r="BV35" s="12">
        <f t="shared" si="44"/>
        <v>0</v>
      </c>
      <c r="BW35" s="32">
        <f t="shared" si="45"/>
        <v>0</v>
      </c>
      <c r="BX35" s="12"/>
      <c r="BY35" s="12">
        <f t="shared" si="46"/>
        <v>0</v>
      </c>
      <c r="BZ35" s="32">
        <f t="shared" si="47"/>
        <v>0</v>
      </c>
      <c r="CA35" s="12"/>
      <c r="CB35" s="12">
        <f t="shared" si="48"/>
        <v>0</v>
      </c>
      <c r="CC35" s="32">
        <f t="shared" si="49"/>
        <v>0</v>
      </c>
      <c r="CD35" s="12"/>
      <c r="CE35" s="12">
        <f t="shared" si="50"/>
        <v>0</v>
      </c>
      <c r="CF35" s="32">
        <f t="shared" si="51"/>
        <v>0</v>
      </c>
      <c r="CG35" s="12"/>
      <c r="CH35" s="12">
        <f t="shared" si="52"/>
        <v>0</v>
      </c>
      <c r="CI35" s="32">
        <f t="shared" si="53"/>
        <v>0</v>
      </c>
      <c r="CJ35" s="12"/>
      <c r="CK35" s="12">
        <f t="shared" si="54"/>
        <v>0</v>
      </c>
      <c r="CL35" s="32">
        <f t="shared" si="55"/>
        <v>0</v>
      </c>
      <c r="CM35" s="12"/>
      <c r="CN35" s="12">
        <f t="shared" si="56"/>
        <v>0</v>
      </c>
      <c r="CO35" s="32">
        <f t="shared" si="57"/>
        <v>0</v>
      </c>
      <c r="CP35" s="12"/>
      <c r="CQ35" s="12">
        <f t="shared" si="58"/>
        <v>0</v>
      </c>
      <c r="CR35" s="32">
        <f t="shared" si="59"/>
        <v>0</v>
      </c>
      <c r="CS35" s="12"/>
      <c r="CT35" s="12">
        <f t="shared" si="60"/>
        <v>0</v>
      </c>
      <c r="CU35" s="32">
        <f t="shared" si="61"/>
        <v>0</v>
      </c>
      <c r="CV35" s="12"/>
      <c r="CW35" s="12">
        <f t="shared" si="62"/>
        <v>0</v>
      </c>
      <c r="CX35" s="32">
        <f t="shared" si="63"/>
        <v>0</v>
      </c>
      <c r="CY35" s="12"/>
      <c r="CZ35" s="12">
        <f t="shared" si="64"/>
        <v>0</v>
      </c>
      <c r="DA35" s="32">
        <f t="shared" si="65"/>
        <v>0</v>
      </c>
      <c r="DB35" s="12"/>
      <c r="DC35" s="12">
        <f t="shared" si="66"/>
        <v>0</v>
      </c>
      <c r="DD35" s="32">
        <f t="shared" si="67"/>
        <v>0</v>
      </c>
      <c r="DE35" s="12"/>
      <c r="DF35" s="12">
        <f t="shared" si="68"/>
        <v>0</v>
      </c>
      <c r="DG35" s="32">
        <f t="shared" si="69"/>
        <v>0</v>
      </c>
      <c r="DH35" s="12"/>
      <c r="DI35" s="12">
        <f t="shared" si="1"/>
        <v>0</v>
      </c>
      <c r="DJ35" s="32">
        <f t="shared" si="70"/>
        <v>0</v>
      </c>
      <c r="DK35" s="12"/>
      <c r="DL35" s="12">
        <f t="shared" si="71"/>
        <v>0</v>
      </c>
      <c r="DM35" s="32">
        <f t="shared" si="72"/>
        <v>0</v>
      </c>
    </row>
    <row r="36" spans="1:117" s="6" customFormat="1" ht="22.25" customHeight="1" x14ac:dyDescent="0.35">
      <c r="A36" s="4">
        <v>28</v>
      </c>
      <c r="B36" s="4" t="s">
        <v>104</v>
      </c>
      <c r="C36" s="4" t="s">
        <v>105</v>
      </c>
      <c r="D36" s="7">
        <f t="shared" si="2"/>
        <v>16.666666666666668</v>
      </c>
      <c r="E36" s="7">
        <v>15</v>
      </c>
      <c r="F36" s="7">
        <v>1</v>
      </c>
      <c r="G36" s="7">
        <v>0.9</v>
      </c>
      <c r="H36" s="7">
        <f t="shared" si="74"/>
        <v>2.5</v>
      </c>
      <c r="I36" s="9">
        <f t="shared" si="75"/>
        <v>19.166666666666668</v>
      </c>
      <c r="J36" s="13"/>
      <c r="K36" s="12">
        <f t="shared" si="73"/>
        <v>0</v>
      </c>
      <c r="L36" s="32">
        <f t="shared" si="3"/>
        <v>0</v>
      </c>
      <c r="M36" s="12"/>
      <c r="N36" s="12">
        <f t="shared" si="4"/>
        <v>0</v>
      </c>
      <c r="O36" s="32">
        <f t="shared" si="5"/>
        <v>0</v>
      </c>
      <c r="P36" s="12"/>
      <c r="Q36" s="12">
        <f t="shared" si="76"/>
        <v>0</v>
      </c>
      <c r="R36" s="32">
        <f t="shared" si="7"/>
        <v>0</v>
      </c>
      <c r="S36" s="12"/>
      <c r="T36" s="12">
        <f t="shared" si="8"/>
        <v>0</v>
      </c>
      <c r="U36" s="32">
        <f t="shared" si="9"/>
        <v>0</v>
      </c>
      <c r="V36" s="12"/>
      <c r="W36" s="12">
        <f t="shared" si="10"/>
        <v>0</v>
      </c>
      <c r="X36" s="32">
        <f t="shared" si="11"/>
        <v>0</v>
      </c>
      <c r="Y36" s="12"/>
      <c r="Z36" s="12">
        <f t="shared" si="12"/>
        <v>0</v>
      </c>
      <c r="AA36" s="32">
        <f t="shared" si="13"/>
        <v>0</v>
      </c>
      <c r="AB36" s="12"/>
      <c r="AC36" s="12">
        <f t="shared" si="14"/>
        <v>0</v>
      </c>
      <c r="AD36" s="32">
        <f t="shared" si="15"/>
        <v>0</v>
      </c>
      <c r="AE36" s="12"/>
      <c r="AF36" s="37">
        <f t="shared" si="16"/>
        <v>0</v>
      </c>
      <c r="AG36" s="14">
        <f t="shared" si="17"/>
        <v>0</v>
      </c>
      <c r="AH36" s="12"/>
      <c r="AI36" s="12">
        <f t="shared" si="18"/>
        <v>0</v>
      </c>
      <c r="AJ36" s="32">
        <f t="shared" si="19"/>
        <v>0</v>
      </c>
      <c r="AK36" s="12"/>
      <c r="AL36" s="12">
        <f t="shared" si="20"/>
        <v>0</v>
      </c>
      <c r="AM36" s="32">
        <f t="shared" si="21"/>
        <v>0</v>
      </c>
      <c r="AN36" s="12"/>
      <c r="AO36" s="12">
        <f t="shared" si="22"/>
        <v>0</v>
      </c>
      <c r="AP36" s="32">
        <f t="shared" si="23"/>
        <v>0</v>
      </c>
      <c r="AQ36" s="12"/>
      <c r="AR36" s="12">
        <f t="shared" si="24"/>
        <v>0</v>
      </c>
      <c r="AS36" s="32">
        <f t="shared" si="25"/>
        <v>0</v>
      </c>
      <c r="AT36" s="12"/>
      <c r="AU36" s="12">
        <f t="shared" si="26"/>
        <v>0</v>
      </c>
      <c r="AV36" s="32">
        <f t="shared" si="27"/>
        <v>0</v>
      </c>
      <c r="AW36" s="12"/>
      <c r="AX36" s="12">
        <f t="shared" si="28"/>
        <v>0</v>
      </c>
      <c r="AY36" s="32">
        <f t="shared" si="29"/>
        <v>0</v>
      </c>
      <c r="AZ36" s="12"/>
      <c r="BA36" s="12">
        <f t="shared" si="30"/>
        <v>0</v>
      </c>
      <c r="BB36" s="32">
        <f t="shared" si="31"/>
        <v>0</v>
      </c>
      <c r="BC36" s="12"/>
      <c r="BD36" s="12">
        <f t="shared" si="32"/>
        <v>0</v>
      </c>
      <c r="BE36" s="32">
        <f t="shared" si="33"/>
        <v>0</v>
      </c>
      <c r="BF36" s="12"/>
      <c r="BG36" s="12">
        <f t="shared" si="34"/>
        <v>0</v>
      </c>
      <c r="BH36" s="32">
        <f t="shared" si="35"/>
        <v>0</v>
      </c>
      <c r="BI36" s="12"/>
      <c r="BJ36" s="12">
        <f t="shared" si="36"/>
        <v>0</v>
      </c>
      <c r="BK36" s="32">
        <f t="shared" si="37"/>
        <v>0</v>
      </c>
      <c r="BL36" s="12"/>
      <c r="BM36" s="12">
        <f t="shared" si="38"/>
        <v>0</v>
      </c>
      <c r="BN36" s="32">
        <f t="shared" si="39"/>
        <v>0</v>
      </c>
      <c r="BO36" s="12"/>
      <c r="BP36" s="12">
        <f t="shared" si="40"/>
        <v>0</v>
      </c>
      <c r="BQ36" s="32">
        <f t="shared" si="41"/>
        <v>0</v>
      </c>
      <c r="BR36" s="12"/>
      <c r="BS36" s="12">
        <f t="shared" si="42"/>
        <v>0</v>
      </c>
      <c r="BT36" s="32">
        <f t="shared" si="43"/>
        <v>0</v>
      </c>
      <c r="BU36" s="12">
        <v>1.25E-3</v>
      </c>
      <c r="BV36" s="12">
        <f t="shared" si="44"/>
        <v>2.0833333333333336E-2</v>
      </c>
      <c r="BW36" s="32">
        <f t="shared" si="45"/>
        <v>6.2146792292377085E-3</v>
      </c>
      <c r="BX36" s="12"/>
      <c r="BY36" s="12">
        <f t="shared" si="46"/>
        <v>0</v>
      </c>
      <c r="BZ36" s="32">
        <f t="shared" si="47"/>
        <v>0</v>
      </c>
      <c r="CA36" s="12"/>
      <c r="CB36" s="12">
        <f t="shared" si="48"/>
        <v>0</v>
      </c>
      <c r="CC36" s="32">
        <f t="shared" si="49"/>
        <v>0</v>
      </c>
      <c r="CD36" s="12"/>
      <c r="CE36" s="12">
        <f t="shared" si="50"/>
        <v>0</v>
      </c>
      <c r="CF36" s="32">
        <f t="shared" si="51"/>
        <v>0</v>
      </c>
      <c r="CG36" s="12">
        <v>5.0000000000000001E-4</v>
      </c>
      <c r="CH36" s="12">
        <f t="shared" si="52"/>
        <v>8.333333333333335E-3</v>
      </c>
      <c r="CI36" s="32">
        <f t="shared" si="53"/>
        <v>4.0622836089106391E-2</v>
      </c>
      <c r="CJ36" s="12"/>
      <c r="CK36" s="12">
        <f t="shared" si="54"/>
        <v>0</v>
      </c>
      <c r="CL36" s="32">
        <f t="shared" si="55"/>
        <v>0</v>
      </c>
      <c r="CM36" s="12"/>
      <c r="CN36" s="12">
        <f t="shared" si="56"/>
        <v>0</v>
      </c>
      <c r="CO36" s="32">
        <f t="shared" si="57"/>
        <v>0</v>
      </c>
      <c r="CP36" s="12"/>
      <c r="CQ36" s="12">
        <f t="shared" si="58"/>
        <v>0</v>
      </c>
      <c r="CR36" s="32">
        <f t="shared" si="59"/>
        <v>0</v>
      </c>
      <c r="CS36" s="12"/>
      <c r="CT36" s="12">
        <f t="shared" si="60"/>
        <v>0</v>
      </c>
      <c r="CU36" s="32">
        <f t="shared" si="61"/>
        <v>0</v>
      </c>
      <c r="CV36" s="12"/>
      <c r="CW36" s="12">
        <f t="shared" si="62"/>
        <v>0</v>
      </c>
      <c r="CX36" s="32">
        <f t="shared" si="63"/>
        <v>0</v>
      </c>
      <c r="CY36" s="12"/>
      <c r="CZ36" s="12">
        <f t="shared" si="64"/>
        <v>0</v>
      </c>
      <c r="DA36" s="32">
        <f t="shared" si="65"/>
        <v>0</v>
      </c>
      <c r="DB36" s="12"/>
      <c r="DC36" s="12">
        <f t="shared" si="66"/>
        <v>0</v>
      </c>
      <c r="DD36" s="32">
        <f t="shared" si="67"/>
        <v>0</v>
      </c>
      <c r="DE36" s="12"/>
      <c r="DF36" s="12">
        <f t="shared" si="68"/>
        <v>0</v>
      </c>
      <c r="DG36" s="32">
        <f t="shared" si="69"/>
        <v>0</v>
      </c>
      <c r="DH36" s="12"/>
      <c r="DI36" s="12">
        <f t="shared" si="1"/>
        <v>0</v>
      </c>
      <c r="DJ36" s="32">
        <f t="shared" si="70"/>
        <v>0</v>
      </c>
      <c r="DK36" s="12"/>
      <c r="DL36" s="12">
        <f t="shared" si="71"/>
        <v>0</v>
      </c>
      <c r="DM36" s="32">
        <f t="shared" si="72"/>
        <v>0</v>
      </c>
    </row>
    <row r="37" spans="1:117" s="6" customFormat="1" ht="22.25" customHeight="1" x14ac:dyDescent="0.35">
      <c r="A37" s="4">
        <v>29</v>
      </c>
      <c r="B37" s="4" t="s">
        <v>106</v>
      </c>
      <c r="C37" s="4" t="s">
        <v>107</v>
      </c>
      <c r="D37" s="7">
        <f t="shared" si="2"/>
        <v>10</v>
      </c>
      <c r="E37" s="7">
        <v>10</v>
      </c>
      <c r="F37" s="7">
        <v>1</v>
      </c>
      <c r="G37" s="7">
        <v>1</v>
      </c>
      <c r="H37" s="7">
        <f t="shared" si="74"/>
        <v>1.5</v>
      </c>
      <c r="I37" s="9">
        <f t="shared" si="75"/>
        <v>11.5</v>
      </c>
      <c r="J37" s="13"/>
      <c r="K37" s="12">
        <f t="shared" si="73"/>
        <v>0</v>
      </c>
      <c r="L37" s="32">
        <f t="shared" si="3"/>
        <v>0</v>
      </c>
      <c r="M37" s="12"/>
      <c r="N37" s="12">
        <f t="shared" si="4"/>
        <v>0</v>
      </c>
      <c r="O37" s="32">
        <f t="shared" si="5"/>
        <v>0</v>
      </c>
      <c r="P37" s="12"/>
      <c r="Q37" s="12">
        <f t="shared" si="76"/>
        <v>0</v>
      </c>
      <c r="R37" s="32">
        <f t="shared" si="7"/>
        <v>0</v>
      </c>
      <c r="S37" s="12"/>
      <c r="T37" s="12">
        <f t="shared" si="8"/>
        <v>0</v>
      </c>
      <c r="U37" s="32">
        <f t="shared" si="9"/>
        <v>0</v>
      </c>
      <c r="V37" s="12"/>
      <c r="W37" s="12">
        <f t="shared" si="10"/>
        <v>0</v>
      </c>
      <c r="X37" s="32">
        <f t="shared" si="11"/>
        <v>0</v>
      </c>
      <c r="Y37" s="12"/>
      <c r="Z37" s="12">
        <f t="shared" si="12"/>
        <v>0</v>
      </c>
      <c r="AA37" s="32">
        <f t="shared" si="13"/>
        <v>0</v>
      </c>
      <c r="AB37" s="12"/>
      <c r="AC37" s="12">
        <f t="shared" si="14"/>
        <v>0</v>
      </c>
      <c r="AD37" s="32">
        <f t="shared" si="15"/>
        <v>0</v>
      </c>
      <c r="AE37" s="12">
        <v>0.05</v>
      </c>
      <c r="AF37" s="37">
        <f t="shared" si="16"/>
        <v>0.5</v>
      </c>
      <c r="AG37" s="14">
        <f t="shared" si="17"/>
        <v>0.17377825338141858</v>
      </c>
      <c r="AH37" s="12"/>
      <c r="AI37" s="12">
        <f t="shared" si="18"/>
        <v>0</v>
      </c>
      <c r="AJ37" s="32">
        <f t="shared" si="19"/>
        <v>0</v>
      </c>
      <c r="AK37" s="12"/>
      <c r="AL37" s="12">
        <f t="shared" si="20"/>
        <v>0</v>
      </c>
      <c r="AM37" s="32">
        <f t="shared" si="21"/>
        <v>0</v>
      </c>
      <c r="AN37" s="12"/>
      <c r="AO37" s="12">
        <f t="shared" si="22"/>
        <v>0</v>
      </c>
      <c r="AP37" s="32">
        <f t="shared" si="23"/>
        <v>0</v>
      </c>
      <c r="AQ37" s="12"/>
      <c r="AR37" s="12">
        <f t="shared" si="24"/>
        <v>0</v>
      </c>
      <c r="AS37" s="32">
        <f t="shared" si="25"/>
        <v>0</v>
      </c>
      <c r="AT37" s="12"/>
      <c r="AU37" s="12">
        <f t="shared" si="26"/>
        <v>0</v>
      </c>
      <c r="AV37" s="32">
        <f t="shared" si="27"/>
        <v>0</v>
      </c>
      <c r="AW37" s="12"/>
      <c r="AX37" s="12">
        <f t="shared" si="28"/>
        <v>0</v>
      </c>
      <c r="AY37" s="32">
        <f t="shared" si="29"/>
        <v>0</v>
      </c>
      <c r="AZ37" s="12"/>
      <c r="BA37" s="12">
        <f t="shared" si="30"/>
        <v>0</v>
      </c>
      <c r="BB37" s="32">
        <f t="shared" si="31"/>
        <v>0</v>
      </c>
      <c r="BC37" s="12"/>
      <c r="BD37" s="12">
        <f t="shared" si="32"/>
        <v>0</v>
      </c>
      <c r="BE37" s="32">
        <f t="shared" si="33"/>
        <v>0</v>
      </c>
      <c r="BF37" s="12"/>
      <c r="BG37" s="12">
        <f t="shared" si="34"/>
        <v>0</v>
      </c>
      <c r="BH37" s="32">
        <f t="shared" si="35"/>
        <v>0</v>
      </c>
      <c r="BI37" s="12"/>
      <c r="BJ37" s="12">
        <f t="shared" si="36"/>
        <v>0</v>
      </c>
      <c r="BK37" s="32">
        <f t="shared" si="37"/>
        <v>0</v>
      </c>
      <c r="BL37" s="12"/>
      <c r="BM37" s="12">
        <f t="shared" si="38"/>
        <v>0</v>
      </c>
      <c r="BN37" s="32">
        <f t="shared" si="39"/>
        <v>0</v>
      </c>
      <c r="BO37" s="12"/>
      <c r="BP37" s="12">
        <f t="shared" si="40"/>
        <v>0</v>
      </c>
      <c r="BQ37" s="32">
        <f t="shared" si="41"/>
        <v>0</v>
      </c>
      <c r="BR37" s="12"/>
      <c r="BS37" s="12">
        <f t="shared" si="42"/>
        <v>0</v>
      </c>
      <c r="BT37" s="32">
        <f t="shared" si="43"/>
        <v>0</v>
      </c>
      <c r="BU37" s="12"/>
      <c r="BV37" s="12">
        <f t="shared" si="44"/>
        <v>0</v>
      </c>
      <c r="BW37" s="32">
        <f t="shared" si="45"/>
        <v>0</v>
      </c>
      <c r="BX37" s="12"/>
      <c r="BY37" s="12">
        <f t="shared" si="46"/>
        <v>0</v>
      </c>
      <c r="BZ37" s="32">
        <f t="shared" si="47"/>
        <v>0</v>
      </c>
      <c r="CA37" s="12"/>
      <c r="CB37" s="12">
        <f t="shared" si="48"/>
        <v>0</v>
      </c>
      <c r="CC37" s="32">
        <f t="shared" si="49"/>
        <v>0</v>
      </c>
      <c r="CD37" s="12"/>
      <c r="CE37" s="12">
        <f t="shared" si="50"/>
        <v>0</v>
      </c>
      <c r="CF37" s="32">
        <f t="shared" si="51"/>
        <v>0</v>
      </c>
      <c r="CG37" s="12"/>
      <c r="CH37" s="12">
        <f t="shared" si="52"/>
        <v>0</v>
      </c>
      <c r="CI37" s="32">
        <f t="shared" si="53"/>
        <v>0</v>
      </c>
      <c r="CJ37" s="12"/>
      <c r="CK37" s="12">
        <f t="shared" si="54"/>
        <v>0</v>
      </c>
      <c r="CL37" s="32">
        <f t="shared" si="55"/>
        <v>0</v>
      </c>
      <c r="CM37" s="12"/>
      <c r="CN37" s="12">
        <f t="shared" si="56"/>
        <v>0</v>
      </c>
      <c r="CO37" s="32">
        <f t="shared" si="57"/>
        <v>0</v>
      </c>
      <c r="CP37" s="12"/>
      <c r="CQ37" s="12">
        <f t="shared" si="58"/>
        <v>0</v>
      </c>
      <c r="CR37" s="32">
        <f t="shared" si="59"/>
        <v>0</v>
      </c>
      <c r="CS37" s="12"/>
      <c r="CT37" s="12">
        <f t="shared" si="60"/>
        <v>0</v>
      </c>
      <c r="CU37" s="32">
        <f t="shared" si="61"/>
        <v>0</v>
      </c>
      <c r="CV37" s="12"/>
      <c r="CW37" s="12">
        <f t="shared" si="62"/>
        <v>0</v>
      </c>
      <c r="CX37" s="32">
        <f t="shared" si="63"/>
        <v>0</v>
      </c>
      <c r="CY37" s="12"/>
      <c r="CZ37" s="12">
        <f t="shared" si="64"/>
        <v>0</v>
      </c>
      <c r="DA37" s="32">
        <f t="shared" si="65"/>
        <v>0</v>
      </c>
      <c r="DB37" s="12"/>
      <c r="DC37" s="12">
        <f t="shared" si="66"/>
        <v>0</v>
      </c>
      <c r="DD37" s="32">
        <f t="shared" si="67"/>
        <v>0</v>
      </c>
      <c r="DE37" s="12"/>
      <c r="DF37" s="12">
        <f t="shared" si="68"/>
        <v>0</v>
      </c>
      <c r="DG37" s="32">
        <f t="shared" si="69"/>
        <v>0</v>
      </c>
      <c r="DH37" s="12"/>
      <c r="DI37" s="12">
        <f t="shared" si="1"/>
        <v>0</v>
      </c>
      <c r="DJ37" s="32">
        <f t="shared" si="70"/>
        <v>0</v>
      </c>
      <c r="DK37" s="12"/>
      <c r="DL37" s="12">
        <f t="shared" si="71"/>
        <v>0</v>
      </c>
      <c r="DM37" s="32">
        <f t="shared" si="72"/>
        <v>0</v>
      </c>
    </row>
    <row r="38" spans="1:117" s="6" customFormat="1" ht="22.25" customHeight="1" x14ac:dyDescent="0.35">
      <c r="A38" s="4">
        <v>30</v>
      </c>
      <c r="B38" s="4" t="s">
        <v>108</v>
      </c>
      <c r="C38" s="4" t="s">
        <v>109</v>
      </c>
      <c r="D38" s="7">
        <f t="shared" si="2"/>
        <v>1.6666666666666667</v>
      </c>
      <c r="E38" s="7">
        <f>10/6</f>
        <v>1.6666666666666667</v>
      </c>
      <c r="F38" s="7">
        <v>1</v>
      </c>
      <c r="G38" s="7">
        <v>1</v>
      </c>
      <c r="H38" s="7">
        <f t="shared" si="74"/>
        <v>0.25</v>
      </c>
      <c r="I38" s="9">
        <f t="shared" si="75"/>
        <v>1.9166666666666667</v>
      </c>
      <c r="J38" s="13"/>
      <c r="K38" s="12">
        <f t="shared" si="73"/>
        <v>0</v>
      </c>
      <c r="L38" s="32">
        <f t="shared" si="3"/>
        <v>0</v>
      </c>
      <c r="M38" s="12"/>
      <c r="N38" s="12">
        <f t="shared" si="4"/>
        <v>0</v>
      </c>
      <c r="O38" s="32">
        <f t="shared" si="5"/>
        <v>0</v>
      </c>
      <c r="P38" s="12"/>
      <c r="Q38" s="12">
        <f t="shared" si="76"/>
        <v>0</v>
      </c>
      <c r="R38" s="32">
        <f t="shared" si="7"/>
        <v>0</v>
      </c>
      <c r="S38" s="12"/>
      <c r="T38" s="12">
        <f t="shared" si="8"/>
        <v>0</v>
      </c>
      <c r="U38" s="32">
        <f t="shared" si="9"/>
        <v>0</v>
      </c>
      <c r="V38" s="12"/>
      <c r="W38" s="12">
        <f t="shared" si="10"/>
        <v>0</v>
      </c>
      <c r="X38" s="32">
        <f t="shared" si="11"/>
        <v>0</v>
      </c>
      <c r="Y38" s="12"/>
      <c r="Z38" s="12">
        <f t="shared" si="12"/>
        <v>0</v>
      </c>
      <c r="AA38" s="32">
        <f t="shared" si="13"/>
        <v>0</v>
      </c>
      <c r="AB38" s="12"/>
      <c r="AC38" s="12">
        <f t="shared" si="14"/>
        <v>0</v>
      </c>
      <c r="AD38" s="32">
        <f t="shared" si="15"/>
        <v>0</v>
      </c>
      <c r="AE38" s="12"/>
      <c r="AF38" s="37">
        <f t="shared" si="16"/>
        <v>0</v>
      </c>
      <c r="AG38" s="14">
        <f t="shared" si="17"/>
        <v>0</v>
      </c>
      <c r="AH38" s="12">
        <v>6.0000000000000001E-3</v>
      </c>
      <c r="AI38" s="12">
        <f t="shared" si="18"/>
        <v>0.01</v>
      </c>
      <c r="AJ38" s="32">
        <f t="shared" si="19"/>
        <v>8.7913355386553885E-3</v>
      </c>
      <c r="AK38" s="12"/>
      <c r="AL38" s="12">
        <f t="shared" si="20"/>
        <v>0</v>
      </c>
      <c r="AM38" s="32">
        <f t="shared" si="21"/>
        <v>0</v>
      </c>
      <c r="AN38" s="12"/>
      <c r="AO38" s="12">
        <f t="shared" si="22"/>
        <v>0</v>
      </c>
      <c r="AP38" s="32">
        <f t="shared" si="23"/>
        <v>0</v>
      </c>
      <c r="AQ38" s="12"/>
      <c r="AR38" s="12">
        <f t="shared" si="24"/>
        <v>0</v>
      </c>
      <c r="AS38" s="32">
        <f t="shared" si="25"/>
        <v>0</v>
      </c>
      <c r="AT38" s="12"/>
      <c r="AU38" s="12">
        <f t="shared" si="26"/>
        <v>0</v>
      </c>
      <c r="AV38" s="32">
        <f t="shared" si="27"/>
        <v>0</v>
      </c>
      <c r="AW38" s="12"/>
      <c r="AX38" s="12">
        <f t="shared" si="28"/>
        <v>0</v>
      </c>
      <c r="AY38" s="32">
        <f t="shared" si="29"/>
        <v>0</v>
      </c>
      <c r="AZ38" s="12"/>
      <c r="BA38" s="12">
        <f t="shared" si="30"/>
        <v>0</v>
      </c>
      <c r="BB38" s="32">
        <f t="shared" si="31"/>
        <v>0</v>
      </c>
      <c r="BC38" s="12"/>
      <c r="BD38" s="12">
        <f t="shared" si="32"/>
        <v>0</v>
      </c>
      <c r="BE38" s="32">
        <f t="shared" si="33"/>
        <v>0</v>
      </c>
      <c r="BF38" s="12"/>
      <c r="BG38" s="12">
        <f t="shared" si="34"/>
        <v>0</v>
      </c>
      <c r="BH38" s="32">
        <f t="shared" si="35"/>
        <v>0</v>
      </c>
      <c r="BI38" s="12"/>
      <c r="BJ38" s="12">
        <f t="shared" si="36"/>
        <v>0</v>
      </c>
      <c r="BK38" s="32">
        <f t="shared" si="37"/>
        <v>0</v>
      </c>
      <c r="BL38" s="12"/>
      <c r="BM38" s="12">
        <f t="shared" si="38"/>
        <v>0</v>
      </c>
      <c r="BN38" s="32">
        <f t="shared" si="39"/>
        <v>0</v>
      </c>
      <c r="BO38" s="12"/>
      <c r="BP38" s="12">
        <f t="shared" si="40"/>
        <v>0</v>
      </c>
      <c r="BQ38" s="32">
        <f t="shared" si="41"/>
        <v>0</v>
      </c>
      <c r="BR38" s="12"/>
      <c r="BS38" s="12">
        <f t="shared" si="42"/>
        <v>0</v>
      </c>
      <c r="BT38" s="32">
        <f t="shared" si="43"/>
        <v>0</v>
      </c>
      <c r="BU38" s="12"/>
      <c r="BV38" s="12">
        <f t="shared" si="44"/>
        <v>0</v>
      </c>
      <c r="BW38" s="32">
        <f t="shared" si="45"/>
        <v>0</v>
      </c>
      <c r="BX38" s="12"/>
      <c r="BY38" s="12">
        <f t="shared" si="46"/>
        <v>0</v>
      </c>
      <c r="BZ38" s="32">
        <f t="shared" si="47"/>
        <v>0</v>
      </c>
      <c r="CA38" s="12"/>
      <c r="CB38" s="12">
        <f t="shared" si="48"/>
        <v>0</v>
      </c>
      <c r="CC38" s="32">
        <f t="shared" si="49"/>
        <v>0</v>
      </c>
      <c r="CD38" s="12"/>
      <c r="CE38" s="12">
        <f t="shared" si="50"/>
        <v>0</v>
      </c>
      <c r="CF38" s="32">
        <f t="shared" si="51"/>
        <v>0</v>
      </c>
      <c r="CG38" s="12"/>
      <c r="CH38" s="12">
        <f t="shared" si="52"/>
        <v>0</v>
      </c>
      <c r="CI38" s="32">
        <f t="shared" si="53"/>
        <v>0</v>
      </c>
      <c r="CJ38" s="12"/>
      <c r="CK38" s="12">
        <f t="shared" si="54"/>
        <v>0</v>
      </c>
      <c r="CL38" s="32">
        <f t="shared" si="55"/>
        <v>0</v>
      </c>
      <c r="CM38" s="12"/>
      <c r="CN38" s="12">
        <f t="shared" si="56"/>
        <v>0</v>
      </c>
      <c r="CO38" s="32">
        <f t="shared" si="57"/>
        <v>0</v>
      </c>
      <c r="CP38" s="12"/>
      <c r="CQ38" s="12">
        <f t="shared" si="58"/>
        <v>0</v>
      </c>
      <c r="CR38" s="32">
        <f t="shared" si="59"/>
        <v>0</v>
      </c>
      <c r="CS38" s="12"/>
      <c r="CT38" s="12">
        <f t="shared" si="60"/>
        <v>0</v>
      </c>
      <c r="CU38" s="32">
        <f t="shared" si="61"/>
        <v>0</v>
      </c>
      <c r="CV38" s="12"/>
      <c r="CW38" s="12">
        <f t="shared" si="62"/>
        <v>0</v>
      </c>
      <c r="CX38" s="32">
        <f t="shared" si="63"/>
        <v>0</v>
      </c>
      <c r="CY38" s="12"/>
      <c r="CZ38" s="12">
        <f t="shared" si="64"/>
        <v>0</v>
      </c>
      <c r="DA38" s="32">
        <f t="shared" si="65"/>
        <v>0</v>
      </c>
      <c r="DB38" s="12"/>
      <c r="DC38" s="12">
        <f t="shared" si="66"/>
        <v>0</v>
      </c>
      <c r="DD38" s="32">
        <f t="shared" si="67"/>
        <v>0</v>
      </c>
      <c r="DE38" s="12"/>
      <c r="DF38" s="12">
        <f t="shared" si="68"/>
        <v>0</v>
      </c>
      <c r="DG38" s="32">
        <f t="shared" si="69"/>
        <v>0</v>
      </c>
      <c r="DH38" s="12">
        <f>0.5/15</f>
        <v>3.3333333333333333E-2</v>
      </c>
      <c r="DI38" s="12">
        <f t="shared" si="1"/>
        <v>5.5555555555555559E-2</v>
      </c>
      <c r="DJ38" s="32">
        <f t="shared" si="70"/>
        <v>0.3275450012689472</v>
      </c>
      <c r="DK38" s="12"/>
      <c r="DL38" s="12">
        <f t="shared" si="71"/>
        <v>0</v>
      </c>
      <c r="DM38" s="32">
        <f t="shared" si="72"/>
        <v>0</v>
      </c>
    </row>
    <row r="39" spans="1:117" s="6" customFormat="1" ht="22.25" customHeight="1" x14ac:dyDescent="0.35">
      <c r="A39" s="4">
        <v>31</v>
      </c>
      <c r="B39" s="4" t="s">
        <v>110</v>
      </c>
      <c r="C39" s="4" t="s">
        <v>111</v>
      </c>
      <c r="D39" s="7">
        <f t="shared" si="2"/>
        <v>1.5789473684210527</v>
      </c>
      <c r="E39" s="7">
        <f>15/10</f>
        <v>1.5</v>
      </c>
      <c r="F39" s="7">
        <v>1</v>
      </c>
      <c r="G39" s="7">
        <v>0.95</v>
      </c>
      <c r="H39" s="7">
        <f t="shared" si="74"/>
        <v>0.23684210526315788</v>
      </c>
      <c r="I39" s="9">
        <f t="shared" si="75"/>
        <v>1.8157894736842106</v>
      </c>
      <c r="J39" s="13"/>
      <c r="K39" s="12">
        <f t="shared" si="73"/>
        <v>0</v>
      </c>
      <c r="L39" s="32">
        <f t="shared" si="3"/>
        <v>0</v>
      </c>
      <c r="M39" s="12"/>
      <c r="N39" s="12">
        <f t="shared" si="4"/>
        <v>0</v>
      </c>
      <c r="O39" s="32">
        <f t="shared" si="5"/>
        <v>0</v>
      </c>
      <c r="P39" s="12"/>
      <c r="Q39" s="12">
        <f t="shared" si="76"/>
        <v>0</v>
      </c>
      <c r="R39" s="32">
        <f t="shared" si="7"/>
        <v>0</v>
      </c>
      <c r="S39" s="12"/>
      <c r="T39" s="12">
        <f t="shared" si="8"/>
        <v>0</v>
      </c>
      <c r="U39" s="32">
        <f t="shared" si="9"/>
        <v>0</v>
      </c>
      <c r="V39" s="12"/>
      <c r="W39" s="12">
        <f t="shared" si="10"/>
        <v>0</v>
      </c>
      <c r="X39" s="32">
        <f t="shared" si="11"/>
        <v>0</v>
      </c>
      <c r="Y39" s="12"/>
      <c r="Z39" s="12">
        <f t="shared" si="12"/>
        <v>0</v>
      </c>
      <c r="AA39" s="32">
        <f t="shared" si="13"/>
        <v>0</v>
      </c>
      <c r="AB39" s="12"/>
      <c r="AC39" s="12">
        <f t="shared" si="14"/>
        <v>0</v>
      </c>
      <c r="AD39" s="32">
        <f t="shared" si="15"/>
        <v>0</v>
      </c>
      <c r="AE39" s="12">
        <v>0.05</v>
      </c>
      <c r="AF39" s="37">
        <f t="shared" si="16"/>
        <v>7.8947368421052641E-2</v>
      </c>
      <c r="AG39" s="14">
        <f t="shared" si="17"/>
        <v>2.743867158653978E-2</v>
      </c>
      <c r="AH39" s="12"/>
      <c r="AI39" s="12">
        <f t="shared" si="18"/>
        <v>0</v>
      </c>
      <c r="AJ39" s="32">
        <f t="shared" si="19"/>
        <v>0</v>
      </c>
      <c r="AK39" s="12"/>
      <c r="AL39" s="12">
        <f t="shared" si="20"/>
        <v>0</v>
      </c>
      <c r="AM39" s="32">
        <f t="shared" si="21"/>
        <v>0</v>
      </c>
      <c r="AN39" s="12"/>
      <c r="AO39" s="12">
        <f t="shared" si="22"/>
        <v>0</v>
      </c>
      <c r="AP39" s="32">
        <f t="shared" si="23"/>
        <v>0</v>
      </c>
      <c r="AQ39" s="12"/>
      <c r="AR39" s="12">
        <f t="shared" si="24"/>
        <v>0</v>
      </c>
      <c r="AS39" s="32">
        <f t="shared" si="25"/>
        <v>0</v>
      </c>
      <c r="AT39" s="12"/>
      <c r="AU39" s="12">
        <f t="shared" si="26"/>
        <v>0</v>
      </c>
      <c r="AV39" s="32">
        <f t="shared" si="27"/>
        <v>0</v>
      </c>
      <c r="AW39" s="12"/>
      <c r="AX39" s="12">
        <f t="shared" si="28"/>
        <v>0</v>
      </c>
      <c r="AY39" s="32">
        <f t="shared" si="29"/>
        <v>0</v>
      </c>
      <c r="AZ39" s="12"/>
      <c r="BA39" s="12">
        <f t="shared" si="30"/>
        <v>0</v>
      </c>
      <c r="BB39" s="32">
        <f t="shared" si="31"/>
        <v>0</v>
      </c>
      <c r="BC39" s="12"/>
      <c r="BD39" s="12">
        <f t="shared" si="32"/>
        <v>0</v>
      </c>
      <c r="BE39" s="32">
        <f t="shared" si="33"/>
        <v>0</v>
      </c>
      <c r="BF39" s="12"/>
      <c r="BG39" s="12">
        <f t="shared" si="34"/>
        <v>0</v>
      </c>
      <c r="BH39" s="32">
        <f t="shared" si="35"/>
        <v>0</v>
      </c>
      <c r="BI39" s="12"/>
      <c r="BJ39" s="12">
        <f t="shared" si="36"/>
        <v>0</v>
      </c>
      <c r="BK39" s="32">
        <f t="shared" si="37"/>
        <v>0</v>
      </c>
      <c r="BL39" s="12"/>
      <c r="BM39" s="12">
        <f t="shared" si="38"/>
        <v>0</v>
      </c>
      <c r="BN39" s="32">
        <f t="shared" si="39"/>
        <v>0</v>
      </c>
      <c r="BO39" s="12"/>
      <c r="BP39" s="12">
        <f t="shared" si="40"/>
        <v>0</v>
      </c>
      <c r="BQ39" s="32">
        <f t="shared" si="41"/>
        <v>0</v>
      </c>
      <c r="BR39" s="12"/>
      <c r="BS39" s="12">
        <f t="shared" si="42"/>
        <v>0</v>
      </c>
      <c r="BT39" s="32">
        <f t="shared" si="43"/>
        <v>0</v>
      </c>
      <c r="BU39" s="12"/>
      <c r="BV39" s="12">
        <f t="shared" si="44"/>
        <v>0</v>
      </c>
      <c r="BW39" s="32">
        <f t="shared" si="45"/>
        <v>0</v>
      </c>
      <c r="BX39" s="12"/>
      <c r="BY39" s="12">
        <f t="shared" si="46"/>
        <v>0</v>
      </c>
      <c r="BZ39" s="32">
        <f t="shared" si="47"/>
        <v>0</v>
      </c>
      <c r="CA39" s="12"/>
      <c r="CB39" s="12">
        <f t="shared" si="48"/>
        <v>0</v>
      </c>
      <c r="CC39" s="32">
        <f t="shared" si="49"/>
        <v>0</v>
      </c>
      <c r="CD39" s="12"/>
      <c r="CE39" s="12">
        <f t="shared" si="50"/>
        <v>0</v>
      </c>
      <c r="CF39" s="32">
        <f t="shared" si="51"/>
        <v>0</v>
      </c>
      <c r="CG39" s="12"/>
      <c r="CH39" s="12">
        <f t="shared" si="52"/>
        <v>0</v>
      </c>
      <c r="CI39" s="32">
        <f t="shared" si="53"/>
        <v>0</v>
      </c>
      <c r="CJ39" s="12"/>
      <c r="CK39" s="12">
        <f t="shared" si="54"/>
        <v>0</v>
      </c>
      <c r="CL39" s="32">
        <f t="shared" si="55"/>
        <v>0</v>
      </c>
      <c r="CM39" s="12"/>
      <c r="CN39" s="12">
        <f t="shared" si="56"/>
        <v>0</v>
      </c>
      <c r="CO39" s="32">
        <f t="shared" si="57"/>
        <v>0</v>
      </c>
      <c r="CP39" s="12"/>
      <c r="CQ39" s="12">
        <f t="shared" si="58"/>
        <v>0</v>
      </c>
      <c r="CR39" s="32">
        <f t="shared" si="59"/>
        <v>0</v>
      </c>
      <c r="CS39" s="12"/>
      <c r="CT39" s="12">
        <f t="shared" si="60"/>
        <v>0</v>
      </c>
      <c r="CU39" s="32">
        <f t="shared" si="61"/>
        <v>0</v>
      </c>
      <c r="CV39" s="12"/>
      <c r="CW39" s="12">
        <f t="shared" si="62"/>
        <v>0</v>
      </c>
      <c r="CX39" s="32">
        <f t="shared" si="63"/>
        <v>0</v>
      </c>
      <c r="CY39" s="12"/>
      <c r="CZ39" s="12">
        <f t="shared" si="64"/>
        <v>0</v>
      </c>
      <c r="DA39" s="32">
        <f t="shared" si="65"/>
        <v>0</v>
      </c>
      <c r="DB39" s="12"/>
      <c r="DC39" s="12">
        <f t="shared" si="66"/>
        <v>0</v>
      </c>
      <c r="DD39" s="32">
        <f t="shared" si="67"/>
        <v>0</v>
      </c>
      <c r="DE39" s="12"/>
      <c r="DF39" s="12">
        <f t="shared" si="68"/>
        <v>0</v>
      </c>
      <c r="DG39" s="32">
        <f t="shared" si="69"/>
        <v>0</v>
      </c>
      <c r="DH39" s="12"/>
      <c r="DI39" s="12">
        <f t="shared" si="1"/>
        <v>0</v>
      </c>
      <c r="DJ39" s="32">
        <f t="shared" si="70"/>
        <v>0</v>
      </c>
      <c r="DK39" s="12"/>
      <c r="DL39" s="12">
        <f t="shared" si="71"/>
        <v>0</v>
      </c>
      <c r="DM39" s="32">
        <f t="shared" si="72"/>
        <v>0</v>
      </c>
    </row>
    <row r="40" spans="1:117" s="6" customFormat="1" ht="22.25" customHeight="1" x14ac:dyDescent="0.35">
      <c r="A40" s="4">
        <v>32</v>
      </c>
      <c r="B40" s="4" t="s">
        <v>112</v>
      </c>
      <c r="C40" s="4" t="s">
        <v>113</v>
      </c>
      <c r="D40" s="7">
        <f t="shared" si="2"/>
        <v>1.8115942028985508</v>
      </c>
      <c r="E40" s="7">
        <f>10/6</f>
        <v>1.6666666666666667</v>
      </c>
      <c r="F40" s="7">
        <v>1</v>
      </c>
      <c r="G40" s="7">
        <v>0.92</v>
      </c>
      <c r="H40" s="7">
        <f t="shared" si="74"/>
        <v>0.27173913043478259</v>
      </c>
      <c r="I40" s="9">
        <f t="shared" si="75"/>
        <v>2.0833333333333335</v>
      </c>
      <c r="J40" s="13"/>
      <c r="K40" s="12">
        <f t="shared" si="73"/>
        <v>0</v>
      </c>
      <c r="L40" s="32">
        <f t="shared" si="3"/>
        <v>0</v>
      </c>
      <c r="M40" s="12"/>
      <c r="N40" s="12">
        <f t="shared" si="4"/>
        <v>0</v>
      </c>
      <c r="O40" s="32">
        <f t="shared" si="5"/>
        <v>0</v>
      </c>
      <c r="P40" s="12"/>
      <c r="Q40" s="12">
        <f t="shared" si="76"/>
        <v>0</v>
      </c>
      <c r="R40" s="32">
        <f t="shared" si="7"/>
        <v>0</v>
      </c>
      <c r="S40" s="12"/>
      <c r="T40" s="12">
        <f t="shared" si="8"/>
        <v>0</v>
      </c>
      <c r="U40" s="32">
        <f t="shared" si="9"/>
        <v>0</v>
      </c>
      <c r="V40" s="12"/>
      <c r="W40" s="12">
        <f t="shared" si="10"/>
        <v>0</v>
      </c>
      <c r="X40" s="32">
        <f t="shared" si="11"/>
        <v>0</v>
      </c>
      <c r="Y40" s="12"/>
      <c r="Z40" s="12">
        <f t="shared" si="12"/>
        <v>0</v>
      </c>
      <c r="AA40" s="32">
        <f t="shared" si="13"/>
        <v>0</v>
      </c>
      <c r="AB40" s="12"/>
      <c r="AC40" s="12">
        <f t="shared" si="14"/>
        <v>0</v>
      </c>
      <c r="AD40" s="32">
        <f t="shared" si="15"/>
        <v>0</v>
      </c>
      <c r="AE40" s="12">
        <v>0.01</v>
      </c>
      <c r="AF40" s="37">
        <f t="shared" si="16"/>
        <v>1.8115942028985508E-2</v>
      </c>
      <c r="AG40" s="14">
        <f t="shared" si="17"/>
        <v>6.2963135283122676E-3</v>
      </c>
      <c r="AH40" s="12">
        <v>0.1</v>
      </c>
      <c r="AI40" s="12">
        <f t="shared" si="18"/>
        <v>0.1811594202898551</v>
      </c>
      <c r="AJ40" s="32">
        <f t="shared" si="19"/>
        <v>0.15926332497564114</v>
      </c>
      <c r="AK40" s="12"/>
      <c r="AL40" s="12">
        <f t="shared" si="20"/>
        <v>0</v>
      </c>
      <c r="AM40" s="32">
        <f t="shared" si="21"/>
        <v>0</v>
      </c>
      <c r="AN40" s="12"/>
      <c r="AO40" s="12">
        <f t="shared" si="22"/>
        <v>0</v>
      </c>
      <c r="AP40" s="32">
        <f t="shared" si="23"/>
        <v>0</v>
      </c>
      <c r="AQ40" s="12"/>
      <c r="AR40" s="12">
        <f t="shared" si="24"/>
        <v>0</v>
      </c>
      <c r="AS40" s="32">
        <f t="shared" si="25"/>
        <v>0</v>
      </c>
      <c r="AT40" s="12"/>
      <c r="AU40" s="12">
        <f t="shared" si="26"/>
        <v>0</v>
      </c>
      <c r="AV40" s="32">
        <f t="shared" si="27"/>
        <v>0</v>
      </c>
      <c r="AW40" s="12"/>
      <c r="AX40" s="12">
        <f t="shared" si="28"/>
        <v>0</v>
      </c>
      <c r="AY40" s="32">
        <f t="shared" si="29"/>
        <v>0</v>
      </c>
      <c r="AZ40" s="12"/>
      <c r="BA40" s="12">
        <f t="shared" si="30"/>
        <v>0</v>
      </c>
      <c r="BB40" s="32">
        <f t="shared" si="31"/>
        <v>0</v>
      </c>
      <c r="BC40" s="12"/>
      <c r="BD40" s="12">
        <f t="shared" si="32"/>
        <v>0</v>
      </c>
      <c r="BE40" s="32">
        <f t="shared" si="33"/>
        <v>0</v>
      </c>
      <c r="BF40" s="12"/>
      <c r="BG40" s="12">
        <f t="shared" si="34"/>
        <v>0</v>
      </c>
      <c r="BH40" s="32">
        <f t="shared" si="35"/>
        <v>0</v>
      </c>
      <c r="BI40" s="12"/>
      <c r="BJ40" s="12">
        <f t="shared" si="36"/>
        <v>0</v>
      </c>
      <c r="BK40" s="32">
        <f t="shared" si="37"/>
        <v>0</v>
      </c>
      <c r="BL40" s="12"/>
      <c r="BM40" s="12">
        <f t="shared" si="38"/>
        <v>0</v>
      </c>
      <c r="BN40" s="32">
        <f t="shared" si="39"/>
        <v>0</v>
      </c>
      <c r="BO40" s="12"/>
      <c r="BP40" s="12">
        <f t="shared" si="40"/>
        <v>0</v>
      </c>
      <c r="BQ40" s="32">
        <f t="shared" si="41"/>
        <v>0</v>
      </c>
      <c r="BR40" s="12"/>
      <c r="BS40" s="12">
        <f t="shared" si="42"/>
        <v>0</v>
      </c>
      <c r="BT40" s="32">
        <f t="shared" si="43"/>
        <v>0</v>
      </c>
      <c r="BU40" s="12"/>
      <c r="BV40" s="12">
        <f t="shared" si="44"/>
        <v>0</v>
      </c>
      <c r="BW40" s="32">
        <f t="shared" si="45"/>
        <v>0</v>
      </c>
      <c r="BX40" s="12"/>
      <c r="BY40" s="12">
        <f t="shared" si="46"/>
        <v>0</v>
      </c>
      <c r="BZ40" s="32">
        <f t="shared" si="47"/>
        <v>0</v>
      </c>
      <c r="CA40" s="12"/>
      <c r="CB40" s="12">
        <f t="shared" si="48"/>
        <v>0</v>
      </c>
      <c r="CC40" s="32">
        <f t="shared" si="49"/>
        <v>0</v>
      </c>
      <c r="CD40" s="12"/>
      <c r="CE40" s="12">
        <f t="shared" si="50"/>
        <v>0</v>
      </c>
      <c r="CF40" s="32">
        <f t="shared" si="51"/>
        <v>0</v>
      </c>
      <c r="CG40" s="12"/>
      <c r="CH40" s="12">
        <f t="shared" si="52"/>
        <v>0</v>
      </c>
      <c r="CI40" s="32">
        <f t="shared" si="53"/>
        <v>0</v>
      </c>
      <c r="CJ40" s="12"/>
      <c r="CK40" s="12">
        <f t="shared" si="54"/>
        <v>0</v>
      </c>
      <c r="CL40" s="32">
        <f t="shared" si="55"/>
        <v>0</v>
      </c>
      <c r="CM40" s="12"/>
      <c r="CN40" s="12">
        <f t="shared" si="56"/>
        <v>0</v>
      </c>
      <c r="CO40" s="32">
        <f t="shared" si="57"/>
        <v>0</v>
      </c>
      <c r="CP40" s="12"/>
      <c r="CQ40" s="12">
        <f t="shared" si="58"/>
        <v>0</v>
      </c>
      <c r="CR40" s="32">
        <f t="shared" si="59"/>
        <v>0</v>
      </c>
      <c r="CS40" s="12"/>
      <c r="CT40" s="12">
        <f t="shared" si="60"/>
        <v>0</v>
      </c>
      <c r="CU40" s="32">
        <f t="shared" si="61"/>
        <v>0</v>
      </c>
      <c r="CV40" s="12"/>
      <c r="CW40" s="12">
        <f t="shared" si="62"/>
        <v>0</v>
      </c>
      <c r="CX40" s="32">
        <f t="shared" si="63"/>
        <v>0</v>
      </c>
      <c r="CY40" s="12"/>
      <c r="CZ40" s="12">
        <f t="shared" si="64"/>
        <v>0</v>
      </c>
      <c r="DA40" s="32">
        <f t="shared" si="65"/>
        <v>0</v>
      </c>
      <c r="DB40" s="12"/>
      <c r="DC40" s="12">
        <f t="shared" si="66"/>
        <v>0</v>
      </c>
      <c r="DD40" s="32">
        <f t="shared" si="67"/>
        <v>0</v>
      </c>
      <c r="DE40" s="12"/>
      <c r="DF40" s="12">
        <f t="shared" si="68"/>
        <v>0</v>
      </c>
      <c r="DG40" s="32">
        <f t="shared" si="69"/>
        <v>0</v>
      </c>
      <c r="DH40" s="12"/>
      <c r="DI40" s="12">
        <f t="shared" si="1"/>
        <v>0</v>
      </c>
      <c r="DJ40" s="32">
        <f t="shared" si="70"/>
        <v>0</v>
      </c>
      <c r="DK40" s="12"/>
      <c r="DL40" s="12">
        <f t="shared" si="71"/>
        <v>0</v>
      </c>
      <c r="DM40" s="32">
        <f t="shared" si="72"/>
        <v>0</v>
      </c>
    </row>
    <row r="41" spans="1:117" s="6" customFormat="1" ht="22.25" customHeight="1" x14ac:dyDescent="0.35">
      <c r="A41" s="4">
        <v>33</v>
      </c>
      <c r="B41" s="4" t="s">
        <v>114</v>
      </c>
      <c r="C41" s="4" t="s">
        <v>115</v>
      </c>
      <c r="D41" s="7">
        <f t="shared" si="2"/>
        <v>16</v>
      </c>
      <c r="E41" s="7">
        <v>16</v>
      </c>
      <c r="F41" s="7">
        <v>1</v>
      </c>
      <c r="G41" s="7">
        <v>1</v>
      </c>
      <c r="H41" s="7">
        <f t="shared" si="74"/>
        <v>2.4</v>
      </c>
      <c r="I41" s="9">
        <f t="shared" si="75"/>
        <v>18.399999999999999</v>
      </c>
      <c r="J41" s="13"/>
      <c r="K41" s="12">
        <f t="shared" si="73"/>
        <v>0</v>
      </c>
      <c r="L41" s="32">
        <f t="shared" si="3"/>
        <v>0</v>
      </c>
      <c r="M41" s="12"/>
      <c r="N41" s="12">
        <f t="shared" si="4"/>
        <v>0</v>
      </c>
      <c r="O41" s="32">
        <f t="shared" si="5"/>
        <v>0</v>
      </c>
      <c r="P41" s="12"/>
      <c r="Q41" s="12">
        <f t="shared" si="76"/>
        <v>0</v>
      </c>
      <c r="R41" s="32">
        <f t="shared" si="7"/>
        <v>0</v>
      </c>
      <c r="S41" s="12"/>
      <c r="T41" s="12">
        <f t="shared" si="8"/>
        <v>0</v>
      </c>
      <c r="U41" s="32">
        <f t="shared" si="9"/>
        <v>0</v>
      </c>
      <c r="V41" s="12"/>
      <c r="W41" s="12">
        <f t="shared" si="10"/>
        <v>0</v>
      </c>
      <c r="X41" s="32">
        <f t="shared" si="11"/>
        <v>0</v>
      </c>
      <c r="Y41" s="12"/>
      <c r="Z41" s="12">
        <f t="shared" si="12"/>
        <v>0</v>
      </c>
      <c r="AA41" s="32">
        <f t="shared" si="13"/>
        <v>0</v>
      </c>
      <c r="AB41" s="12"/>
      <c r="AC41" s="12">
        <f t="shared" si="14"/>
        <v>0</v>
      </c>
      <c r="AD41" s="32">
        <f t="shared" si="15"/>
        <v>0</v>
      </c>
      <c r="AE41" s="12"/>
      <c r="AF41" s="37">
        <f t="shared" si="16"/>
        <v>0</v>
      </c>
      <c r="AG41" s="14">
        <f t="shared" si="17"/>
        <v>0</v>
      </c>
      <c r="AH41" s="12"/>
      <c r="AI41" s="12">
        <f t="shared" si="18"/>
        <v>0</v>
      </c>
      <c r="AJ41" s="32">
        <f t="shared" si="19"/>
        <v>0</v>
      </c>
      <c r="AK41" s="12"/>
      <c r="AL41" s="12">
        <f t="shared" si="20"/>
        <v>0</v>
      </c>
      <c r="AM41" s="32">
        <f t="shared" si="21"/>
        <v>0</v>
      </c>
      <c r="AN41" s="12"/>
      <c r="AO41" s="12">
        <f t="shared" si="22"/>
        <v>0</v>
      </c>
      <c r="AP41" s="32">
        <f t="shared" si="23"/>
        <v>0</v>
      </c>
      <c r="AQ41" s="12"/>
      <c r="AR41" s="12">
        <f t="shared" si="24"/>
        <v>0</v>
      </c>
      <c r="AS41" s="32">
        <f t="shared" si="25"/>
        <v>0</v>
      </c>
      <c r="AT41" s="12"/>
      <c r="AU41" s="12">
        <f t="shared" si="26"/>
        <v>0</v>
      </c>
      <c r="AV41" s="32">
        <f t="shared" si="27"/>
        <v>0</v>
      </c>
      <c r="AW41" s="12"/>
      <c r="AX41" s="12">
        <f t="shared" si="28"/>
        <v>0</v>
      </c>
      <c r="AY41" s="32">
        <f t="shared" si="29"/>
        <v>0</v>
      </c>
      <c r="AZ41" s="12"/>
      <c r="BA41" s="12">
        <f t="shared" si="30"/>
        <v>0</v>
      </c>
      <c r="BB41" s="32">
        <f t="shared" si="31"/>
        <v>0</v>
      </c>
      <c r="BC41" s="12"/>
      <c r="BD41" s="12">
        <f t="shared" si="32"/>
        <v>0</v>
      </c>
      <c r="BE41" s="32">
        <f t="shared" si="33"/>
        <v>0</v>
      </c>
      <c r="BF41" s="12"/>
      <c r="BG41" s="12">
        <f t="shared" si="34"/>
        <v>0</v>
      </c>
      <c r="BH41" s="32">
        <f t="shared" si="35"/>
        <v>0</v>
      </c>
      <c r="BI41" s="12">
        <v>1E-3</v>
      </c>
      <c r="BJ41" s="12">
        <f t="shared" si="36"/>
        <v>1.6E-2</v>
      </c>
      <c r="BK41" s="32">
        <f t="shared" si="37"/>
        <v>4.6435466262840204E-3</v>
      </c>
      <c r="BL41" s="12"/>
      <c r="BM41" s="12">
        <f t="shared" si="38"/>
        <v>0</v>
      </c>
      <c r="BN41" s="32">
        <f t="shared" si="39"/>
        <v>0</v>
      </c>
      <c r="BO41" s="12"/>
      <c r="BP41" s="12">
        <f t="shared" si="40"/>
        <v>0</v>
      </c>
      <c r="BQ41" s="32">
        <f t="shared" si="41"/>
        <v>0</v>
      </c>
      <c r="BR41" s="12"/>
      <c r="BS41" s="12">
        <f t="shared" si="42"/>
        <v>0</v>
      </c>
      <c r="BT41" s="32">
        <f t="shared" si="43"/>
        <v>0</v>
      </c>
      <c r="BU41" s="12"/>
      <c r="BV41" s="12">
        <f t="shared" si="44"/>
        <v>0</v>
      </c>
      <c r="BW41" s="32">
        <f t="shared" si="45"/>
        <v>0</v>
      </c>
      <c r="BX41" s="12"/>
      <c r="BY41" s="12">
        <f t="shared" si="46"/>
        <v>0</v>
      </c>
      <c r="BZ41" s="32">
        <f t="shared" si="47"/>
        <v>0</v>
      </c>
      <c r="CA41" s="12"/>
      <c r="CB41" s="12">
        <f t="shared" si="48"/>
        <v>0</v>
      </c>
      <c r="CC41" s="32">
        <f t="shared" si="49"/>
        <v>0</v>
      </c>
      <c r="CD41" s="12"/>
      <c r="CE41" s="12">
        <f t="shared" si="50"/>
        <v>0</v>
      </c>
      <c r="CF41" s="32">
        <f t="shared" si="51"/>
        <v>0</v>
      </c>
      <c r="CG41" s="12"/>
      <c r="CH41" s="12">
        <f t="shared" si="52"/>
        <v>0</v>
      </c>
      <c r="CI41" s="32">
        <f t="shared" si="53"/>
        <v>0</v>
      </c>
      <c r="CJ41" s="12"/>
      <c r="CK41" s="12">
        <f t="shared" si="54"/>
        <v>0</v>
      </c>
      <c r="CL41" s="32">
        <f t="shared" si="55"/>
        <v>0</v>
      </c>
      <c r="CM41" s="12"/>
      <c r="CN41" s="12">
        <f t="shared" si="56"/>
        <v>0</v>
      </c>
      <c r="CO41" s="32">
        <f t="shared" si="57"/>
        <v>0</v>
      </c>
      <c r="CP41" s="12"/>
      <c r="CQ41" s="12">
        <f t="shared" si="58"/>
        <v>0</v>
      </c>
      <c r="CR41" s="32">
        <f t="shared" si="59"/>
        <v>0</v>
      </c>
      <c r="CS41" s="12"/>
      <c r="CT41" s="12">
        <f t="shared" si="60"/>
        <v>0</v>
      </c>
      <c r="CU41" s="32">
        <f t="shared" si="61"/>
        <v>0</v>
      </c>
      <c r="CV41" s="12"/>
      <c r="CW41" s="12">
        <f t="shared" si="62"/>
        <v>0</v>
      </c>
      <c r="CX41" s="32">
        <f t="shared" si="63"/>
        <v>0</v>
      </c>
      <c r="CY41" s="12"/>
      <c r="CZ41" s="12">
        <f t="shared" si="64"/>
        <v>0</v>
      </c>
      <c r="DA41" s="32">
        <f t="shared" si="65"/>
        <v>0</v>
      </c>
      <c r="DB41" s="12"/>
      <c r="DC41" s="12">
        <f t="shared" si="66"/>
        <v>0</v>
      </c>
      <c r="DD41" s="32">
        <f t="shared" si="67"/>
        <v>0</v>
      </c>
      <c r="DE41" s="12"/>
      <c r="DF41" s="12">
        <f t="shared" si="68"/>
        <v>0</v>
      </c>
      <c r="DG41" s="32">
        <f t="shared" si="69"/>
        <v>0</v>
      </c>
      <c r="DH41" s="12"/>
      <c r="DI41" s="12">
        <f t="shared" si="1"/>
        <v>0</v>
      </c>
      <c r="DJ41" s="32">
        <f t="shared" si="70"/>
        <v>0</v>
      </c>
      <c r="DK41" s="12"/>
      <c r="DL41" s="12">
        <f t="shared" si="71"/>
        <v>0</v>
      </c>
      <c r="DM41" s="32">
        <f t="shared" si="72"/>
        <v>0</v>
      </c>
    </row>
    <row r="42" spans="1:117" s="6" customFormat="1" ht="22.25" customHeight="1" x14ac:dyDescent="0.35">
      <c r="A42" s="4">
        <v>34</v>
      </c>
      <c r="B42" s="4" t="s">
        <v>116</v>
      </c>
      <c r="C42" s="4" t="s">
        <v>117</v>
      </c>
      <c r="D42" s="7">
        <f t="shared" si="2"/>
        <v>16</v>
      </c>
      <c r="E42" s="7">
        <v>16</v>
      </c>
      <c r="F42" s="7">
        <v>1</v>
      </c>
      <c r="G42" s="7">
        <v>1</v>
      </c>
      <c r="H42" s="7">
        <f t="shared" si="74"/>
        <v>2.4</v>
      </c>
      <c r="I42" s="9">
        <f t="shared" si="75"/>
        <v>18.399999999999999</v>
      </c>
      <c r="J42" s="13"/>
      <c r="K42" s="12">
        <f t="shared" si="73"/>
        <v>0</v>
      </c>
      <c r="L42" s="32">
        <f t="shared" si="3"/>
        <v>0</v>
      </c>
      <c r="M42" s="12"/>
      <c r="N42" s="12">
        <f t="shared" si="4"/>
        <v>0</v>
      </c>
      <c r="O42" s="32">
        <f t="shared" si="5"/>
        <v>0</v>
      </c>
      <c r="P42" s="12"/>
      <c r="Q42" s="12">
        <f t="shared" si="76"/>
        <v>0</v>
      </c>
      <c r="R42" s="32">
        <f t="shared" si="7"/>
        <v>0</v>
      </c>
      <c r="S42" s="12"/>
      <c r="T42" s="12">
        <f t="shared" si="8"/>
        <v>0</v>
      </c>
      <c r="U42" s="32">
        <f t="shared" si="9"/>
        <v>0</v>
      </c>
      <c r="V42" s="12"/>
      <c r="W42" s="12">
        <f t="shared" si="10"/>
        <v>0</v>
      </c>
      <c r="X42" s="32">
        <f t="shared" si="11"/>
        <v>0</v>
      </c>
      <c r="Y42" s="12"/>
      <c r="Z42" s="12">
        <f t="shared" si="12"/>
        <v>0</v>
      </c>
      <c r="AA42" s="32">
        <f t="shared" si="13"/>
        <v>0</v>
      </c>
      <c r="AB42" s="12"/>
      <c r="AC42" s="12">
        <f t="shared" si="14"/>
        <v>0</v>
      </c>
      <c r="AD42" s="32">
        <f t="shared" si="15"/>
        <v>0</v>
      </c>
      <c r="AE42" s="12"/>
      <c r="AF42" s="37">
        <f t="shared" si="16"/>
        <v>0</v>
      </c>
      <c r="AG42" s="14">
        <f t="shared" si="17"/>
        <v>0</v>
      </c>
      <c r="AH42" s="12"/>
      <c r="AI42" s="12">
        <f t="shared" si="18"/>
        <v>0</v>
      </c>
      <c r="AJ42" s="32">
        <f t="shared" si="19"/>
        <v>0</v>
      </c>
      <c r="AK42" s="12"/>
      <c r="AL42" s="12">
        <f t="shared" si="20"/>
        <v>0</v>
      </c>
      <c r="AM42" s="32">
        <f t="shared" si="21"/>
        <v>0</v>
      </c>
      <c r="AN42" s="12"/>
      <c r="AO42" s="12">
        <f t="shared" si="22"/>
        <v>0</v>
      </c>
      <c r="AP42" s="32">
        <f t="shared" si="23"/>
        <v>0</v>
      </c>
      <c r="AQ42" s="12"/>
      <c r="AR42" s="12">
        <f t="shared" si="24"/>
        <v>0</v>
      </c>
      <c r="AS42" s="32">
        <f t="shared" si="25"/>
        <v>0</v>
      </c>
      <c r="AT42" s="12"/>
      <c r="AU42" s="12">
        <f t="shared" si="26"/>
        <v>0</v>
      </c>
      <c r="AV42" s="32">
        <f t="shared" si="27"/>
        <v>0</v>
      </c>
      <c r="AW42" s="12"/>
      <c r="AX42" s="12">
        <f t="shared" si="28"/>
        <v>0</v>
      </c>
      <c r="AY42" s="32">
        <f t="shared" si="29"/>
        <v>0</v>
      </c>
      <c r="AZ42" s="12"/>
      <c r="BA42" s="12">
        <f t="shared" si="30"/>
        <v>0</v>
      </c>
      <c r="BB42" s="32">
        <f t="shared" si="31"/>
        <v>0</v>
      </c>
      <c r="BC42" s="12"/>
      <c r="BD42" s="12">
        <f t="shared" si="32"/>
        <v>0</v>
      </c>
      <c r="BE42" s="32">
        <f t="shared" si="33"/>
        <v>0</v>
      </c>
      <c r="BF42" s="12"/>
      <c r="BG42" s="12">
        <f t="shared" si="34"/>
        <v>0</v>
      </c>
      <c r="BH42" s="32">
        <f t="shared" si="35"/>
        <v>0</v>
      </c>
      <c r="BI42" s="12"/>
      <c r="BJ42" s="12">
        <f t="shared" si="36"/>
        <v>0</v>
      </c>
      <c r="BK42" s="32">
        <f t="shared" si="37"/>
        <v>0</v>
      </c>
      <c r="BL42" s="12"/>
      <c r="BM42" s="12">
        <f t="shared" si="38"/>
        <v>0</v>
      </c>
      <c r="BN42" s="32">
        <f t="shared" si="39"/>
        <v>0</v>
      </c>
      <c r="BO42" s="12">
        <v>2.0000000000000001E-4</v>
      </c>
      <c r="BP42" s="12">
        <f t="shared" si="40"/>
        <v>3.2000000000000002E-3</v>
      </c>
      <c r="BQ42" s="32">
        <f t="shared" si="41"/>
        <v>1.3929129870166759E-3</v>
      </c>
      <c r="BR42" s="12"/>
      <c r="BS42" s="12">
        <f t="shared" si="42"/>
        <v>0</v>
      </c>
      <c r="BT42" s="32">
        <f t="shared" si="43"/>
        <v>0</v>
      </c>
      <c r="BU42" s="12"/>
      <c r="BV42" s="12">
        <f t="shared" si="44"/>
        <v>0</v>
      </c>
      <c r="BW42" s="32">
        <f t="shared" si="45"/>
        <v>0</v>
      </c>
      <c r="BX42" s="12"/>
      <c r="BY42" s="12">
        <f t="shared" si="46"/>
        <v>0</v>
      </c>
      <c r="BZ42" s="32">
        <f t="shared" si="47"/>
        <v>0</v>
      </c>
      <c r="CA42" s="12"/>
      <c r="CB42" s="12">
        <f t="shared" si="48"/>
        <v>0</v>
      </c>
      <c r="CC42" s="32">
        <f t="shared" si="49"/>
        <v>0</v>
      </c>
      <c r="CD42" s="12"/>
      <c r="CE42" s="12">
        <f t="shared" si="50"/>
        <v>0</v>
      </c>
      <c r="CF42" s="32">
        <f t="shared" si="51"/>
        <v>0</v>
      </c>
      <c r="CG42" s="12"/>
      <c r="CH42" s="12">
        <f t="shared" si="52"/>
        <v>0</v>
      </c>
      <c r="CI42" s="32">
        <f t="shared" si="53"/>
        <v>0</v>
      </c>
      <c r="CJ42" s="12"/>
      <c r="CK42" s="12">
        <f t="shared" si="54"/>
        <v>0</v>
      </c>
      <c r="CL42" s="32">
        <f t="shared" si="55"/>
        <v>0</v>
      </c>
      <c r="CM42" s="12"/>
      <c r="CN42" s="12">
        <f t="shared" si="56"/>
        <v>0</v>
      </c>
      <c r="CO42" s="32">
        <f t="shared" si="57"/>
        <v>0</v>
      </c>
      <c r="CP42" s="12"/>
      <c r="CQ42" s="12">
        <f t="shared" si="58"/>
        <v>0</v>
      </c>
      <c r="CR42" s="32">
        <f t="shared" si="59"/>
        <v>0</v>
      </c>
      <c r="CS42" s="12"/>
      <c r="CT42" s="12">
        <f t="shared" si="60"/>
        <v>0</v>
      </c>
      <c r="CU42" s="32">
        <f t="shared" si="61"/>
        <v>0</v>
      </c>
      <c r="CV42" s="12"/>
      <c r="CW42" s="12">
        <f t="shared" si="62"/>
        <v>0</v>
      </c>
      <c r="CX42" s="32">
        <f t="shared" si="63"/>
        <v>0</v>
      </c>
      <c r="CY42" s="12"/>
      <c r="CZ42" s="12">
        <f t="shared" si="64"/>
        <v>0</v>
      </c>
      <c r="DA42" s="32">
        <f t="shared" si="65"/>
        <v>0</v>
      </c>
      <c r="DB42" s="12"/>
      <c r="DC42" s="12">
        <f t="shared" si="66"/>
        <v>0</v>
      </c>
      <c r="DD42" s="32">
        <f t="shared" si="67"/>
        <v>0</v>
      </c>
      <c r="DE42" s="12"/>
      <c r="DF42" s="12">
        <f t="shared" si="68"/>
        <v>0</v>
      </c>
      <c r="DG42" s="32">
        <f t="shared" si="69"/>
        <v>0</v>
      </c>
      <c r="DH42" s="12"/>
      <c r="DI42" s="12">
        <f t="shared" ref="DI42:DI73" si="77">DH42*D42</f>
        <v>0</v>
      </c>
      <c r="DJ42" s="32">
        <f t="shared" si="70"/>
        <v>0</v>
      </c>
      <c r="DK42" s="12"/>
      <c r="DL42" s="12">
        <f t="shared" si="71"/>
        <v>0</v>
      </c>
      <c r="DM42" s="32">
        <f t="shared" si="72"/>
        <v>0</v>
      </c>
    </row>
    <row r="43" spans="1:117" s="6" customFormat="1" ht="22.25" customHeight="1" x14ac:dyDescent="0.35">
      <c r="A43" s="4">
        <v>35</v>
      </c>
      <c r="B43" s="4" t="s">
        <v>118</v>
      </c>
      <c r="C43" s="4" t="s">
        <v>119</v>
      </c>
      <c r="D43" s="7">
        <f t="shared" si="2"/>
        <v>42</v>
      </c>
      <c r="E43" s="7">
        <v>42</v>
      </c>
      <c r="F43" s="7">
        <v>1</v>
      </c>
      <c r="G43" s="7">
        <v>1</v>
      </c>
      <c r="H43" s="7">
        <f t="shared" si="74"/>
        <v>6.3</v>
      </c>
      <c r="I43" s="9">
        <f t="shared" si="75"/>
        <v>48.3</v>
      </c>
      <c r="J43" s="13"/>
      <c r="K43" s="12">
        <f t="shared" si="73"/>
        <v>0</v>
      </c>
      <c r="L43" s="32">
        <f t="shared" si="3"/>
        <v>0</v>
      </c>
      <c r="M43" s="12"/>
      <c r="N43" s="12">
        <f t="shared" si="4"/>
        <v>0</v>
      </c>
      <c r="O43" s="32">
        <f t="shared" si="5"/>
        <v>0</v>
      </c>
      <c r="P43" s="12"/>
      <c r="Q43" s="12">
        <f t="shared" si="76"/>
        <v>0</v>
      </c>
      <c r="R43" s="32">
        <f t="shared" si="7"/>
        <v>0</v>
      </c>
      <c r="S43" s="12"/>
      <c r="T43" s="12">
        <f t="shared" si="8"/>
        <v>0</v>
      </c>
      <c r="U43" s="32">
        <f t="shared" si="9"/>
        <v>0</v>
      </c>
      <c r="V43" s="12"/>
      <c r="W43" s="12">
        <f t="shared" si="10"/>
        <v>0</v>
      </c>
      <c r="X43" s="32">
        <f t="shared" si="11"/>
        <v>0</v>
      </c>
      <c r="Y43" s="12"/>
      <c r="Z43" s="12">
        <f t="shared" si="12"/>
        <v>0</v>
      </c>
      <c r="AA43" s="32">
        <f t="shared" si="13"/>
        <v>0</v>
      </c>
      <c r="AB43" s="12"/>
      <c r="AC43" s="12">
        <f t="shared" si="14"/>
        <v>0</v>
      </c>
      <c r="AD43" s="32">
        <f t="shared" si="15"/>
        <v>0</v>
      </c>
      <c r="AE43" s="12"/>
      <c r="AF43" s="37">
        <f t="shared" si="16"/>
        <v>0</v>
      </c>
      <c r="AG43" s="14">
        <f t="shared" si="17"/>
        <v>0</v>
      </c>
      <c r="AH43" s="12"/>
      <c r="AI43" s="12">
        <f t="shared" si="18"/>
        <v>0</v>
      </c>
      <c r="AJ43" s="32">
        <f t="shared" si="19"/>
        <v>0</v>
      </c>
      <c r="AK43" s="12"/>
      <c r="AL43" s="12">
        <f t="shared" si="20"/>
        <v>0</v>
      </c>
      <c r="AM43" s="32">
        <f t="shared" si="21"/>
        <v>0</v>
      </c>
      <c r="AN43" s="12"/>
      <c r="AO43" s="12">
        <f t="shared" si="22"/>
        <v>0</v>
      </c>
      <c r="AP43" s="32">
        <f t="shared" si="23"/>
        <v>0</v>
      </c>
      <c r="AQ43" s="12"/>
      <c r="AR43" s="12">
        <f t="shared" si="24"/>
        <v>0</v>
      </c>
      <c r="AS43" s="32">
        <f t="shared" si="25"/>
        <v>0</v>
      </c>
      <c r="AT43" s="12"/>
      <c r="AU43" s="12">
        <f t="shared" si="26"/>
        <v>0</v>
      </c>
      <c r="AV43" s="32">
        <f t="shared" si="27"/>
        <v>0</v>
      </c>
      <c r="AW43" s="12"/>
      <c r="AX43" s="12">
        <f t="shared" si="28"/>
        <v>0</v>
      </c>
      <c r="AY43" s="32">
        <f t="shared" si="29"/>
        <v>0</v>
      </c>
      <c r="AZ43" s="12"/>
      <c r="BA43" s="12">
        <f t="shared" si="30"/>
        <v>0</v>
      </c>
      <c r="BB43" s="32">
        <f t="shared" si="31"/>
        <v>0</v>
      </c>
      <c r="BC43" s="12"/>
      <c r="BD43" s="12">
        <f t="shared" si="32"/>
        <v>0</v>
      </c>
      <c r="BE43" s="32">
        <f t="shared" si="33"/>
        <v>0</v>
      </c>
      <c r="BF43" s="12"/>
      <c r="BG43" s="12">
        <f t="shared" si="34"/>
        <v>0</v>
      </c>
      <c r="BH43" s="32">
        <f t="shared" si="35"/>
        <v>0</v>
      </c>
      <c r="BI43" s="12">
        <v>1E-3</v>
      </c>
      <c r="BJ43" s="12">
        <f t="shared" si="36"/>
        <v>4.2000000000000003E-2</v>
      </c>
      <c r="BK43" s="32">
        <f t="shared" si="37"/>
        <v>1.2189309893995554E-2</v>
      </c>
      <c r="BL43" s="12"/>
      <c r="BM43" s="12">
        <f t="shared" si="38"/>
        <v>0</v>
      </c>
      <c r="BN43" s="32">
        <f t="shared" si="39"/>
        <v>0</v>
      </c>
      <c r="BO43" s="12"/>
      <c r="BP43" s="12">
        <f t="shared" si="40"/>
        <v>0</v>
      </c>
      <c r="BQ43" s="32">
        <f t="shared" si="41"/>
        <v>0</v>
      </c>
      <c r="BR43" s="12"/>
      <c r="BS43" s="12">
        <f t="shared" si="42"/>
        <v>0</v>
      </c>
      <c r="BT43" s="32">
        <f t="shared" si="43"/>
        <v>0</v>
      </c>
      <c r="BU43" s="12"/>
      <c r="BV43" s="12">
        <f t="shared" si="44"/>
        <v>0</v>
      </c>
      <c r="BW43" s="32">
        <f t="shared" si="45"/>
        <v>0</v>
      </c>
      <c r="BX43" s="12"/>
      <c r="BY43" s="12">
        <f t="shared" si="46"/>
        <v>0</v>
      </c>
      <c r="BZ43" s="32">
        <f t="shared" si="47"/>
        <v>0</v>
      </c>
      <c r="CA43" s="12"/>
      <c r="CB43" s="12">
        <f t="shared" si="48"/>
        <v>0</v>
      </c>
      <c r="CC43" s="32">
        <f t="shared" si="49"/>
        <v>0</v>
      </c>
      <c r="CD43" s="12"/>
      <c r="CE43" s="12">
        <f t="shared" si="50"/>
        <v>0</v>
      </c>
      <c r="CF43" s="32">
        <f t="shared" si="51"/>
        <v>0</v>
      </c>
      <c r="CG43" s="12"/>
      <c r="CH43" s="12">
        <f t="shared" si="52"/>
        <v>0</v>
      </c>
      <c r="CI43" s="32">
        <f t="shared" si="53"/>
        <v>0</v>
      </c>
      <c r="CJ43" s="12"/>
      <c r="CK43" s="12">
        <f t="shared" si="54"/>
        <v>0</v>
      </c>
      <c r="CL43" s="32">
        <f t="shared" si="55"/>
        <v>0</v>
      </c>
      <c r="CM43" s="12"/>
      <c r="CN43" s="12">
        <f t="shared" si="56"/>
        <v>0</v>
      </c>
      <c r="CO43" s="32">
        <f t="shared" si="57"/>
        <v>0</v>
      </c>
      <c r="CP43" s="12"/>
      <c r="CQ43" s="12">
        <f t="shared" si="58"/>
        <v>0</v>
      </c>
      <c r="CR43" s="32">
        <f t="shared" si="59"/>
        <v>0</v>
      </c>
      <c r="CS43" s="12"/>
      <c r="CT43" s="12">
        <f t="shared" si="60"/>
        <v>0</v>
      </c>
      <c r="CU43" s="32">
        <f t="shared" si="61"/>
        <v>0</v>
      </c>
      <c r="CV43" s="12"/>
      <c r="CW43" s="12">
        <f t="shared" si="62"/>
        <v>0</v>
      </c>
      <c r="CX43" s="32">
        <f t="shared" si="63"/>
        <v>0</v>
      </c>
      <c r="CY43" s="12"/>
      <c r="CZ43" s="12">
        <f t="shared" si="64"/>
        <v>0</v>
      </c>
      <c r="DA43" s="32">
        <f t="shared" si="65"/>
        <v>0</v>
      </c>
      <c r="DB43" s="12"/>
      <c r="DC43" s="12">
        <f t="shared" si="66"/>
        <v>0</v>
      </c>
      <c r="DD43" s="32">
        <f t="shared" si="67"/>
        <v>0</v>
      </c>
      <c r="DE43" s="12"/>
      <c r="DF43" s="12">
        <f t="shared" si="68"/>
        <v>0</v>
      </c>
      <c r="DG43" s="32">
        <f t="shared" si="69"/>
        <v>0</v>
      </c>
      <c r="DH43" s="12"/>
      <c r="DI43" s="12">
        <f t="shared" si="77"/>
        <v>0</v>
      </c>
      <c r="DJ43" s="32">
        <f t="shared" si="70"/>
        <v>0</v>
      </c>
      <c r="DK43" s="12"/>
      <c r="DL43" s="12">
        <f t="shared" si="71"/>
        <v>0</v>
      </c>
      <c r="DM43" s="32">
        <f t="shared" si="72"/>
        <v>0</v>
      </c>
    </row>
    <row r="44" spans="1:117" s="6" customFormat="1" ht="22.25" customHeight="1" x14ac:dyDescent="0.35">
      <c r="A44" s="4">
        <v>37</v>
      </c>
      <c r="B44" s="4" t="s">
        <v>120</v>
      </c>
      <c r="C44" s="4" t="s">
        <v>121</v>
      </c>
      <c r="D44" s="7">
        <f t="shared" si="2"/>
        <v>1.7543859649122808</v>
      </c>
      <c r="E44" s="7">
        <f>10/6</f>
        <v>1.6666666666666667</v>
      </c>
      <c r="F44" s="7">
        <v>1</v>
      </c>
      <c r="G44" s="7">
        <v>0.95</v>
      </c>
      <c r="H44" s="7">
        <f t="shared" si="74"/>
        <v>0.26315789473684209</v>
      </c>
      <c r="I44" s="9">
        <f t="shared" si="75"/>
        <v>2.0175438596491229</v>
      </c>
      <c r="J44" s="13"/>
      <c r="K44" s="12">
        <f t="shared" si="73"/>
        <v>0</v>
      </c>
      <c r="L44" s="32">
        <f t="shared" si="3"/>
        <v>0</v>
      </c>
      <c r="M44" s="12"/>
      <c r="N44" s="12">
        <f t="shared" si="4"/>
        <v>0</v>
      </c>
      <c r="O44" s="32">
        <f t="shared" si="5"/>
        <v>0</v>
      </c>
      <c r="P44" s="12"/>
      <c r="Q44" s="12">
        <f t="shared" si="76"/>
        <v>0</v>
      </c>
      <c r="R44" s="32">
        <f t="shared" si="7"/>
        <v>0</v>
      </c>
      <c r="S44" s="12"/>
      <c r="T44" s="12">
        <f t="shared" si="8"/>
        <v>0</v>
      </c>
      <c r="U44" s="32">
        <f t="shared" si="9"/>
        <v>0</v>
      </c>
      <c r="V44" s="12"/>
      <c r="W44" s="12">
        <f t="shared" si="10"/>
        <v>0</v>
      </c>
      <c r="X44" s="32">
        <f t="shared" si="11"/>
        <v>0</v>
      </c>
      <c r="Y44" s="12"/>
      <c r="Z44" s="12">
        <f t="shared" si="12"/>
        <v>0</v>
      </c>
      <c r="AA44" s="32">
        <f t="shared" si="13"/>
        <v>0</v>
      </c>
      <c r="AB44" s="12"/>
      <c r="AC44" s="12">
        <f t="shared" si="14"/>
        <v>0</v>
      </c>
      <c r="AD44" s="32">
        <f t="shared" si="15"/>
        <v>0</v>
      </c>
      <c r="AE44" s="12"/>
      <c r="AF44" s="37">
        <f t="shared" si="16"/>
        <v>0</v>
      </c>
      <c r="AG44" s="14">
        <f t="shared" si="17"/>
        <v>0</v>
      </c>
      <c r="AH44" s="12"/>
      <c r="AI44" s="12">
        <f t="shared" si="18"/>
        <v>0</v>
      </c>
      <c r="AJ44" s="32">
        <f t="shared" si="19"/>
        <v>0</v>
      </c>
      <c r="AK44" s="12"/>
      <c r="AL44" s="12">
        <f t="shared" si="20"/>
        <v>0</v>
      </c>
      <c r="AM44" s="32">
        <f t="shared" si="21"/>
        <v>0</v>
      </c>
      <c r="AN44" s="12"/>
      <c r="AO44" s="12">
        <f t="shared" si="22"/>
        <v>0</v>
      </c>
      <c r="AP44" s="32">
        <f t="shared" si="23"/>
        <v>0</v>
      </c>
      <c r="AQ44" s="12"/>
      <c r="AR44" s="12">
        <f t="shared" si="24"/>
        <v>0</v>
      </c>
      <c r="AS44" s="32">
        <f t="shared" si="25"/>
        <v>0</v>
      </c>
      <c r="AT44" s="12"/>
      <c r="AU44" s="12">
        <f t="shared" si="26"/>
        <v>0</v>
      </c>
      <c r="AV44" s="32">
        <f t="shared" si="27"/>
        <v>0</v>
      </c>
      <c r="AW44" s="12"/>
      <c r="AX44" s="12">
        <f t="shared" si="28"/>
        <v>0</v>
      </c>
      <c r="AY44" s="32">
        <f t="shared" si="29"/>
        <v>0</v>
      </c>
      <c r="AZ44" s="12"/>
      <c r="BA44" s="12">
        <f t="shared" si="30"/>
        <v>0</v>
      </c>
      <c r="BB44" s="32">
        <f t="shared" si="31"/>
        <v>0</v>
      </c>
      <c r="BC44" s="12"/>
      <c r="BD44" s="12">
        <f t="shared" si="32"/>
        <v>0</v>
      </c>
      <c r="BE44" s="32">
        <f t="shared" si="33"/>
        <v>0</v>
      </c>
      <c r="BF44" s="12">
        <v>2E-3</v>
      </c>
      <c r="BG44" s="12">
        <f t="shared" si="34"/>
        <v>3.5087719298245619E-3</v>
      </c>
      <c r="BH44" s="32">
        <f t="shared" si="35"/>
        <v>1.149031635635482E-3</v>
      </c>
      <c r="BI44" s="12"/>
      <c r="BJ44" s="12">
        <f t="shared" si="36"/>
        <v>0</v>
      </c>
      <c r="BK44" s="32">
        <f t="shared" si="37"/>
        <v>0</v>
      </c>
      <c r="BL44" s="12"/>
      <c r="BM44" s="12">
        <f t="shared" si="38"/>
        <v>0</v>
      </c>
      <c r="BN44" s="32">
        <f t="shared" si="39"/>
        <v>0</v>
      </c>
      <c r="BO44" s="12"/>
      <c r="BP44" s="12">
        <f t="shared" si="40"/>
        <v>0</v>
      </c>
      <c r="BQ44" s="32">
        <f t="shared" si="41"/>
        <v>0</v>
      </c>
      <c r="BR44" s="12">
        <v>4.0000000000000001E-3</v>
      </c>
      <c r="BS44" s="12">
        <f t="shared" si="42"/>
        <v>7.0175438596491238E-3</v>
      </c>
      <c r="BT44" s="32">
        <f t="shared" si="43"/>
        <v>1.9374545194178049E-3</v>
      </c>
      <c r="BU44" s="12"/>
      <c r="BV44" s="12">
        <f t="shared" si="44"/>
        <v>0</v>
      </c>
      <c r="BW44" s="32">
        <f t="shared" si="45"/>
        <v>0</v>
      </c>
      <c r="BX44" s="12"/>
      <c r="BY44" s="12">
        <f t="shared" si="46"/>
        <v>0</v>
      </c>
      <c r="BZ44" s="32">
        <f t="shared" si="47"/>
        <v>0</v>
      </c>
      <c r="CA44" s="12"/>
      <c r="CB44" s="12">
        <f t="shared" si="48"/>
        <v>0</v>
      </c>
      <c r="CC44" s="32">
        <f t="shared" si="49"/>
        <v>0</v>
      </c>
      <c r="CD44" s="12"/>
      <c r="CE44" s="12">
        <f t="shared" si="50"/>
        <v>0</v>
      </c>
      <c r="CF44" s="32">
        <f t="shared" si="51"/>
        <v>0</v>
      </c>
      <c r="CG44" s="12"/>
      <c r="CH44" s="12">
        <f t="shared" si="52"/>
        <v>0</v>
      </c>
      <c r="CI44" s="32">
        <f t="shared" si="53"/>
        <v>0</v>
      </c>
      <c r="CJ44" s="12"/>
      <c r="CK44" s="12">
        <f t="shared" si="54"/>
        <v>0</v>
      </c>
      <c r="CL44" s="32">
        <f t="shared" si="55"/>
        <v>0</v>
      </c>
      <c r="CM44" s="12"/>
      <c r="CN44" s="12">
        <f t="shared" si="56"/>
        <v>0</v>
      </c>
      <c r="CO44" s="32">
        <f t="shared" si="57"/>
        <v>0</v>
      </c>
      <c r="CP44" s="12"/>
      <c r="CQ44" s="12">
        <f t="shared" si="58"/>
        <v>0</v>
      </c>
      <c r="CR44" s="32">
        <f t="shared" si="59"/>
        <v>0</v>
      </c>
      <c r="CS44" s="12"/>
      <c r="CT44" s="12">
        <f t="shared" si="60"/>
        <v>0</v>
      </c>
      <c r="CU44" s="32">
        <f t="shared" si="61"/>
        <v>0</v>
      </c>
      <c r="CV44" s="12"/>
      <c r="CW44" s="12">
        <f t="shared" si="62"/>
        <v>0</v>
      </c>
      <c r="CX44" s="32">
        <f t="shared" si="63"/>
        <v>0</v>
      </c>
      <c r="CY44" s="12"/>
      <c r="CZ44" s="12">
        <f t="shared" si="64"/>
        <v>0</v>
      </c>
      <c r="DA44" s="32">
        <f t="shared" si="65"/>
        <v>0</v>
      </c>
      <c r="DB44" s="12">
        <v>0.02</v>
      </c>
      <c r="DC44" s="12">
        <f t="shared" si="66"/>
        <v>0</v>
      </c>
      <c r="DD44" s="32">
        <f t="shared" si="67"/>
        <v>0</v>
      </c>
      <c r="DE44" s="12"/>
      <c r="DF44" s="12">
        <f t="shared" si="68"/>
        <v>0</v>
      </c>
      <c r="DG44" s="32">
        <f t="shared" si="69"/>
        <v>0</v>
      </c>
      <c r="DH44" s="12"/>
      <c r="DI44" s="12">
        <f t="shared" si="77"/>
        <v>0</v>
      </c>
      <c r="DJ44" s="32">
        <f t="shared" si="70"/>
        <v>0</v>
      </c>
      <c r="DK44" s="12"/>
      <c r="DL44" s="12">
        <f t="shared" si="71"/>
        <v>0</v>
      </c>
      <c r="DM44" s="32">
        <f t="shared" si="72"/>
        <v>0</v>
      </c>
    </row>
    <row r="45" spans="1:117" s="6" customFormat="1" ht="22.25" customHeight="1" x14ac:dyDescent="0.35">
      <c r="A45" s="4">
        <v>38</v>
      </c>
      <c r="B45" s="4" t="s">
        <v>122</v>
      </c>
      <c r="C45" s="4" t="s">
        <v>123</v>
      </c>
      <c r="D45" s="7">
        <f t="shared" si="2"/>
        <v>9</v>
      </c>
      <c r="E45" s="7">
        <v>9</v>
      </c>
      <c r="F45" s="7">
        <v>1</v>
      </c>
      <c r="G45" s="7">
        <v>1</v>
      </c>
      <c r="H45" s="7">
        <f t="shared" si="74"/>
        <v>1.3499999999999999</v>
      </c>
      <c r="I45" s="9">
        <f t="shared" si="75"/>
        <v>10.35</v>
      </c>
      <c r="J45" s="13"/>
      <c r="K45" s="12">
        <f t="shared" si="73"/>
        <v>0</v>
      </c>
      <c r="L45" s="32">
        <f t="shared" si="3"/>
        <v>0</v>
      </c>
      <c r="M45" s="12"/>
      <c r="N45" s="12">
        <f t="shared" si="4"/>
        <v>0</v>
      </c>
      <c r="O45" s="32">
        <f t="shared" si="5"/>
        <v>0</v>
      </c>
      <c r="P45" s="12"/>
      <c r="Q45" s="12">
        <f t="shared" si="76"/>
        <v>0</v>
      </c>
      <c r="R45" s="32">
        <f t="shared" si="7"/>
        <v>0</v>
      </c>
      <c r="S45" s="12"/>
      <c r="T45" s="12">
        <f t="shared" si="8"/>
        <v>0</v>
      </c>
      <c r="U45" s="32">
        <f t="shared" si="9"/>
        <v>0</v>
      </c>
      <c r="V45" s="12"/>
      <c r="W45" s="12">
        <f t="shared" si="10"/>
        <v>0</v>
      </c>
      <c r="X45" s="32">
        <f t="shared" si="11"/>
        <v>0</v>
      </c>
      <c r="Y45" s="12">
        <v>2E-3</v>
      </c>
      <c r="Z45" s="12">
        <f t="shared" si="12"/>
        <v>1.8000000000000002E-2</v>
      </c>
      <c r="AA45" s="32">
        <f t="shared" si="13"/>
        <v>4.1900985994402585E-3</v>
      </c>
      <c r="AB45" s="12"/>
      <c r="AC45" s="12">
        <f t="shared" si="14"/>
        <v>0</v>
      </c>
      <c r="AD45" s="32">
        <f t="shared" si="15"/>
        <v>0</v>
      </c>
      <c r="AE45" s="12"/>
      <c r="AF45" s="37">
        <f t="shared" si="16"/>
        <v>0</v>
      </c>
      <c r="AG45" s="14">
        <f t="shared" si="17"/>
        <v>0</v>
      </c>
      <c r="AH45" s="12"/>
      <c r="AI45" s="12">
        <f t="shared" si="18"/>
        <v>0</v>
      </c>
      <c r="AJ45" s="32">
        <f t="shared" si="19"/>
        <v>0</v>
      </c>
      <c r="AK45" s="12"/>
      <c r="AL45" s="12">
        <f t="shared" si="20"/>
        <v>0</v>
      </c>
      <c r="AM45" s="32">
        <f t="shared" si="21"/>
        <v>0</v>
      </c>
      <c r="AN45" s="12"/>
      <c r="AO45" s="12">
        <f t="shared" si="22"/>
        <v>0</v>
      </c>
      <c r="AP45" s="32">
        <f t="shared" si="23"/>
        <v>0</v>
      </c>
      <c r="AQ45" s="12"/>
      <c r="AR45" s="12">
        <f t="shared" si="24"/>
        <v>0</v>
      </c>
      <c r="AS45" s="32">
        <f t="shared" si="25"/>
        <v>0</v>
      </c>
      <c r="AT45" s="12">
        <v>6.0000000000000001E-3</v>
      </c>
      <c r="AU45" s="12">
        <f t="shared" si="26"/>
        <v>5.3999999999999999E-2</v>
      </c>
      <c r="AV45" s="32">
        <f t="shared" si="27"/>
        <v>3.9914519728211091E-2</v>
      </c>
      <c r="AW45" s="12"/>
      <c r="AX45" s="12">
        <f t="shared" si="28"/>
        <v>0</v>
      </c>
      <c r="AY45" s="32">
        <f t="shared" si="29"/>
        <v>0</v>
      </c>
      <c r="AZ45" s="12"/>
      <c r="BA45" s="12">
        <f t="shared" si="30"/>
        <v>0</v>
      </c>
      <c r="BB45" s="32">
        <f t="shared" si="31"/>
        <v>0</v>
      </c>
      <c r="BC45" s="12"/>
      <c r="BD45" s="12">
        <f t="shared" si="32"/>
        <v>0</v>
      </c>
      <c r="BE45" s="32">
        <f t="shared" si="33"/>
        <v>0</v>
      </c>
      <c r="BF45" s="12"/>
      <c r="BG45" s="12">
        <f t="shared" si="34"/>
        <v>0</v>
      </c>
      <c r="BH45" s="32">
        <f t="shared" si="35"/>
        <v>0</v>
      </c>
      <c r="BI45" s="12"/>
      <c r="BJ45" s="12">
        <f t="shared" si="36"/>
        <v>0</v>
      </c>
      <c r="BK45" s="32">
        <f t="shared" si="37"/>
        <v>0</v>
      </c>
      <c r="BL45" s="12"/>
      <c r="BM45" s="12">
        <f t="shared" si="38"/>
        <v>0</v>
      </c>
      <c r="BN45" s="32">
        <f t="shared" si="39"/>
        <v>0</v>
      </c>
      <c r="BO45" s="12"/>
      <c r="BP45" s="12">
        <f t="shared" si="40"/>
        <v>0</v>
      </c>
      <c r="BQ45" s="32">
        <f t="shared" si="41"/>
        <v>0</v>
      </c>
      <c r="BR45" s="12"/>
      <c r="BS45" s="12">
        <f t="shared" si="42"/>
        <v>0</v>
      </c>
      <c r="BT45" s="32">
        <f t="shared" si="43"/>
        <v>0</v>
      </c>
      <c r="BU45" s="12">
        <v>1.25E-3</v>
      </c>
      <c r="BV45" s="12">
        <f t="shared" si="44"/>
        <v>1.125E-2</v>
      </c>
      <c r="BW45" s="32">
        <f t="shared" si="45"/>
        <v>3.3559267837883623E-3</v>
      </c>
      <c r="BX45" s="12"/>
      <c r="BY45" s="12">
        <f t="shared" si="46"/>
        <v>0</v>
      </c>
      <c r="BZ45" s="32">
        <f t="shared" si="47"/>
        <v>0</v>
      </c>
      <c r="CA45" s="12"/>
      <c r="CB45" s="12">
        <f t="shared" si="48"/>
        <v>0</v>
      </c>
      <c r="CC45" s="32">
        <f t="shared" si="49"/>
        <v>0</v>
      </c>
      <c r="CD45" s="12"/>
      <c r="CE45" s="12">
        <f t="shared" si="50"/>
        <v>0</v>
      </c>
      <c r="CF45" s="32">
        <f t="shared" si="51"/>
        <v>0</v>
      </c>
      <c r="CG45" s="12"/>
      <c r="CH45" s="12">
        <f t="shared" si="52"/>
        <v>0</v>
      </c>
      <c r="CI45" s="32">
        <f t="shared" si="53"/>
        <v>0</v>
      </c>
      <c r="CJ45" s="12"/>
      <c r="CK45" s="12">
        <f t="shared" si="54"/>
        <v>0</v>
      </c>
      <c r="CL45" s="32">
        <f t="shared" si="55"/>
        <v>0</v>
      </c>
      <c r="CM45" s="12"/>
      <c r="CN45" s="12">
        <f t="shared" si="56"/>
        <v>0</v>
      </c>
      <c r="CO45" s="32">
        <f t="shared" si="57"/>
        <v>0</v>
      </c>
      <c r="CP45" s="12"/>
      <c r="CQ45" s="12">
        <f t="shared" si="58"/>
        <v>0</v>
      </c>
      <c r="CR45" s="32">
        <f t="shared" si="59"/>
        <v>0</v>
      </c>
      <c r="CS45" s="12"/>
      <c r="CT45" s="12">
        <f t="shared" si="60"/>
        <v>0</v>
      </c>
      <c r="CU45" s="32">
        <f t="shared" si="61"/>
        <v>0</v>
      </c>
      <c r="CV45" s="12"/>
      <c r="CW45" s="12">
        <f t="shared" si="62"/>
        <v>0</v>
      </c>
      <c r="CX45" s="32">
        <f t="shared" si="63"/>
        <v>0</v>
      </c>
      <c r="CY45" s="12"/>
      <c r="CZ45" s="12">
        <f t="shared" si="64"/>
        <v>0</v>
      </c>
      <c r="DA45" s="32">
        <f t="shared" si="65"/>
        <v>0</v>
      </c>
      <c r="DB45" s="12"/>
      <c r="DC45" s="12">
        <f t="shared" si="66"/>
        <v>0</v>
      </c>
      <c r="DD45" s="32">
        <f t="shared" si="67"/>
        <v>0</v>
      </c>
      <c r="DE45" s="12"/>
      <c r="DF45" s="12">
        <f t="shared" si="68"/>
        <v>0</v>
      </c>
      <c r="DG45" s="32">
        <f t="shared" si="69"/>
        <v>0</v>
      </c>
      <c r="DH45" s="12"/>
      <c r="DI45" s="12">
        <f t="shared" si="77"/>
        <v>0</v>
      </c>
      <c r="DJ45" s="32">
        <f t="shared" si="70"/>
        <v>0</v>
      </c>
      <c r="DK45" s="12"/>
      <c r="DL45" s="12">
        <f t="shared" si="71"/>
        <v>0</v>
      </c>
      <c r="DM45" s="32">
        <f t="shared" si="72"/>
        <v>0</v>
      </c>
    </row>
    <row r="46" spans="1:117" s="6" customFormat="1" ht="22.25" customHeight="1" x14ac:dyDescent="0.35">
      <c r="A46" s="4">
        <v>39</v>
      </c>
      <c r="B46" s="4" t="s">
        <v>124</v>
      </c>
      <c r="C46" s="4" t="s">
        <v>125</v>
      </c>
      <c r="D46" s="7">
        <f t="shared" si="2"/>
        <v>5.8479532163742691</v>
      </c>
      <c r="E46" s="7">
        <f>100/(6*3)</f>
        <v>5.5555555555555554</v>
      </c>
      <c r="F46" s="7">
        <v>1</v>
      </c>
      <c r="G46" s="7">
        <v>0.95</v>
      </c>
      <c r="H46" s="7">
        <f t="shared" si="74"/>
        <v>0.8771929824561403</v>
      </c>
      <c r="I46" s="9">
        <f t="shared" si="75"/>
        <v>6.7251461988304095</v>
      </c>
      <c r="J46" s="13"/>
      <c r="K46" s="12">
        <f t="shared" si="73"/>
        <v>0</v>
      </c>
      <c r="L46" s="32">
        <f t="shared" si="3"/>
        <v>0</v>
      </c>
      <c r="M46" s="12"/>
      <c r="N46" s="12">
        <f t="shared" si="4"/>
        <v>0</v>
      </c>
      <c r="O46" s="32">
        <f t="shared" si="5"/>
        <v>0</v>
      </c>
      <c r="P46" s="12"/>
      <c r="Q46" s="12">
        <f t="shared" si="76"/>
        <v>0</v>
      </c>
      <c r="R46" s="32">
        <f t="shared" si="7"/>
        <v>0</v>
      </c>
      <c r="S46" s="12"/>
      <c r="T46" s="12">
        <f t="shared" si="8"/>
        <v>0</v>
      </c>
      <c r="U46" s="32">
        <f t="shared" si="9"/>
        <v>0</v>
      </c>
      <c r="V46" s="12"/>
      <c r="W46" s="12">
        <f t="shared" si="10"/>
        <v>0</v>
      </c>
      <c r="X46" s="32">
        <f t="shared" si="11"/>
        <v>0</v>
      </c>
      <c r="Y46" s="12"/>
      <c r="Z46" s="12">
        <f t="shared" si="12"/>
        <v>0</v>
      </c>
      <c r="AA46" s="32">
        <f t="shared" si="13"/>
        <v>0</v>
      </c>
      <c r="AB46" s="12">
        <v>0.01</v>
      </c>
      <c r="AC46" s="12">
        <f t="shared" si="14"/>
        <v>5.8479532163742694E-2</v>
      </c>
      <c r="AD46" s="32">
        <f t="shared" si="15"/>
        <v>1.5852753414301271E-2</v>
      </c>
      <c r="AE46" s="12"/>
      <c r="AF46" s="37">
        <f t="shared" si="16"/>
        <v>0</v>
      </c>
      <c r="AG46" s="14">
        <f t="shared" si="17"/>
        <v>0</v>
      </c>
      <c r="AH46" s="12"/>
      <c r="AI46" s="12">
        <f t="shared" si="18"/>
        <v>0</v>
      </c>
      <c r="AJ46" s="32">
        <f t="shared" si="19"/>
        <v>0</v>
      </c>
      <c r="AK46" s="12"/>
      <c r="AL46" s="12">
        <f t="shared" si="20"/>
        <v>0</v>
      </c>
      <c r="AM46" s="32">
        <f t="shared" si="21"/>
        <v>0</v>
      </c>
      <c r="AN46" s="12"/>
      <c r="AO46" s="12">
        <f t="shared" si="22"/>
        <v>0</v>
      </c>
      <c r="AP46" s="32">
        <f t="shared" si="23"/>
        <v>0</v>
      </c>
      <c r="AQ46" s="12"/>
      <c r="AR46" s="12">
        <f t="shared" si="24"/>
        <v>0</v>
      </c>
      <c r="AS46" s="32">
        <f t="shared" si="25"/>
        <v>0</v>
      </c>
      <c r="AT46" s="12"/>
      <c r="AU46" s="12">
        <f t="shared" si="26"/>
        <v>0</v>
      </c>
      <c r="AV46" s="32">
        <f t="shared" si="27"/>
        <v>0</v>
      </c>
      <c r="AW46" s="12"/>
      <c r="AX46" s="12">
        <f t="shared" si="28"/>
        <v>0</v>
      </c>
      <c r="AY46" s="32">
        <f t="shared" si="29"/>
        <v>0</v>
      </c>
      <c r="AZ46" s="12"/>
      <c r="BA46" s="12">
        <f t="shared" si="30"/>
        <v>0</v>
      </c>
      <c r="BB46" s="32">
        <f t="shared" si="31"/>
        <v>0</v>
      </c>
      <c r="BC46" s="12"/>
      <c r="BD46" s="12">
        <f t="shared" si="32"/>
        <v>0</v>
      </c>
      <c r="BE46" s="32">
        <f t="shared" si="33"/>
        <v>0</v>
      </c>
      <c r="BF46" s="12"/>
      <c r="BG46" s="12">
        <f t="shared" si="34"/>
        <v>0</v>
      </c>
      <c r="BH46" s="32">
        <f t="shared" si="35"/>
        <v>0</v>
      </c>
      <c r="BI46" s="12"/>
      <c r="BJ46" s="12">
        <f t="shared" si="36"/>
        <v>0</v>
      </c>
      <c r="BK46" s="32">
        <f t="shared" si="37"/>
        <v>0</v>
      </c>
      <c r="BL46" s="12"/>
      <c r="BM46" s="12">
        <f t="shared" si="38"/>
        <v>0</v>
      </c>
      <c r="BN46" s="32">
        <f t="shared" si="39"/>
        <v>0</v>
      </c>
      <c r="BO46" s="12"/>
      <c r="BP46" s="12">
        <f t="shared" si="40"/>
        <v>0</v>
      </c>
      <c r="BQ46" s="32">
        <f t="shared" si="41"/>
        <v>0</v>
      </c>
      <c r="BR46" s="12"/>
      <c r="BS46" s="12">
        <f t="shared" si="42"/>
        <v>0</v>
      </c>
      <c r="BT46" s="32">
        <f t="shared" si="43"/>
        <v>0</v>
      </c>
      <c r="BU46" s="12"/>
      <c r="BV46" s="12">
        <f t="shared" si="44"/>
        <v>0</v>
      </c>
      <c r="BW46" s="32">
        <f t="shared" si="45"/>
        <v>0</v>
      </c>
      <c r="BX46" s="12"/>
      <c r="BY46" s="12">
        <f t="shared" si="46"/>
        <v>0</v>
      </c>
      <c r="BZ46" s="32">
        <f t="shared" si="47"/>
        <v>0</v>
      </c>
      <c r="CA46" s="12"/>
      <c r="CB46" s="12">
        <f t="shared" si="48"/>
        <v>0</v>
      </c>
      <c r="CC46" s="32">
        <f t="shared" si="49"/>
        <v>0</v>
      </c>
      <c r="CD46" s="12"/>
      <c r="CE46" s="12">
        <f t="shared" si="50"/>
        <v>0</v>
      </c>
      <c r="CF46" s="32">
        <f t="shared" si="51"/>
        <v>0</v>
      </c>
      <c r="CG46" s="12"/>
      <c r="CH46" s="12">
        <f t="shared" si="52"/>
        <v>0</v>
      </c>
      <c r="CI46" s="32">
        <f t="shared" si="53"/>
        <v>0</v>
      </c>
      <c r="CJ46" s="12"/>
      <c r="CK46" s="12">
        <f t="shared" si="54"/>
        <v>0</v>
      </c>
      <c r="CL46" s="32">
        <f t="shared" si="55"/>
        <v>0</v>
      </c>
      <c r="CM46" s="12"/>
      <c r="CN46" s="12">
        <f t="shared" si="56"/>
        <v>0</v>
      </c>
      <c r="CO46" s="32">
        <f t="shared" si="57"/>
        <v>0</v>
      </c>
      <c r="CP46" s="12"/>
      <c r="CQ46" s="12">
        <f t="shared" si="58"/>
        <v>0</v>
      </c>
      <c r="CR46" s="32">
        <f t="shared" si="59"/>
        <v>0</v>
      </c>
      <c r="CS46" s="12"/>
      <c r="CT46" s="12">
        <f t="shared" si="60"/>
        <v>0</v>
      </c>
      <c r="CU46" s="32">
        <f t="shared" si="61"/>
        <v>0</v>
      </c>
      <c r="CV46" s="12"/>
      <c r="CW46" s="12">
        <f t="shared" si="62"/>
        <v>0</v>
      </c>
      <c r="CX46" s="32">
        <f t="shared" si="63"/>
        <v>0</v>
      </c>
      <c r="CY46" s="12"/>
      <c r="CZ46" s="12">
        <f t="shared" si="64"/>
        <v>0</v>
      </c>
      <c r="DA46" s="32">
        <f t="shared" si="65"/>
        <v>0</v>
      </c>
      <c r="DB46" s="12"/>
      <c r="DC46" s="12">
        <f t="shared" si="66"/>
        <v>0</v>
      </c>
      <c r="DD46" s="32">
        <f t="shared" si="67"/>
        <v>0</v>
      </c>
      <c r="DE46" s="12"/>
      <c r="DF46" s="12">
        <f t="shared" si="68"/>
        <v>0</v>
      </c>
      <c r="DG46" s="32">
        <f t="shared" si="69"/>
        <v>0</v>
      </c>
      <c r="DH46" s="12"/>
      <c r="DI46" s="12">
        <f t="shared" si="77"/>
        <v>0</v>
      </c>
      <c r="DJ46" s="32">
        <f t="shared" si="70"/>
        <v>0</v>
      </c>
      <c r="DK46" s="12"/>
      <c r="DL46" s="12">
        <f t="shared" si="71"/>
        <v>0</v>
      </c>
      <c r="DM46" s="32">
        <f t="shared" si="72"/>
        <v>0</v>
      </c>
    </row>
    <row r="47" spans="1:117" s="6" customFormat="1" ht="22.25" customHeight="1" x14ac:dyDescent="0.35">
      <c r="A47" s="4">
        <v>40</v>
      </c>
      <c r="B47" s="4" t="s">
        <v>126</v>
      </c>
      <c r="C47" s="4" t="s">
        <v>127</v>
      </c>
      <c r="D47" s="7">
        <f t="shared" si="2"/>
        <v>10.823529411764707</v>
      </c>
      <c r="E47" s="7">
        <f>184/17</f>
        <v>10.823529411764707</v>
      </c>
      <c r="F47" s="7">
        <v>1</v>
      </c>
      <c r="G47" s="7">
        <v>1</v>
      </c>
      <c r="H47" s="7">
        <f t="shared" si="74"/>
        <v>1.6235294117647059</v>
      </c>
      <c r="I47" s="9">
        <f t="shared" si="75"/>
        <v>12.447058823529412</v>
      </c>
      <c r="J47" s="13"/>
      <c r="K47" s="12">
        <f t="shared" si="73"/>
        <v>0</v>
      </c>
      <c r="L47" s="32">
        <f t="shared" si="3"/>
        <v>0</v>
      </c>
      <c r="M47" s="12"/>
      <c r="N47" s="12">
        <f t="shared" si="4"/>
        <v>0</v>
      </c>
      <c r="O47" s="32">
        <f t="shared" si="5"/>
        <v>0</v>
      </c>
      <c r="P47" s="12"/>
      <c r="Q47" s="12">
        <f t="shared" si="76"/>
        <v>0</v>
      </c>
      <c r="R47" s="32">
        <f t="shared" si="7"/>
        <v>0</v>
      </c>
      <c r="S47" s="12"/>
      <c r="T47" s="12">
        <f t="shared" si="8"/>
        <v>0</v>
      </c>
      <c r="U47" s="32">
        <f t="shared" si="9"/>
        <v>0</v>
      </c>
      <c r="V47" s="12"/>
      <c r="W47" s="12">
        <f t="shared" si="10"/>
        <v>0</v>
      </c>
      <c r="X47" s="32">
        <f t="shared" si="11"/>
        <v>0</v>
      </c>
      <c r="Y47" s="12"/>
      <c r="Z47" s="12">
        <f t="shared" si="12"/>
        <v>0</v>
      </c>
      <c r="AA47" s="32">
        <f t="shared" si="13"/>
        <v>0</v>
      </c>
      <c r="AB47" s="12"/>
      <c r="AC47" s="12">
        <f t="shared" si="14"/>
        <v>0</v>
      </c>
      <c r="AD47" s="32">
        <f t="shared" si="15"/>
        <v>0</v>
      </c>
      <c r="AE47" s="12"/>
      <c r="AF47" s="37">
        <f t="shared" si="16"/>
        <v>0</v>
      </c>
      <c r="AG47" s="14">
        <f t="shared" si="17"/>
        <v>0</v>
      </c>
      <c r="AH47" s="12"/>
      <c r="AI47" s="12">
        <f t="shared" si="18"/>
        <v>0</v>
      </c>
      <c r="AJ47" s="32">
        <f t="shared" si="19"/>
        <v>0</v>
      </c>
      <c r="AK47" s="12"/>
      <c r="AL47" s="12">
        <f t="shared" si="20"/>
        <v>0</v>
      </c>
      <c r="AM47" s="32">
        <f t="shared" si="21"/>
        <v>0</v>
      </c>
      <c r="AN47" s="12"/>
      <c r="AO47" s="12">
        <f t="shared" si="22"/>
        <v>0</v>
      </c>
      <c r="AP47" s="32">
        <f t="shared" si="23"/>
        <v>0</v>
      </c>
      <c r="AQ47" s="12"/>
      <c r="AR47" s="12">
        <f t="shared" si="24"/>
        <v>0</v>
      </c>
      <c r="AS47" s="32">
        <f t="shared" si="25"/>
        <v>0</v>
      </c>
      <c r="AT47" s="12"/>
      <c r="AU47" s="12">
        <f t="shared" si="26"/>
        <v>0</v>
      </c>
      <c r="AV47" s="32">
        <f t="shared" si="27"/>
        <v>0</v>
      </c>
      <c r="AW47" s="12"/>
      <c r="AX47" s="12">
        <f t="shared" si="28"/>
        <v>0</v>
      </c>
      <c r="AY47" s="32">
        <f t="shared" si="29"/>
        <v>0</v>
      </c>
      <c r="AZ47" s="12"/>
      <c r="BA47" s="12">
        <f t="shared" si="30"/>
        <v>0</v>
      </c>
      <c r="BB47" s="32">
        <f t="shared" si="31"/>
        <v>0</v>
      </c>
      <c r="BC47" s="12"/>
      <c r="BD47" s="12">
        <f t="shared" si="32"/>
        <v>0</v>
      </c>
      <c r="BE47" s="32">
        <f t="shared" si="33"/>
        <v>0</v>
      </c>
      <c r="BF47" s="12"/>
      <c r="BG47" s="12">
        <f t="shared" si="34"/>
        <v>0</v>
      </c>
      <c r="BH47" s="32">
        <f t="shared" si="35"/>
        <v>0</v>
      </c>
      <c r="BI47" s="73">
        <v>7.0000000000000007E-2</v>
      </c>
      <c r="BJ47" s="12">
        <f t="shared" si="36"/>
        <v>0.75764705882352956</v>
      </c>
      <c r="BK47" s="32">
        <f t="shared" si="37"/>
        <v>0.2198855902446257</v>
      </c>
      <c r="BL47" s="12"/>
      <c r="BM47" s="12">
        <f t="shared" si="38"/>
        <v>0</v>
      </c>
      <c r="BN47" s="32">
        <f t="shared" si="39"/>
        <v>0</v>
      </c>
      <c r="BO47" s="12"/>
      <c r="BP47" s="12">
        <f t="shared" si="40"/>
        <v>0</v>
      </c>
      <c r="BQ47" s="32">
        <f t="shared" si="41"/>
        <v>0</v>
      </c>
      <c r="BR47" s="12"/>
      <c r="BS47" s="12">
        <f t="shared" si="42"/>
        <v>0</v>
      </c>
      <c r="BT47" s="32">
        <f t="shared" si="43"/>
        <v>0</v>
      </c>
      <c r="BU47" s="12">
        <v>1.2E-2</v>
      </c>
      <c r="BV47" s="12">
        <f t="shared" si="44"/>
        <v>0.12988235294117648</v>
      </c>
      <c r="BW47" s="32">
        <f t="shared" si="45"/>
        <v>3.8744503731266429E-2</v>
      </c>
      <c r="BX47" s="12"/>
      <c r="BY47" s="12">
        <f t="shared" si="46"/>
        <v>0</v>
      </c>
      <c r="BZ47" s="32">
        <f t="shared" si="47"/>
        <v>0</v>
      </c>
      <c r="CA47" s="12"/>
      <c r="CB47" s="12">
        <f t="shared" si="48"/>
        <v>0</v>
      </c>
      <c r="CC47" s="32">
        <f t="shared" si="49"/>
        <v>0</v>
      </c>
      <c r="CD47" s="12">
        <v>1.4999999999999999E-2</v>
      </c>
      <c r="CE47" s="12">
        <f t="shared" si="50"/>
        <v>0.16235294117647059</v>
      </c>
      <c r="CF47" s="32">
        <f t="shared" si="51"/>
        <v>0.60566178742708121</v>
      </c>
      <c r="CG47" s="12"/>
      <c r="CH47" s="12">
        <f t="shared" si="52"/>
        <v>0</v>
      </c>
      <c r="CI47" s="32">
        <f t="shared" si="53"/>
        <v>0</v>
      </c>
      <c r="CJ47" s="12"/>
      <c r="CK47" s="12">
        <f t="shared" si="54"/>
        <v>0</v>
      </c>
      <c r="CL47" s="32">
        <f t="shared" si="55"/>
        <v>0</v>
      </c>
      <c r="CM47" s="12"/>
      <c r="CN47" s="12">
        <f t="shared" si="56"/>
        <v>0</v>
      </c>
      <c r="CO47" s="32">
        <f t="shared" si="57"/>
        <v>0</v>
      </c>
      <c r="CP47" s="12"/>
      <c r="CQ47" s="12">
        <f t="shared" si="58"/>
        <v>0</v>
      </c>
      <c r="CR47" s="32">
        <f t="shared" si="59"/>
        <v>0</v>
      </c>
      <c r="CS47" s="12"/>
      <c r="CT47" s="12">
        <f t="shared" si="60"/>
        <v>0</v>
      </c>
      <c r="CU47" s="32">
        <f t="shared" si="61"/>
        <v>0</v>
      </c>
      <c r="CV47" s="12"/>
      <c r="CW47" s="12">
        <f t="shared" si="62"/>
        <v>0</v>
      </c>
      <c r="CX47" s="32">
        <f t="shared" si="63"/>
        <v>0</v>
      </c>
      <c r="CY47" s="12"/>
      <c r="CZ47" s="12">
        <f t="shared" si="64"/>
        <v>0</v>
      </c>
      <c r="DA47" s="32">
        <f t="shared" si="65"/>
        <v>0</v>
      </c>
      <c r="DB47" s="12"/>
      <c r="DC47" s="12">
        <f t="shared" si="66"/>
        <v>0</v>
      </c>
      <c r="DD47" s="32">
        <f t="shared" si="67"/>
        <v>0</v>
      </c>
      <c r="DE47" s="12"/>
      <c r="DF47" s="12">
        <f t="shared" si="68"/>
        <v>0</v>
      </c>
      <c r="DG47" s="32">
        <f t="shared" si="69"/>
        <v>0</v>
      </c>
      <c r="DH47" s="12"/>
      <c r="DI47" s="12">
        <f t="shared" si="77"/>
        <v>0</v>
      </c>
      <c r="DJ47" s="32">
        <f t="shared" si="70"/>
        <v>0</v>
      </c>
      <c r="DK47" s="12"/>
      <c r="DL47" s="12">
        <f t="shared" si="71"/>
        <v>0</v>
      </c>
      <c r="DM47" s="32">
        <f t="shared" si="72"/>
        <v>0</v>
      </c>
    </row>
    <row r="48" spans="1:117" s="6" customFormat="1" ht="22.25" customHeight="1" x14ac:dyDescent="0.35">
      <c r="A48" s="4">
        <v>41</v>
      </c>
      <c r="B48" s="4" t="s">
        <v>128</v>
      </c>
      <c r="C48" s="4" t="s">
        <v>129</v>
      </c>
      <c r="D48" s="7">
        <f t="shared" si="2"/>
        <v>2.2456140350877192</v>
      </c>
      <c r="E48" s="7">
        <f>32/15</f>
        <v>2.1333333333333333</v>
      </c>
      <c r="F48" s="7">
        <v>1</v>
      </c>
      <c r="G48" s="7">
        <v>0.95</v>
      </c>
      <c r="H48" s="7">
        <f t="shared" si="74"/>
        <v>0.33684210526315789</v>
      </c>
      <c r="I48" s="9">
        <f t="shared" si="75"/>
        <v>2.5824561403508772</v>
      </c>
      <c r="J48" s="13"/>
      <c r="K48" s="12">
        <f t="shared" si="73"/>
        <v>0</v>
      </c>
      <c r="L48" s="32">
        <f t="shared" si="3"/>
        <v>0</v>
      </c>
      <c r="M48" s="12"/>
      <c r="N48" s="12">
        <f t="shared" si="4"/>
        <v>0</v>
      </c>
      <c r="O48" s="32">
        <f t="shared" si="5"/>
        <v>0</v>
      </c>
      <c r="P48" s="12"/>
      <c r="Q48" s="12">
        <f t="shared" si="76"/>
        <v>0</v>
      </c>
      <c r="R48" s="32">
        <f t="shared" si="7"/>
        <v>0</v>
      </c>
      <c r="S48" s="12"/>
      <c r="T48" s="12">
        <f t="shared" si="8"/>
        <v>0</v>
      </c>
      <c r="U48" s="32">
        <f t="shared" si="9"/>
        <v>0</v>
      </c>
      <c r="V48" s="12"/>
      <c r="W48" s="12">
        <f t="shared" si="10"/>
        <v>0</v>
      </c>
      <c r="X48" s="32">
        <f t="shared" si="11"/>
        <v>0</v>
      </c>
      <c r="Y48" s="12"/>
      <c r="Z48" s="12">
        <f t="shared" si="12"/>
        <v>0</v>
      </c>
      <c r="AA48" s="32">
        <f t="shared" si="13"/>
        <v>0</v>
      </c>
      <c r="AB48" s="12"/>
      <c r="AC48" s="12">
        <f t="shared" si="14"/>
        <v>0</v>
      </c>
      <c r="AD48" s="32">
        <f t="shared" si="15"/>
        <v>0</v>
      </c>
      <c r="AE48" s="12"/>
      <c r="AF48" s="37">
        <f t="shared" si="16"/>
        <v>0</v>
      </c>
      <c r="AG48" s="14">
        <f t="shared" si="17"/>
        <v>0</v>
      </c>
      <c r="AH48" s="12"/>
      <c r="AI48" s="12">
        <f t="shared" si="18"/>
        <v>0</v>
      </c>
      <c r="AJ48" s="32">
        <f t="shared" si="19"/>
        <v>0</v>
      </c>
      <c r="AK48" s="12">
        <v>0.02</v>
      </c>
      <c r="AL48" s="12">
        <f t="shared" si="20"/>
        <v>4.4912280701754383E-2</v>
      </c>
      <c r="AM48" s="32">
        <f t="shared" si="21"/>
        <v>1.8317943840359029E-2</v>
      </c>
      <c r="AN48" s="12"/>
      <c r="AO48" s="12">
        <f t="shared" si="22"/>
        <v>0</v>
      </c>
      <c r="AP48" s="32">
        <f t="shared" si="23"/>
        <v>0</v>
      </c>
      <c r="AQ48" s="12"/>
      <c r="AR48" s="12">
        <f t="shared" si="24"/>
        <v>0</v>
      </c>
      <c r="AS48" s="32">
        <f t="shared" si="25"/>
        <v>0</v>
      </c>
      <c r="AT48" s="12"/>
      <c r="AU48" s="12">
        <f t="shared" si="26"/>
        <v>0</v>
      </c>
      <c r="AV48" s="32">
        <f t="shared" si="27"/>
        <v>0</v>
      </c>
      <c r="AW48" s="12"/>
      <c r="AX48" s="12">
        <f t="shared" si="28"/>
        <v>0</v>
      </c>
      <c r="AY48" s="32">
        <f t="shared" si="29"/>
        <v>0</v>
      </c>
      <c r="AZ48" s="12"/>
      <c r="BA48" s="12">
        <f t="shared" si="30"/>
        <v>0</v>
      </c>
      <c r="BB48" s="32">
        <f t="shared" si="31"/>
        <v>0</v>
      </c>
      <c r="BC48" s="12"/>
      <c r="BD48" s="12">
        <f t="shared" si="32"/>
        <v>0</v>
      </c>
      <c r="BE48" s="32">
        <f t="shared" si="33"/>
        <v>0</v>
      </c>
      <c r="BF48" s="12"/>
      <c r="BG48" s="12">
        <f t="shared" si="34"/>
        <v>0</v>
      </c>
      <c r="BH48" s="32">
        <f t="shared" si="35"/>
        <v>0</v>
      </c>
      <c r="BI48" s="12"/>
      <c r="BJ48" s="12">
        <f t="shared" si="36"/>
        <v>0</v>
      </c>
      <c r="BK48" s="32">
        <f t="shared" si="37"/>
        <v>0</v>
      </c>
      <c r="BL48" s="12"/>
      <c r="BM48" s="12">
        <f t="shared" si="38"/>
        <v>0</v>
      </c>
      <c r="BN48" s="32">
        <f t="shared" si="39"/>
        <v>0</v>
      </c>
      <c r="BO48" s="12"/>
      <c r="BP48" s="12">
        <f t="shared" si="40"/>
        <v>0</v>
      </c>
      <c r="BQ48" s="32">
        <f t="shared" si="41"/>
        <v>0</v>
      </c>
      <c r="BR48" s="12"/>
      <c r="BS48" s="12">
        <f t="shared" si="42"/>
        <v>0</v>
      </c>
      <c r="BT48" s="32">
        <f t="shared" si="43"/>
        <v>0</v>
      </c>
      <c r="BU48" s="12"/>
      <c r="BV48" s="12">
        <f t="shared" si="44"/>
        <v>0</v>
      </c>
      <c r="BW48" s="32">
        <f t="shared" si="45"/>
        <v>0</v>
      </c>
      <c r="BX48" s="12"/>
      <c r="BY48" s="12">
        <f t="shared" si="46"/>
        <v>0</v>
      </c>
      <c r="BZ48" s="32">
        <f t="shared" si="47"/>
        <v>0</v>
      </c>
      <c r="CA48" s="12"/>
      <c r="CB48" s="12">
        <f t="shared" si="48"/>
        <v>0</v>
      </c>
      <c r="CC48" s="32">
        <f t="shared" si="49"/>
        <v>0</v>
      </c>
      <c r="CD48" s="12"/>
      <c r="CE48" s="12">
        <f t="shared" si="50"/>
        <v>0</v>
      </c>
      <c r="CF48" s="32">
        <f t="shared" si="51"/>
        <v>0</v>
      </c>
      <c r="CG48" s="12"/>
      <c r="CH48" s="12">
        <f t="shared" si="52"/>
        <v>0</v>
      </c>
      <c r="CI48" s="32">
        <f t="shared" si="53"/>
        <v>0</v>
      </c>
      <c r="CJ48" s="12"/>
      <c r="CK48" s="12">
        <f t="shared" si="54"/>
        <v>0</v>
      </c>
      <c r="CL48" s="32">
        <f t="shared" si="55"/>
        <v>0</v>
      </c>
      <c r="CM48" s="12"/>
      <c r="CN48" s="12">
        <f t="shared" si="56"/>
        <v>0</v>
      </c>
      <c r="CO48" s="32">
        <f t="shared" si="57"/>
        <v>0</v>
      </c>
      <c r="CP48" s="12"/>
      <c r="CQ48" s="12">
        <f t="shared" si="58"/>
        <v>0</v>
      </c>
      <c r="CR48" s="32">
        <f t="shared" si="59"/>
        <v>0</v>
      </c>
      <c r="CS48" s="12"/>
      <c r="CT48" s="12">
        <f t="shared" si="60"/>
        <v>0</v>
      </c>
      <c r="CU48" s="32">
        <f t="shared" si="61"/>
        <v>0</v>
      </c>
      <c r="CV48" s="12"/>
      <c r="CW48" s="12">
        <f t="shared" si="62"/>
        <v>0</v>
      </c>
      <c r="CX48" s="32">
        <f t="shared" si="63"/>
        <v>0</v>
      </c>
      <c r="CY48" s="12"/>
      <c r="CZ48" s="12">
        <f t="shared" si="64"/>
        <v>0</v>
      </c>
      <c r="DA48" s="32">
        <f t="shared" si="65"/>
        <v>0</v>
      </c>
      <c r="DB48" s="12"/>
      <c r="DC48" s="12">
        <f t="shared" si="66"/>
        <v>0</v>
      </c>
      <c r="DD48" s="32">
        <f t="shared" si="67"/>
        <v>0</v>
      </c>
      <c r="DE48" s="12"/>
      <c r="DF48" s="12">
        <f t="shared" si="68"/>
        <v>0</v>
      </c>
      <c r="DG48" s="32">
        <f t="shared" si="69"/>
        <v>0</v>
      </c>
      <c r="DH48" s="12"/>
      <c r="DI48" s="12">
        <f t="shared" si="77"/>
        <v>0</v>
      </c>
      <c r="DJ48" s="32">
        <f t="shared" si="70"/>
        <v>0</v>
      </c>
      <c r="DK48" s="12"/>
      <c r="DL48" s="12">
        <f t="shared" si="71"/>
        <v>0</v>
      </c>
      <c r="DM48" s="32">
        <f t="shared" si="72"/>
        <v>0</v>
      </c>
    </row>
    <row r="49" spans="1:117" s="6" customFormat="1" ht="22.25" customHeight="1" x14ac:dyDescent="0.35">
      <c r="A49" s="4">
        <v>42</v>
      </c>
      <c r="B49" s="4" t="s">
        <v>130</v>
      </c>
      <c r="C49" s="4" t="s">
        <v>131</v>
      </c>
      <c r="D49" s="7">
        <f t="shared" si="2"/>
        <v>8</v>
      </c>
      <c r="E49" s="7">
        <v>8</v>
      </c>
      <c r="F49" s="7">
        <v>1</v>
      </c>
      <c r="G49" s="7">
        <v>1</v>
      </c>
      <c r="H49" s="7">
        <f t="shared" si="74"/>
        <v>1.2</v>
      </c>
      <c r="I49" s="9">
        <f t="shared" si="75"/>
        <v>9.1999999999999993</v>
      </c>
      <c r="J49" s="13"/>
      <c r="K49" s="12">
        <f t="shared" si="73"/>
        <v>0</v>
      </c>
      <c r="L49" s="32">
        <f t="shared" si="3"/>
        <v>0</v>
      </c>
      <c r="M49" s="12"/>
      <c r="N49" s="12">
        <f t="shared" si="4"/>
        <v>0</v>
      </c>
      <c r="O49" s="32">
        <f t="shared" si="5"/>
        <v>0</v>
      </c>
      <c r="P49" s="12"/>
      <c r="Q49" s="12">
        <f t="shared" si="76"/>
        <v>0</v>
      </c>
      <c r="R49" s="32">
        <f t="shared" si="7"/>
        <v>0</v>
      </c>
      <c r="S49" s="12"/>
      <c r="T49" s="12">
        <f t="shared" si="8"/>
        <v>0</v>
      </c>
      <c r="U49" s="32">
        <f t="shared" si="9"/>
        <v>0</v>
      </c>
      <c r="V49" s="12"/>
      <c r="W49" s="12">
        <f t="shared" si="10"/>
        <v>0</v>
      </c>
      <c r="X49" s="32">
        <f t="shared" si="11"/>
        <v>0</v>
      </c>
      <c r="Y49" s="12"/>
      <c r="Z49" s="12">
        <f t="shared" si="12"/>
        <v>0</v>
      </c>
      <c r="AA49" s="32">
        <f t="shared" si="13"/>
        <v>0</v>
      </c>
      <c r="AB49" s="12"/>
      <c r="AC49" s="12">
        <f t="shared" si="14"/>
        <v>0</v>
      </c>
      <c r="AD49" s="32">
        <f t="shared" si="15"/>
        <v>0</v>
      </c>
      <c r="AE49" s="12"/>
      <c r="AF49" s="37">
        <f t="shared" si="16"/>
        <v>0</v>
      </c>
      <c r="AG49" s="14">
        <f t="shared" si="17"/>
        <v>0</v>
      </c>
      <c r="AH49" s="12"/>
      <c r="AI49" s="12">
        <f t="shared" si="18"/>
        <v>0</v>
      </c>
      <c r="AJ49" s="32">
        <f t="shared" si="19"/>
        <v>0</v>
      </c>
      <c r="AK49" s="12"/>
      <c r="AL49" s="12">
        <f t="shared" si="20"/>
        <v>0</v>
      </c>
      <c r="AM49" s="32">
        <f t="shared" si="21"/>
        <v>0</v>
      </c>
      <c r="AN49" s="12"/>
      <c r="AO49" s="12">
        <f t="shared" si="22"/>
        <v>0</v>
      </c>
      <c r="AP49" s="32">
        <f t="shared" si="23"/>
        <v>0</v>
      </c>
      <c r="AQ49" s="12"/>
      <c r="AR49" s="12">
        <f t="shared" si="24"/>
        <v>0</v>
      </c>
      <c r="AS49" s="32">
        <f t="shared" si="25"/>
        <v>0</v>
      </c>
      <c r="AT49" s="12">
        <v>5.9999999999999995E-4</v>
      </c>
      <c r="AU49" s="12">
        <f t="shared" si="26"/>
        <v>4.7999999999999996E-3</v>
      </c>
      <c r="AV49" s="32">
        <f t="shared" si="27"/>
        <v>3.5479573091743194E-3</v>
      </c>
      <c r="AW49" s="12"/>
      <c r="AX49" s="12">
        <f t="shared" si="28"/>
        <v>0</v>
      </c>
      <c r="AY49" s="32">
        <f t="shared" si="29"/>
        <v>0</v>
      </c>
      <c r="AZ49" s="12"/>
      <c r="BA49" s="12">
        <f t="shared" si="30"/>
        <v>0</v>
      </c>
      <c r="BB49" s="32">
        <f t="shared" si="31"/>
        <v>0</v>
      </c>
      <c r="BC49" s="12"/>
      <c r="BD49" s="12">
        <f t="shared" si="32"/>
        <v>0</v>
      </c>
      <c r="BE49" s="32">
        <f t="shared" si="33"/>
        <v>0</v>
      </c>
      <c r="BF49" s="12"/>
      <c r="BG49" s="12">
        <f t="shared" si="34"/>
        <v>0</v>
      </c>
      <c r="BH49" s="32">
        <f t="shared" si="35"/>
        <v>0</v>
      </c>
      <c r="BI49" s="12"/>
      <c r="BJ49" s="12">
        <f t="shared" si="36"/>
        <v>0</v>
      </c>
      <c r="BK49" s="32">
        <f t="shared" si="37"/>
        <v>0</v>
      </c>
      <c r="BL49" s="12"/>
      <c r="BM49" s="12">
        <f t="shared" si="38"/>
        <v>0</v>
      </c>
      <c r="BN49" s="32">
        <f t="shared" si="39"/>
        <v>0</v>
      </c>
      <c r="BO49" s="12">
        <v>2.0000000000000001E-4</v>
      </c>
      <c r="BP49" s="12">
        <f t="shared" si="40"/>
        <v>1.6000000000000001E-3</v>
      </c>
      <c r="BQ49" s="32">
        <f t="shared" si="41"/>
        <v>6.9645649350833796E-4</v>
      </c>
      <c r="BR49" s="12"/>
      <c r="BS49" s="12">
        <f t="shared" si="42"/>
        <v>0</v>
      </c>
      <c r="BT49" s="32">
        <f t="shared" si="43"/>
        <v>0</v>
      </c>
      <c r="BU49" s="12">
        <v>1E-4</v>
      </c>
      <c r="BV49" s="12">
        <f t="shared" si="44"/>
        <v>8.0000000000000004E-4</v>
      </c>
      <c r="BW49" s="32">
        <f t="shared" si="45"/>
        <v>2.3864368240272799E-4</v>
      </c>
      <c r="BX49" s="12"/>
      <c r="BY49" s="12">
        <f t="shared" si="46"/>
        <v>0</v>
      </c>
      <c r="BZ49" s="32">
        <f t="shared" si="47"/>
        <v>0</v>
      </c>
      <c r="CA49" s="12"/>
      <c r="CB49" s="12">
        <f t="shared" si="48"/>
        <v>0</v>
      </c>
      <c r="CC49" s="32">
        <f t="shared" si="49"/>
        <v>0</v>
      </c>
      <c r="CD49" s="12"/>
      <c r="CE49" s="12">
        <f t="shared" si="50"/>
        <v>0</v>
      </c>
      <c r="CF49" s="32">
        <f t="shared" si="51"/>
        <v>0</v>
      </c>
      <c r="CG49" s="12">
        <v>2.9999999999999997E-4</v>
      </c>
      <c r="CH49" s="12">
        <f t="shared" si="52"/>
        <v>2.3999999999999998E-3</v>
      </c>
      <c r="CI49" s="32">
        <f t="shared" si="53"/>
        <v>1.1699376793662637E-2</v>
      </c>
      <c r="CJ49" s="12"/>
      <c r="CK49" s="12">
        <f t="shared" si="54"/>
        <v>0</v>
      </c>
      <c r="CL49" s="32">
        <f t="shared" si="55"/>
        <v>0</v>
      </c>
      <c r="CM49" s="12"/>
      <c r="CN49" s="12">
        <f t="shared" si="56"/>
        <v>0</v>
      </c>
      <c r="CO49" s="32">
        <f t="shared" si="57"/>
        <v>0</v>
      </c>
      <c r="CP49" s="12"/>
      <c r="CQ49" s="12">
        <f t="shared" si="58"/>
        <v>0</v>
      </c>
      <c r="CR49" s="32">
        <f t="shared" si="59"/>
        <v>0</v>
      </c>
      <c r="CS49" s="12"/>
      <c r="CT49" s="12">
        <f t="shared" si="60"/>
        <v>0</v>
      </c>
      <c r="CU49" s="32">
        <f t="shared" si="61"/>
        <v>0</v>
      </c>
      <c r="CV49" s="12"/>
      <c r="CW49" s="12">
        <f t="shared" si="62"/>
        <v>0</v>
      </c>
      <c r="CX49" s="32">
        <f t="shared" si="63"/>
        <v>0</v>
      </c>
      <c r="CY49" s="12"/>
      <c r="CZ49" s="12">
        <f t="shared" si="64"/>
        <v>0</v>
      </c>
      <c r="DA49" s="32">
        <f t="shared" si="65"/>
        <v>0</v>
      </c>
      <c r="DB49" s="12"/>
      <c r="DC49" s="12">
        <f t="shared" si="66"/>
        <v>0</v>
      </c>
      <c r="DD49" s="32">
        <f t="shared" si="67"/>
        <v>0</v>
      </c>
      <c r="DE49" s="12"/>
      <c r="DF49" s="12">
        <f t="shared" si="68"/>
        <v>0</v>
      </c>
      <c r="DG49" s="32">
        <f t="shared" si="69"/>
        <v>0</v>
      </c>
      <c r="DH49" s="12"/>
      <c r="DI49" s="12">
        <f t="shared" si="77"/>
        <v>0</v>
      </c>
      <c r="DJ49" s="32">
        <f t="shared" si="70"/>
        <v>0</v>
      </c>
      <c r="DK49" s="12"/>
      <c r="DL49" s="12">
        <f t="shared" si="71"/>
        <v>0</v>
      </c>
      <c r="DM49" s="32">
        <f t="shared" si="72"/>
        <v>0</v>
      </c>
    </row>
    <row r="50" spans="1:117" s="6" customFormat="1" ht="22.25" customHeight="1" x14ac:dyDescent="0.35">
      <c r="A50" s="4">
        <v>43</v>
      </c>
      <c r="B50" s="4" t="s">
        <v>132</v>
      </c>
      <c r="C50" s="4" t="s">
        <v>133</v>
      </c>
      <c r="D50" s="7">
        <f t="shared" si="2"/>
        <v>26.736111111111111</v>
      </c>
      <c r="E50" s="7">
        <f>385/(36*400)*1000</f>
        <v>26.736111111111111</v>
      </c>
      <c r="F50" s="7">
        <v>1</v>
      </c>
      <c r="G50" s="7">
        <v>1</v>
      </c>
      <c r="H50" s="7">
        <f t="shared" si="74"/>
        <v>4.0104166666666661</v>
      </c>
      <c r="I50" s="9">
        <f t="shared" si="75"/>
        <v>30.746527777777779</v>
      </c>
      <c r="J50" s="13"/>
      <c r="K50" s="12">
        <f t="shared" si="73"/>
        <v>0</v>
      </c>
      <c r="L50" s="32">
        <f t="shared" si="3"/>
        <v>0</v>
      </c>
      <c r="M50" s="12"/>
      <c r="N50" s="12">
        <f t="shared" si="4"/>
        <v>0</v>
      </c>
      <c r="O50" s="32">
        <f t="shared" si="5"/>
        <v>0</v>
      </c>
      <c r="P50" s="12"/>
      <c r="Q50" s="12">
        <f t="shared" si="76"/>
        <v>0</v>
      </c>
      <c r="R50" s="32">
        <f t="shared" si="7"/>
        <v>0</v>
      </c>
      <c r="S50" s="12"/>
      <c r="T50" s="12">
        <f t="shared" si="8"/>
        <v>0</v>
      </c>
      <c r="U50" s="32">
        <f t="shared" si="9"/>
        <v>0</v>
      </c>
      <c r="V50" s="12"/>
      <c r="W50" s="12">
        <f t="shared" si="10"/>
        <v>0</v>
      </c>
      <c r="X50" s="32">
        <f t="shared" si="11"/>
        <v>0</v>
      </c>
      <c r="Y50" s="12"/>
      <c r="Z50" s="12">
        <f t="shared" si="12"/>
        <v>0</v>
      </c>
      <c r="AA50" s="32">
        <f t="shared" si="13"/>
        <v>0</v>
      </c>
      <c r="AB50" s="12"/>
      <c r="AC50" s="12">
        <f t="shared" si="14"/>
        <v>0</v>
      </c>
      <c r="AD50" s="32">
        <f t="shared" si="15"/>
        <v>0</v>
      </c>
      <c r="AE50" s="12"/>
      <c r="AF50" s="37">
        <f t="shared" si="16"/>
        <v>0</v>
      </c>
      <c r="AG50" s="14">
        <f t="shared" si="17"/>
        <v>0</v>
      </c>
      <c r="AH50" s="12"/>
      <c r="AI50" s="12">
        <f t="shared" si="18"/>
        <v>0</v>
      </c>
      <c r="AJ50" s="32">
        <f t="shared" si="19"/>
        <v>0</v>
      </c>
      <c r="AK50" s="12"/>
      <c r="AL50" s="12">
        <f t="shared" si="20"/>
        <v>0</v>
      </c>
      <c r="AM50" s="32">
        <f t="shared" si="21"/>
        <v>0</v>
      </c>
      <c r="AN50" s="12"/>
      <c r="AO50" s="12">
        <f t="shared" si="22"/>
        <v>0</v>
      </c>
      <c r="AP50" s="32">
        <f t="shared" si="23"/>
        <v>0</v>
      </c>
      <c r="AQ50" s="12"/>
      <c r="AR50" s="12">
        <f t="shared" si="24"/>
        <v>0</v>
      </c>
      <c r="AS50" s="32">
        <f t="shared" si="25"/>
        <v>0</v>
      </c>
      <c r="AT50" s="12"/>
      <c r="AU50" s="12">
        <f t="shared" si="26"/>
        <v>0</v>
      </c>
      <c r="AV50" s="32">
        <f t="shared" si="27"/>
        <v>0</v>
      </c>
      <c r="AW50" s="12"/>
      <c r="AX50" s="12">
        <f t="shared" si="28"/>
        <v>0</v>
      </c>
      <c r="AY50" s="32">
        <f t="shared" si="29"/>
        <v>0</v>
      </c>
      <c r="AZ50" s="12"/>
      <c r="BA50" s="12">
        <f t="shared" si="30"/>
        <v>0</v>
      </c>
      <c r="BB50" s="32">
        <f t="shared" si="31"/>
        <v>0</v>
      </c>
      <c r="BC50" s="12"/>
      <c r="BD50" s="12">
        <f t="shared" si="32"/>
        <v>0</v>
      </c>
      <c r="BE50" s="32">
        <f t="shared" si="33"/>
        <v>0</v>
      </c>
      <c r="BF50" s="12"/>
      <c r="BG50" s="12">
        <f t="shared" si="34"/>
        <v>0</v>
      </c>
      <c r="BH50" s="32">
        <f t="shared" si="35"/>
        <v>0</v>
      </c>
      <c r="BI50" s="12"/>
      <c r="BJ50" s="12">
        <f t="shared" si="36"/>
        <v>0</v>
      </c>
      <c r="BK50" s="32">
        <f t="shared" si="37"/>
        <v>0</v>
      </c>
      <c r="BL50" s="12"/>
      <c r="BM50" s="12">
        <f t="shared" si="38"/>
        <v>0</v>
      </c>
      <c r="BN50" s="32">
        <f t="shared" si="39"/>
        <v>0</v>
      </c>
      <c r="BO50" s="12"/>
      <c r="BP50" s="12">
        <f t="shared" si="40"/>
        <v>0</v>
      </c>
      <c r="BQ50" s="32">
        <f t="shared" si="41"/>
        <v>0</v>
      </c>
      <c r="BR50" s="12">
        <v>5.0000000000000001E-3</v>
      </c>
      <c r="BS50" s="12">
        <f t="shared" si="42"/>
        <v>0.13368055555555555</v>
      </c>
      <c r="BT50" s="32">
        <f t="shared" si="43"/>
        <v>3.6907499504013647E-2</v>
      </c>
      <c r="BU50" s="12"/>
      <c r="BV50" s="12">
        <f t="shared" si="44"/>
        <v>0</v>
      </c>
      <c r="BW50" s="32">
        <f t="shared" si="45"/>
        <v>0</v>
      </c>
      <c r="BX50" s="12"/>
      <c r="BY50" s="12">
        <f t="shared" si="46"/>
        <v>0</v>
      </c>
      <c r="BZ50" s="32">
        <f t="shared" si="47"/>
        <v>0</v>
      </c>
      <c r="CA50" s="12"/>
      <c r="CB50" s="12">
        <f t="shared" si="48"/>
        <v>0</v>
      </c>
      <c r="CC50" s="32">
        <f t="shared" si="49"/>
        <v>0</v>
      </c>
      <c r="CD50" s="12"/>
      <c r="CE50" s="12">
        <f t="shared" si="50"/>
        <v>0</v>
      </c>
      <c r="CF50" s="32">
        <f t="shared" si="51"/>
        <v>0</v>
      </c>
      <c r="CG50" s="12"/>
      <c r="CH50" s="12">
        <f t="shared" si="52"/>
        <v>0</v>
      </c>
      <c r="CI50" s="32">
        <f t="shared" si="53"/>
        <v>0</v>
      </c>
      <c r="CJ50" s="12"/>
      <c r="CK50" s="12">
        <f t="shared" si="54"/>
        <v>0</v>
      </c>
      <c r="CL50" s="32">
        <f t="shared" si="55"/>
        <v>0</v>
      </c>
      <c r="CM50" s="12"/>
      <c r="CN50" s="12">
        <f t="shared" si="56"/>
        <v>0</v>
      </c>
      <c r="CO50" s="32">
        <f t="shared" si="57"/>
        <v>0</v>
      </c>
      <c r="CP50" s="12"/>
      <c r="CQ50" s="12">
        <f t="shared" si="58"/>
        <v>0</v>
      </c>
      <c r="CR50" s="32">
        <f t="shared" si="59"/>
        <v>0</v>
      </c>
      <c r="CS50" s="12"/>
      <c r="CT50" s="12">
        <f t="shared" si="60"/>
        <v>0</v>
      </c>
      <c r="CU50" s="32">
        <f t="shared" si="61"/>
        <v>0</v>
      </c>
      <c r="CV50" s="12"/>
      <c r="CW50" s="12">
        <f t="shared" si="62"/>
        <v>0</v>
      </c>
      <c r="CX50" s="32">
        <f t="shared" si="63"/>
        <v>0</v>
      </c>
      <c r="CY50" s="12"/>
      <c r="CZ50" s="12">
        <f t="shared" si="64"/>
        <v>0</v>
      </c>
      <c r="DA50" s="32">
        <f t="shared" si="65"/>
        <v>0</v>
      </c>
      <c r="DB50" s="12"/>
      <c r="DC50" s="12">
        <f t="shared" si="66"/>
        <v>0</v>
      </c>
      <c r="DD50" s="32">
        <f t="shared" si="67"/>
        <v>0</v>
      </c>
      <c r="DE50" s="12"/>
      <c r="DF50" s="12">
        <f t="shared" si="68"/>
        <v>0</v>
      </c>
      <c r="DG50" s="32">
        <f t="shared" si="69"/>
        <v>0</v>
      </c>
      <c r="DH50" s="12"/>
      <c r="DI50" s="12">
        <f t="shared" si="77"/>
        <v>0</v>
      </c>
      <c r="DJ50" s="32">
        <f t="shared" si="70"/>
        <v>0</v>
      </c>
      <c r="DK50" s="12"/>
      <c r="DL50" s="12">
        <f t="shared" si="71"/>
        <v>0</v>
      </c>
      <c r="DM50" s="32">
        <f t="shared" si="72"/>
        <v>0</v>
      </c>
    </row>
    <row r="51" spans="1:117" s="6" customFormat="1" ht="22.25" customHeight="1" x14ac:dyDescent="0.35">
      <c r="A51" s="4">
        <v>44</v>
      </c>
      <c r="B51" s="4" t="s">
        <v>134</v>
      </c>
      <c r="C51" s="4" t="s">
        <v>135</v>
      </c>
      <c r="D51" s="7">
        <f t="shared" si="2"/>
        <v>0.23599999999999999</v>
      </c>
      <c r="E51" s="7">
        <f>118/500</f>
        <v>0.23599999999999999</v>
      </c>
      <c r="F51" s="7">
        <v>1</v>
      </c>
      <c r="G51" s="7">
        <v>1</v>
      </c>
      <c r="H51" s="7">
        <f t="shared" si="74"/>
        <v>3.5399999999999994E-2</v>
      </c>
      <c r="I51" s="9">
        <f t="shared" si="75"/>
        <v>0.27139999999999997</v>
      </c>
      <c r="J51" s="13">
        <v>1</v>
      </c>
      <c r="K51" s="12">
        <f t="shared" si="73"/>
        <v>0.23599999999999999</v>
      </c>
      <c r="L51" s="32">
        <f t="shared" si="3"/>
        <v>2.4348886172739174E-2</v>
      </c>
      <c r="M51" s="12">
        <v>1</v>
      </c>
      <c r="N51" s="12">
        <f t="shared" si="4"/>
        <v>0.23599999999999999</v>
      </c>
      <c r="O51" s="32">
        <f t="shared" si="5"/>
        <v>3.16003149319522E-2</v>
      </c>
      <c r="P51" s="12">
        <v>1</v>
      </c>
      <c r="Q51" s="12">
        <f t="shared" si="76"/>
        <v>0.23599999999999999</v>
      </c>
      <c r="R51" s="32">
        <f t="shared" si="7"/>
        <v>5.6559900186065756E-2</v>
      </c>
      <c r="S51" s="12">
        <v>1</v>
      </c>
      <c r="T51" s="12">
        <f t="shared" si="8"/>
        <v>0.23599999999999999</v>
      </c>
      <c r="U51" s="32">
        <f t="shared" si="9"/>
        <v>4.6881991820524625E-2</v>
      </c>
      <c r="V51" s="12">
        <v>1</v>
      </c>
      <c r="W51" s="12">
        <f t="shared" si="10"/>
        <v>0.23599999999999999</v>
      </c>
      <c r="X51" s="32">
        <f t="shared" si="11"/>
        <v>3.5575461467304496E-2</v>
      </c>
      <c r="Y51" s="12">
        <v>1</v>
      </c>
      <c r="Z51" s="12">
        <f t="shared" si="12"/>
        <v>0.23599999999999999</v>
      </c>
      <c r="AA51" s="32">
        <f t="shared" si="13"/>
        <v>5.4936848303772268E-2</v>
      </c>
      <c r="AB51" s="12">
        <v>1</v>
      </c>
      <c r="AC51" s="12">
        <f t="shared" si="14"/>
        <v>0.23599999999999999</v>
      </c>
      <c r="AD51" s="32">
        <f t="shared" si="15"/>
        <v>6.3975371678754209E-2</v>
      </c>
      <c r="AE51" s="12">
        <v>1</v>
      </c>
      <c r="AF51" s="37">
        <f t="shared" si="16"/>
        <v>0.23599999999999999</v>
      </c>
      <c r="AG51" s="14">
        <f t="shared" si="17"/>
        <v>8.2023335596029576E-2</v>
      </c>
      <c r="AH51" s="12">
        <v>1</v>
      </c>
      <c r="AI51" s="12">
        <f t="shared" si="18"/>
        <v>0.23599999999999999</v>
      </c>
      <c r="AJ51" s="32">
        <f t="shared" si="19"/>
        <v>0.20747551871226716</v>
      </c>
      <c r="AK51" s="12">
        <v>1</v>
      </c>
      <c r="AL51" s="12">
        <f t="shared" si="20"/>
        <v>0.23599999999999999</v>
      </c>
      <c r="AM51" s="32">
        <f t="shared" si="21"/>
        <v>9.6255070523636577E-2</v>
      </c>
      <c r="AN51" s="12">
        <v>1</v>
      </c>
      <c r="AO51" s="12">
        <f t="shared" si="22"/>
        <v>0.23599999999999999</v>
      </c>
      <c r="AP51" s="32">
        <f t="shared" si="23"/>
        <v>5.7698327065022502E-2</v>
      </c>
      <c r="AQ51" s="12">
        <v>1</v>
      </c>
      <c r="AR51" s="12">
        <f t="shared" si="24"/>
        <v>0.23599999999999999</v>
      </c>
      <c r="AS51" s="32">
        <f t="shared" si="25"/>
        <v>5.4044672429503282E-2</v>
      </c>
      <c r="AT51" s="12">
        <v>1</v>
      </c>
      <c r="AU51" s="12">
        <f t="shared" si="26"/>
        <v>0.23599999999999999</v>
      </c>
      <c r="AV51" s="32">
        <f t="shared" si="27"/>
        <v>0.17444123436773737</v>
      </c>
      <c r="AW51" s="12">
        <v>1</v>
      </c>
      <c r="AX51" s="12">
        <f t="shared" si="28"/>
        <v>0.23599999999999999</v>
      </c>
      <c r="AY51" s="32">
        <f t="shared" si="29"/>
        <v>0.10780572175005336</v>
      </c>
      <c r="AZ51" s="12">
        <v>1</v>
      </c>
      <c r="BA51" s="12">
        <f t="shared" si="30"/>
        <v>0.23599999999999999</v>
      </c>
      <c r="BB51" s="32">
        <f t="shared" si="31"/>
        <v>6.0029251268424941E-2</v>
      </c>
      <c r="BC51" s="12">
        <v>1</v>
      </c>
      <c r="BD51" s="12">
        <f t="shared" si="32"/>
        <v>0.23599999999999999</v>
      </c>
      <c r="BE51" s="32">
        <f t="shared" si="33"/>
        <v>0.16344396597209077</v>
      </c>
      <c r="BF51" s="12">
        <v>1</v>
      </c>
      <c r="BG51" s="12">
        <f t="shared" si="34"/>
        <v>0.23599999999999999</v>
      </c>
      <c r="BH51" s="32">
        <f t="shared" si="35"/>
        <v>7.7283867812842494E-2</v>
      </c>
      <c r="BI51" s="12">
        <v>1</v>
      </c>
      <c r="BJ51" s="12">
        <f t="shared" si="36"/>
        <v>0.23599999999999999</v>
      </c>
      <c r="BK51" s="32">
        <f t="shared" si="37"/>
        <v>6.8492312737689284E-2</v>
      </c>
      <c r="BL51" s="12"/>
      <c r="BM51" s="12">
        <f t="shared" si="38"/>
        <v>0</v>
      </c>
      <c r="BN51" s="32">
        <f t="shared" si="39"/>
        <v>0</v>
      </c>
      <c r="BO51" s="12"/>
      <c r="BP51" s="12">
        <f t="shared" si="40"/>
        <v>0</v>
      </c>
      <c r="BQ51" s="32">
        <f t="shared" si="41"/>
        <v>0</v>
      </c>
      <c r="BR51" s="12">
        <v>1</v>
      </c>
      <c r="BS51" s="12">
        <f t="shared" si="42"/>
        <v>0.23599999999999999</v>
      </c>
      <c r="BT51" s="32">
        <f t="shared" si="43"/>
        <v>6.515659548802076E-2</v>
      </c>
      <c r="BU51" s="12">
        <v>1</v>
      </c>
      <c r="BV51" s="12">
        <f t="shared" si="44"/>
        <v>0.23599999999999999</v>
      </c>
      <c r="BW51" s="32">
        <f t="shared" si="45"/>
        <v>7.0399886308804754E-2</v>
      </c>
      <c r="BX51" s="12">
        <v>1</v>
      </c>
      <c r="BY51" s="12">
        <f t="shared" si="46"/>
        <v>0.23599999999999999</v>
      </c>
      <c r="BZ51" s="32">
        <f t="shared" si="47"/>
        <v>0.12650174585298013</v>
      </c>
      <c r="CA51" s="12"/>
      <c r="CB51" s="12">
        <f t="shared" si="48"/>
        <v>0</v>
      </c>
      <c r="CC51" s="32">
        <f t="shared" si="49"/>
        <v>0</v>
      </c>
      <c r="CD51" s="12"/>
      <c r="CE51" s="12">
        <f t="shared" si="50"/>
        <v>0</v>
      </c>
      <c r="CF51" s="32">
        <f t="shared" si="51"/>
        <v>0</v>
      </c>
      <c r="CG51" s="12"/>
      <c r="CH51" s="12">
        <f t="shared" si="52"/>
        <v>0</v>
      </c>
      <c r="CI51" s="32">
        <f t="shared" si="53"/>
        <v>0</v>
      </c>
      <c r="CJ51" s="12"/>
      <c r="CK51" s="12">
        <f t="shared" si="54"/>
        <v>0</v>
      </c>
      <c r="CL51" s="32">
        <f t="shared" si="55"/>
        <v>0</v>
      </c>
      <c r="CM51" s="12"/>
      <c r="CN51" s="12">
        <f t="shared" si="56"/>
        <v>0</v>
      </c>
      <c r="CO51" s="32">
        <f t="shared" si="57"/>
        <v>0</v>
      </c>
      <c r="CP51" s="12"/>
      <c r="CQ51" s="12">
        <f t="shared" si="58"/>
        <v>0</v>
      </c>
      <c r="CR51" s="32">
        <f t="shared" si="59"/>
        <v>0</v>
      </c>
      <c r="CS51" s="12"/>
      <c r="CT51" s="12">
        <f t="shared" si="60"/>
        <v>0</v>
      </c>
      <c r="CU51" s="32">
        <f t="shared" si="61"/>
        <v>0</v>
      </c>
      <c r="CV51" s="12"/>
      <c r="CW51" s="12">
        <f t="shared" si="62"/>
        <v>0</v>
      </c>
      <c r="CX51" s="32">
        <f t="shared" si="63"/>
        <v>0</v>
      </c>
      <c r="CY51" s="12"/>
      <c r="CZ51" s="12">
        <f t="shared" si="64"/>
        <v>0</v>
      </c>
      <c r="DA51" s="32">
        <f t="shared" si="65"/>
        <v>0</v>
      </c>
      <c r="DB51" s="12"/>
      <c r="DC51" s="12">
        <f t="shared" si="66"/>
        <v>0</v>
      </c>
      <c r="DD51" s="32">
        <f t="shared" si="67"/>
        <v>0</v>
      </c>
      <c r="DE51" s="12"/>
      <c r="DF51" s="12">
        <f t="shared" si="68"/>
        <v>0</v>
      </c>
      <c r="DG51" s="32">
        <f t="shared" si="69"/>
        <v>0</v>
      </c>
      <c r="DH51" s="12"/>
      <c r="DI51" s="12">
        <f t="shared" si="77"/>
        <v>0</v>
      </c>
      <c r="DJ51" s="32">
        <f t="shared" si="70"/>
        <v>0</v>
      </c>
      <c r="DK51" s="12"/>
      <c r="DL51" s="12">
        <f t="shared" si="71"/>
        <v>0</v>
      </c>
      <c r="DM51" s="32">
        <f t="shared" si="72"/>
        <v>0</v>
      </c>
    </row>
    <row r="52" spans="1:117" s="6" customFormat="1" ht="22.25" customHeight="1" x14ac:dyDescent="0.35">
      <c r="A52" s="4">
        <v>45</v>
      </c>
      <c r="B52" s="4" t="s">
        <v>136</v>
      </c>
      <c r="C52" s="4" t="s">
        <v>137</v>
      </c>
      <c r="D52" s="7">
        <f t="shared" si="2"/>
        <v>28.636363636363637</v>
      </c>
      <c r="E52" s="7">
        <f>189/(6*1100)*1000</f>
        <v>28.636363636363637</v>
      </c>
      <c r="F52" s="7">
        <v>1</v>
      </c>
      <c r="G52" s="7">
        <v>1</v>
      </c>
      <c r="H52" s="7">
        <f t="shared" si="74"/>
        <v>4.295454545454545</v>
      </c>
      <c r="I52" s="9">
        <f t="shared" si="75"/>
        <v>32.93181818181818</v>
      </c>
      <c r="J52" s="13"/>
      <c r="K52" s="12">
        <f t="shared" si="73"/>
        <v>0</v>
      </c>
      <c r="L52" s="32">
        <f t="shared" si="3"/>
        <v>0</v>
      </c>
      <c r="M52" s="12"/>
      <c r="N52" s="12">
        <f t="shared" si="4"/>
        <v>0</v>
      </c>
      <c r="O52" s="32">
        <f t="shared" si="5"/>
        <v>0</v>
      </c>
      <c r="P52" s="12"/>
      <c r="Q52" s="12">
        <f t="shared" si="76"/>
        <v>0</v>
      </c>
      <c r="R52" s="32">
        <f t="shared" si="7"/>
        <v>0</v>
      </c>
      <c r="S52" s="12"/>
      <c r="T52" s="12">
        <f t="shared" si="8"/>
        <v>0</v>
      </c>
      <c r="U52" s="32">
        <f t="shared" si="9"/>
        <v>0</v>
      </c>
      <c r="V52" s="12">
        <v>0.02</v>
      </c>
      <c r="W52" s="12">
        <f t="shared" si="10"/>
        <v>0.57272727272727275</v>
      </c>
      <c r="X52" s="32">
        <f t="shared" si="11"/>
        <v>8.6334902636370697E-2</v>
      </c>
      <c r="Y52" s="12"/>
      <c r="Z52" s="12">
        <f t="shared" si="12"/>
        <v>0</v>
      </c>
      <c r="AA52" s="32">
        <f t="shared" si="13"/>
        <v>0</v>
      </c>
      <c r="AB52" s="12"/>
      <c r="AC52" s="12">
        <f t="shared" si="14"/>
        <v>0</v>
      </c>
      <c r="AD52" s="32">
        <f t="shared" si="15"/>
        <v>0</v>
      </c>
      <c r="AE52" s="12"/>
      <c r="AF52" s="37">
        <f t="shared" si="16"/>
        <v>0</v>
      </c>
      <c r="AG52" s="14">
        <f t="shared" si="17"/>
        <v>0</v>
      </c>
      <c r="AH52" s="12"/>
      <c r="AI52" s="12">
        <f t="shared" si="18"/>
        <v>0</v>
      </c>
      <c r="AJ52" s="32">
        <f t="shared" si="19"/>
        <v>0</v>
      </c>
      <c r="AK52" s="12"/>
      <c r="AL52" s="12">
        <f t="shared" si="20"/>
        <v>0</v>
      </c>
      <c r="AM52" s="32">
        <f t="shared" si="21"/>
        <v>0</v>
      </c>
      <c r="AN52" s="12"/>
      <c r="AO52" s="12">
        <f t="shared" si="22"/>
        <v>0</v>
      </c>
      <c r="AP52" s="32">
        <f t="shared" si="23"/>
        <v>0</v>
      </c>
      <c r="AQ52" s="12"/>
      <c r="AR52" s="12">
        <f t="shared" si="24"/>
        <v>0</v>
      </c>
      <c r="AS52" s="32">
        <f t="shared" si="25"/>
        <v>0</v>
      </c>
      <c r="AT52" s="12"/>
      <c r="AU52" s="12">
        <f t="shared" si="26"/>
        <v>0</v>
      </c>
      <c r="AV52" s="32">
        <f t="shared" si="27"/>
        <v>0</v>
      </c>
      <c r="AW52" s="12"/>
      <c r="AX52" s="12">
        <f t="shared" si="28"/>
        <v>0</v>
      </c>
      <c r="AY52" s="32">
        <f t="shared" si="29"/>
        <v>0</v>
      </c>
      <c r="AZ52" s="12"/>
      <c r="BA52" s="12">
        <f t="shared" si="30"/>
        <v>0</v>
      </c>
      <c r="BB52" s="32">
        <f t="shared" si="31"/>
        <v>0</v>
      </c>
      <c r="BC52" s="12"/>
      <c r="BD52" s="12">
        <f t="shared" si="32"/>
        <v>0</v>
      </c>
      <c r="BE52" s="32">
        <f t="shared" si="33"/>
        <v>0</v>
      </c>
      <c r="BF52" s="12"/>
      <c r="BG52" s="12">
        <f t="shared" si="34"/>
        <v>0</v>
      </c>
      <c r="BH52" s="32">
        <f t="shared" si="35"/>
        <v>0</v>
      </c>
      <c r="BI52" s="12"/>
      <c r="BJ52" s="12">
        <f t="shared" si="36"/>
        <v>0</v>
      </c>
      <c r="BK52" s="32">
        <f t="shared" si="37"/>
        <v>0</v>
      </c>
      <c r="BL52" s="12"/>
      <c r="BM52" s="12">
        <f t="shared" si="38"/>
        <v>0</v>
      </c>
      <c r="BN52" s="32">
        <f t="shared" si="39"/>
        <v>0</v>
      </c>
      <c r="BO52" s="12"/>
      <c r="BP52" s="12">
        <f t="shared" si="40"/>
        <v>0</v>
      </c>
      <c r="BQ52" s="32">
        <f t="shared" si="41"/>
        <v>0</v>
      </c>
      <c r="BR52" s="12"/>
      <c r="BS52" s="12">
        <f t="shared" si="42"/>
        <v>0</v>
      </c>
      <c r="BT52" s="32">
        <f t="shared" si="43"/>
        <v>0</v>
      </c>
      <c r="BU52" s="12"/>
      <c r="BV52" s="12">
        <f t="shared" si="44"/>
        <v>0</v>
      </c>
      <c r="BW52" s="32">
        <f t="shared" si="45"/>
        <v>0</v>
      </c>
      <c r="BX52" s="12"/>
      <c r="BY52" s="12">
        <f t="shared" si="46"/>
        <v>0</v>
      </c>
      <c r="BZ52" s="32">
        <f t="shared" si="47"/>
        <v>0</v>
      </c>
      <c r="CA52" s="12"/>
      <c r="CB52" s="12">
        <f t="shared" si="48"/>
        <v>0</v>
      </c>
      <c r="CC52" s="32">
        <f t="shared" si="49"/>
        <v>0</v>
      </c>
      <c r="CD52" s="12"/>
      <c r="CE52" s="12">
        <f t="shared" si="50"/>
        <v>0</v>
      </c>
      <c r="CF52" s="32">
        <f t="shared" si="51"/>
        <v>0</v>
      </c>
      <c r="CG52" s="12"/>
      <c r="CH52" s="12">
        <f t="shared" si="52"/>
        <v>0</v>
      </c>
      <c r="CI52" s="32">
        <f t="shared" si="53"/>
        <v>0</v>
      </c>
      <c r="CJ52" s="12"/>
      <c r="CK52" s="12">
        <f t="shared" si="54"/>
        <v>0</v>
      </c>
      <c r="CL52" s="32">
        <f t="shared" si="55"/>
        <v>0</v>
      </c>
      <c r="CM52" s="12"/>
      <c r="CN52" s="12">
        <f t="shared" si="56"/>
        <v>0</v>
      </c>
      <c r="CO52" s="32">
        <f t="shared" si="57"/>
        <v>0</v>
      </c>
      <c r="CP52" s="12"/>
      <c r="CQ52" s="12">
        <f t="shared" si="58"/>
        <v>0</v>
      </c>
      <c r="CR52" s="32">
        <f t="shared" si="59"/>
        <v>0</v>
      </c>
      <c r="CS52" s="12"/>
      <c r="CT52" s="12">
        <f t="shared" si="60"/>
        <v>0</v>
      </c>
      <c r="CU52" s="32">
        <f t="shared" si="61"/>
        <v>0</v>
      </c>
      <c r="CV52" s="12"/>
      <c r="CW52" s="12">
        <f t="shared" si="62"/>
        <v>0</v>
      </c>
      <c r="CX52" s="32">
        <f t="shared" si="63"/>
        <v>0</v>
      </c>
      <c r="CY52" s="12"/>
      <c r="CZ52" s="12">
        <f t="shared" si="64"/>
        <v>0</v>
      </c>
      <c r="DA52" s="32">
        <f t="shared" si="65"/>
        <v>0</v>
      </c>
      <c r="DB52" s="12"/>
      <c r="DC52" s="12">
        <f t="shared" si="66"/>
        <v>0</v>
      </c>
      <c r="DD52" s="32">
        <f t="shared" si="67"/>
        <v>0</v>
      </c>
      <c r="DE52" s="12"/>
      <c r="DF52" s="12">
        <f t="shared" si="68"/>
        <v>0</v>
      </c>
      <c r="DG52" s="32">
        <f t="shared" si="69"/>
        <v>0</v>
      </c>
      <c r="DH52" s="12"/>
      <c r="DI52" s="12">
        <f t="shared" si="77"/>
        <v>0</v>
      </c>
      <c r="DJ52" s="32">
        <f t="shared" si="70"/>
        <v>0</v>
      </c>
      <c r="DK52" s="12"/>
      <c r="DL52" s="12">
        <f t="shared" si="71"/>
        <v>0</v>
      </c>
      <c r="DM52" s="32">
        <f t="shared" si="72"/>
        <v>0</v>
      </c>
    </row>
    <row r="53" spans="1:117" s="6" customFormat="1" ht="22.25" customHeight="1" x14ac:dyDescent="0.35">
      <c r="A53" s="4">
        <v>46</v>
      </c>
      <c r="B53" s="4" t="s">
        <v>138</v>
      </c>
      <c r="C53" s="4" t="s">
        <v>139</v>
      </c>
      <c r="D53" s="7">
        <f t="shared" si="2"/>
        <v>1.8115942028985508</v>
      </c>
      <c r="E53" s="7">
        <f>10/6</f>
        <v>1.6666666666666667</v>
      </c>
      <c r="F53" s="7">
        <v>1</v>
      </c>
      <c r="G53" s="7">
        <v>0.92</v>
      </c>
      <c r="H53" s="7">
        <f t="shared" si="74"/>
        <v>0.27173913043478259</v>
      </c>
      <c r="I53" s="9">
        <f t="shared" si="75"/>
        <v>2.0833333333333335</v>
      </c>
      <c r="J53" s="13"/>
      <c r="K53" s="12">
        <f t="shared" si="73"/>
        <v>0</v>
      </c>
      <c r="L53" s="32">
        <f t="shared" si="3"/>
        <v>0</v>
      </c>
      <c r="M53" s="12"/>
      <c r="N53" s="12">
        <f t="shared" si="4"/>
        <v>0</v>
      </c>
      <c r="O53" s="32">
        <f t="shared" si="5"/>
        <v>0</v>
      </c>
      <c r="P53" s="12"/>
      <c r="Q53" s="12">
        <f t="shared" si="76"/>
        <v>0</v>
      </c>
      <c r="R53" s="32">
        <f t="shared" si="7"/>
        <v>0</v>
      </c>
      <c r="S53" s="12"/>
      <c r="T53" s="12">
        <f t="shared" si="8"/>
        <v>0</v>
      </c>
      <c r="U53" s="32">
        <f t="shared" si="9"/>
        <v>0</v>
      </c>
      <c r="V53" s="12"/>
      <c r="W53" s="12">
        <f t="shared" si="10"/>
        <v>0</v>
      </c>
      <c r="X53" s="32">
        <f t="shared" si="11"/>
        <v>0</v>
      </c>
      <c r="Y53" s="12"/>
      <c r="Z53" s="12">
        <f t="shared" si="12"/>
        <v>0</v>
      </c>
      <c r="AA53" s="32">
        <f t="shared" si="13"/>
        <v>0</v>
      </c>
      <c r="AB53" s="12"/>
      <c r="AC53" s="12">
        <f t="shared" si="14"/>
        <v>0</v>
      </c>
      <c r="AD53" s="32">
        <f t="shared" si="15"/>
        <v>0</v>
      </c>
      <c r="AE53" s="12"/>
      <c r="AF53" s="37">
        <f t="shared" si="16"/>
        <v>0</v>
      </c>
      <c r="AG53" s="14">
        <f t="shared" si="17"/>
        <v>0</v>
      </c>
      <c r="AH53" s="12"/>
      <c r="AI53" s="12">
        <f t="shared" si="18"/>
        <v>0</v>
      </c>
      <c r="AJ53" s="32">
        <f t="shared" si="19"/>
        <v>0</v>
      </c>
      <c r="AK53" s="12"/>
      <c r="AL53" s="12">
        <f t="shared" si="20"/>
        <v>0</v>
      </c>
      <c r="AM53" s="32">
        <f t="shared" si="21"/>
        <v>0</v>
      </c>
      <c r="AN53" s="12"/>
      <c r="AO53" s="12">
        <f t="shared" si="22"/>
        <v>0</v>
      </c>
      <c r="AP53" s="32">
        <f t="shared" si="23"/>
        <v>0</v>
      </c>
      <c r="AQ53" s="12"/>
      <c r="AR53" s="12">
        <f t="shared" si="24"/>
        <v>0</v>
      </c>
      <c r="AS53" s="32">
        <f t="shared" si="25"/>
        <v>0</v>
      </c>
      <c r="AT53" s="12">
        <v>2E-3</v>
      </c>
      <c r="AU53" s="12">
        <f t="shared" si="26"/>
        <v>3.6231884057971015E-3</v>
      </c>
      <c r="AV53" s="32">
        <f t="shared" si="27"/>
        <v>2.6781078722632242E-3</v>
      </c>
      <c r="AW53" s="12"/>
      <c r="AX53" s="12">
        <f t="shared" si="28"/>
        <v>0</v>
      </c>
      <c r="AY53" s="32">
        <f t="shared" si="29"/>
        <v>0</v>
      </c>
      <c r="AZ53" s="12"/>
      <c r="BA53" s="12">
        <f t="shared" si="30"/>
        <v>0</v>
      </c>
      <c r="BB53" s="32">
        <f t="shared" si="31"/>
        <v>0</v>
      </c>
      <c r="BC53" s="12"/>
      <c r="BD53" s="12">
        <f t="shared" si="32"/>
        <v>0</v>
      </c>
      <c r="BE53" s="32">
        <f t="shared" si="33"/>
        <v>0</v>
      </c>
      <c r="BF53" s="12"/>
      <c r="BG53" s="12">
        <f t="shared" si="34"/>
        <v>0</v>
      </c>
      <c r="BH53" s="32">
        <f t="shared" si="35"/>
        <v>0</v>
      </c>
      <c r="BI53" s="12"/>
      <c r="BJ53" s="12">
        <f t="shared" si="36"/>
        <v>0</v>
      </c>
      <c r="BK53" s="32">
        <f t="shared" si="37"/>
        <v>0</v>
      </c>
      <c r="BL53" s="12"/>
      <c r="BM53" s="12">
        <f t="shared" si="38"/>
        <v>0</v>
      </c>
      <c r="BN53" s="32">
        <f t="shared" si="39"/>
        <v>0</v>
      </c>
      <c r="BO53" s="12"/>
      <c r="BP53" s="12">
        <f t="shared" si="40"/>
        <v>0</v>
      </c>
      <c r="BQ53" s="32">
        <f t="shared" si="41"/>
        <v>0</v>
      </c>
      <c r="BR53" s="12">
        <v>4.0000000000000001E-3</v>
      </c>
      <c r="BS53" s="12">
        <f t="shared" si="42"/>
        <v>7.246376811594203E-3</v>
      </c>
      <c r="BT53" s="32">
        <f t="shared" si="43"/>
        <v>2.0006323841814289E-3</v>
      </c>
      <c r="BU53" s="12"/>
      <c r="BV53" s="12">
        <f t="shared" si="44"/>
        <v>0</v>
      </c>
      <c r="BW53" s="32">
        <f t="shared" si="45"/>
        <v>0</v>
      </c>
      <c r="BX53" s="12"/>
      <c r="BY53" s="12">
        <f t="shared" si="46"/>
        <v>0</v>
      </c>
      <c r="BZ53" s="32">
        <f t="shared" si="47"/>
        <v>0</v>
      </c>
      <c r="CA53" s="12"/>
      <c r="CB53" s="12">
        <f t="shared" si="48"/>
        <v>0</v>
      </c>
      <c r="CC53" s="32">
        <f t="shared" si="49"/>
        <v>0</v>
      </c>
      <c r="CD53" s="12"/>
      <c r="CE53" s="12">
        <f t="shared" si="50"/>
        <v>0</v>
      </c>
      <c r="CF53" s="32">
        <f t="shared" si="51"/>
        <v>0</v>
      </c>
      <c r="CG53" s="12"/>
      <c r="CH53" s="12">
        <f t="shared" si="52"/>
        <v>0</v>
      </c>
      <c r="CI53" s="32">
        <f t="shared" si="53"/>
        <v>0</v>
      </c>
      <c r="CJ53" s="12"/>
      <c r="CK53" s="12">
        <f t="shared" si="54"/>
        <v>0</v>
      </c>
      <c r="CL53" s="32">
        <f t="shared" si="55"/>
        <v>0</v>
      </c>
      <c r="CM53" s="12">
        <v>1E-3</v>
      </c>
      <c r="CN53" s="12">
        <f t="shared" si="56"/>
        <v>1.8115942028985507E-3</v>
      </c>
      <c r="CO53" s="32">
        <f t="shared" si="57"/>
        <v>1.1344710679321912E-2</v>
      </c>
      <c r="CP53" s="12"/>
      <c r="CQ53" s="12">
        <f t="shared" si="58"/>
        <v>0</v>
      </c>
      <c r="CR53" s="32">
        <f t="shared" si="59"/>
        <v>0</v>
      </c>
      <c r="CS53" s="12"/>
      <c r="CT53" s="12">
        <f t="shared" si="60"/>
        <v>0</v>
      </c>
      <c r="CU53" s="32">
        <f t="shared" si="61"/>
        <v>0</v>
      </c>
      <c r="CV53" s="12"/>
      <c r="CW53" s="12">
        <f t="shared" si="62"/>
        <v>0</v>
      </c>
      <c r="CX53" s="32">
        <f t="shared" si="63"/>
        <v>0</v>
      </c>
      <c r="CY53" s="12"/>
      <c r="CZ53" s="12">
        <f t="shared" si="64"/>
        <v>0</v>
      </c>
      <c r="DA53" s="32">
        <f t="shared" si="65"/>
        <v>0</v>
      </c>
      <c r="DB53" s="12"/>
      <c r="DC53" s="12">
        <f t="shared" si="66"/>
        <v>0</v>
      </c>
      <c r="DD53" s="32">
        <f t="shared" si="67"/>
        <v>0</v>
      </c>
      <c r="DE53" s="12"/>
      <c r="DF53" s="12">
        <f t="shared" si="68"/>
        <v>0</v>
      </c>
      <c r="DG53" s="32">
        <f t="shared" si="69"/>
        <v>0</v>
      </c>
      <c r="DH53" s="12"/>
      <c r="DI53" s="12">
        <f t="shared" si="77"/>
        <v>0</v>
      </c>
      <c r="DJ53" s="32">
        <f t="shared" si="70"/>
        <v>0</v>
      </c>
      <c r="DK53" s="12"/>
      <c r="DL53" s="12">
        <f t="shared" si="71"/>
        <v>0</v>
      </c>
      <c r="DM53" s="32">
        <f t="shared" si="72"/>
        <v>0</v>
      </c>
    </row>
    <row r="54" spans="1:117" s="6" customFormat="1" ht="22.25" customHeight="1" x14ac:dyDescent="0.35">
      <c r="A54" s="4">
        <v>47</v>
      </c>
      <c r="B54" s="4" t="s">
        <v>140</v>
      </c>
      <c r="C54" s="4" t="s">
        <v>141</v>
      </c>
      <c r="D54" s="7">
        <f t="shared" si="2"/>
        <v>32.026143790849673</v>
      </c>
      <c r="E54" s="7">
        <f>98/(12*255)*1000</f>
        <v>32.026143790849673</v>
      </c>
      <c r="F54" s="7">
        <v>1</v>
      </c>
      <c r="G54" s="7">
        <v>1</v>
      </c>
      <c r="H54" s="7">
        <f t="shared" si="74"/>
        <v>4.8039215686274508</v>
      </c>
      <c r="I54" s="9">
        <f t="shared" si="75"/>
        <v>36.830065359477125</v>
      </c>
      <c r="J54" s="13">
        <v>5.0000000000000001E-3</v>
      </c>
      <c r="K54" s="12">
        <f t="shared" si="73"/>
        <v>0.16013071895424838</v>
      </c>
      <c r="L54" s="32">
        <f t="shared" si="3"/>
        <v>1.6521206138033394E-2</v>
      </c>
      <c r="M54" s="12"/>
      <c r="N54" s="12">
        <f t="shared" si="4"/>
        <v>0</v>
      </c>
      <c r="O54" s="32">
        <f t="shared" si="5"/>
        <v>0</v>
      </c>
      <c r="P54" s="12"/>
      <c r="Q54" s="12">
        <f t="shared" si="76"/>
        <v>0</v>
      </c>
      <c r="R54" s="32">
        <f t="shared" si="7"/>
        <v>0</v>
      </c>
      <c r="S54" s="12"/>
      <c r="T54" s="12">
        <f t="shared" si="8"/>
        <v>0</v>
      </c>
      <c r="U54" s="32">
        <f t="shared" si="9"/>
        <v>0</v>
      </c>
      <c r="V54" s="12"/>
      <c r="W54" s="12">
        <f t="shared" si="10"/>
        <v>0</v>
      </c>
      <c r="X54" s="32">
        <f t="shared" si="11"/>
        <v>0</v>
      </c>
      <c r="Y54" s="12"/>
      <c r="Z54" s="12">
        <f t="shared" si="12"/>
        <v>0</v>
      </c>
      <c r="AA54" s="32">
        <f t="shared" si="13"/>
        <v>0</v>
      </c>
      <c r="AB54" s="12"/>
      <c r="AC54" s="12">
        <f t="shared" si="14"/>
        <v>0</v>
      </c>
      <c r="AD54" s="32">
        <f t="shared" si="15"/>
        <v>0</v>
      </c>
      <c r="AE54" s="12"/>
      <c r="AF54" s="37">
        <f t="shared" si="16"/>
        <v>0</v>
      </c>
      <c r="AG54" s="14">
        <f t="shared" si="17"/>
        <v>0</v>
      </c>
      <c r="AH54" s="12"/>
      <c r="AI54" s="12">
        <f t="shared" si="18"/>
        <v>0</v>
      </c>
      <c r="AJ54" s="32">
        <f t="shared" si="19"/>
        <v>0</v>
      </c>
      <c r="AK54" s="12"/>
      <c r="AL54" s="12">
        <f t="shared" si="20"/>
        <v>0</v>
      </c>
      <c r="AM54" s="32">
        <f t="shared" si="21"/>
        <v>0</v>
      </c>
      <c r="AN54" s="12"/>
      <c r="AO54" s="12">
        <f t="shared" si="22"/>
        <v>0</v>
      </c>
      <c r="AP54" s="32">
        <f t="shared" si="23"/>
        <v>0</v>
      </c>
      <c r="AQ54" s="12"/>
      <c r="AR54" s="12">
        <f t="shared" si="24"/>
        <v>0</v>
      </c>
      <c r="AS54" s="32">
        <f t="shared" si="25"/>
        <v>0</v>
      </c>
      <c r="AT54" s="12"/>
      <c r="AU54" s="12">
        <f t="shared" si="26"/>
        <v>0</v>
      </c>
      <c r="AV54" s="32">
        <f t="shared" si="27"/>
        <v>0</v>
      </c>
      <c r="AW54" s="12"/>
      <c r="AX54" s="12">
        <f t="shared" si="28"/>
        <v>0</v>
      </c>
      <c r="AY54" s="32">
        <f t="shared" si="29"/>
        <v>0</v>
      </c>
      <c r="AZ54" s="12"/>
      <c r="BA54" s="12">
        <f t="shared" si="30"/>
        <v>0</v>
      </c>
      <c r="BB54" s="32">
        <f t="shared" si="31"/>
        <v>0</v>
      </c>
      <c r="BC54" s="12"/>
      <c r="BD54" s="12">
        <f t="shared" si="32"/>
        <v>0</v>
      </c>
      <c r="BE54" s="32">
        <f t="shared" si="33"/>
        <v>0</v>
      </c>
      <c r="BF54" s="12"/>
      <c r="BG54" s="12">
        <f t="shared" si="34"/>
        <v>0</v>
      </c>
      <c r="BH54" s="32">
        <f t="shared" si="35"/>
        <v>0</v>
      </c>
      <c r="BI54" s="12"/>
      <c r="BJ54" s="12">
        <f t="shared" si="36"/>
        <v>0</v>
      </c>
      <c r="BK54" s="32">
        <f t="shared" si="37"/>
        <v>0</v>
      </c>
      <c r="BL54" s="12"/>
      <c r="BM54" s="12">
        <f t="shared" si="38"/>
        <v>0</v>
      </c>
      <c r="BN54" s="32">
        <f t="shared" si="39"/>
        <v>0</v>
      </c>
      <c r="BO54" s="12"/>
      <c r="BP54" s="12">
        <f t="shared" si="40"/>
        <v>0</v>
      </c>
      <c r="BQ54" s="32">
        <f t="shared" si="41"/>
        <v>0</v>
      </c>
      <c r="BR54" s="12"/>
      <c r="BS54" s="12">
        <f t="shared" si="42"/>
        <v>0</v>
      </c>
      <c r="BT54" s="32">
        <f t="shared" si="43"/>
        <v>0</v>
      </c>
      <c r="BU54" s="12"/>
      <c r="BV54" s="12">
        <f t="shared" si="44"/>
        <v>0</v>
      </c>
      <c r="BW54" s="32">
        <f t="shared" si="45"/>
        <v>0</v>
      </c>
      <c r="BX54" s="12"/>
      <c r="BY54" s="12">
        <f t="shared" si="46"/>
        <v>0</v>
      </c>
      <c r="BZ54" s="32">
        <f t="shared" si="47"/>
        <v>0</v>
      </c>
      <c r="CA54" s="12"/>
      <c r="CB54" s="12">
        <f t="shared" si="48"/>
        <v>0</v>
      </c>
      <c r="CC54" s="32">
        <f t="shared" si="49"/>
        <v>0</v>
      </c>
      <c r="CD54" s="12"/>
      <c r="CE54" s="12">
        <f t="shared" si="50"/>
        <v>0</v>
      </c>
      <c r="CF54" s="32">
        <f t="shared" si="51"/>
        <v>0</v>
      </c>
      <c r="CG54" s="12"/>
      <c r="CH54" s="12">
        <f t="shared" si="52"/>
        <v>0</v>
      </c>
      <c r="CI54" s="32">
        <f t="shared" si="53"/>
        <v>0</v>
      </c>
      <c r="CJ54" s="12"/>
      <c r="CK54" s="12">
        <f t="shared" si="54"/>
        <v>0</v>
      </c>
      <c r="CL54" s="32">
        <f t="shared" si="55"/>
        <v>0</v>
      </c>
      <c r="CM54" s="12"/>
      <c r="CN54" s="12">
        <f t="shared" si="56"/>
        <v>0</v>
      </c>
      <c r="CO54" s="32">
        <f t="shared" si="57"/>
        <v>0</v>
      </c>
      <c r="CP54" s="12"/>
      <c r="CQ54" s="12">
        <f t="shared" si="58"/>
        <v>0</v>
      </c>
      <c r="CR54" s="32">
        <f t="shared" si="59"/>
        <v>0</v>
      </c>
      <c r="CS54" s="12"/>
      <c r="CT54" s="12">
        <f t="shared" si="60"/>
        <v>0</v>
      </c>
      <c r="CU54" s="32">
        <f t="shared" si="61"/>
        <v>0</v>
      </c>
      <c r="CV54" s="12"/>
      <c r="CW54" s="12">
        <f t="shared" si="62"/>
        <v>0</v>
      </c>
      <c r="CX54" s="32">
        <f t="shared" si="63"/>
        <v>0</v>
      </c>
      <c r="CY54" s="12"/>
      <c r="CZ54" s="12">
        <f t="shared" si="64"/>
        <v>0</v>
      </c>
      <c r="DA54" s="32">
        <f t="shared" si="65"/>
        <v>0</v>
      </c>
      <c r="DB54" s="12"/>
      <c r="DC54" s="12">
        <f t="shared" si="66"/>
        <v>0</v>
      </c>
      <c r="DD54" s="32">
        <f t="shared" si="67"/>
        <v>0</v>
      </c>
      <c r="DE54" s="12"/>
      <c r="DF54" s="12">
        <f t="shared" si="68"/>
        <v>0</v>
      </c>
      <c r="DG54" s="32">
        <f t="shared" si="69"/>
        <v>0</v>
      </c>
      <c r="DH54" s="12"/>
      <c r="DI54" s="12">
        <f t="shared" si="77"/>
        <v>0</v>
      </c>
      <c r="DJ54" s="32">
        <f t="shared" si="70"/>
        <v>0</v>
      </c>
      <c r="DK54" s="12"/>
      <c r="DL54" s="12">
        <f t="shared" si="71"/>
        <v>0</v>
      </c>
      <c r="DM54" s="32">
        <f t="shared" si="72"/>
        <v>0</v>
      </c>
    </row>
    <row r="55" spans="1:117" s="6" customFormat="1" ht="22.25" customHeight="1" x14ac:dyDescent="0.35">
      <c r="A55" s="4">
        <v>48</v>
      </c>
      <c r="B55" s="4" t="s">
        <v>142</v>
      </c>
      <c r="C55" s="4" t="s">
        <v>143</v>
      </c>
      <c r="D55" s="7">
        <f t="shared" si="2"/>
        <v>1.3333333333333333</v>
      </c>
      <c r="E55" s="7">
        <f>20/15</f>
        <v>1.3333333333333333</v>
      </c>
      <c r="F55" s="7">
        <v>1</v>
      </c>
      <c r="G55" s="7">
        <v>1</v>
      </c>
      <c r="H55" s="7">
        <f t="shared" si="74"/>
        <v>0.19999999999999998</v>
      </c>
      <c r="I55" s="9">
        <f t="shared" si="75"/>
        <v>1.5333333333333332</v>
      </c>
      <c r="J55" s="13"/>
      <c r="K55" s="12">
        <f t="shared" si="73"/>
        <v>0</v>
      </c>
      <c r="L55" s="32">
        <f t="shared" si="3"/>
        <v>0</v>
      </c>
      <c r="M55" s="12"/>
      <c r="N55" s="12">
        <f t="shared" si="4"/>
        <v>0</v>
      </c>
      <c r="O55" s="32">
        <f t="shared" si="5"/>
        <v>0</v>
      </c>
      <c r="P55" s="12"/>
      <c r="Q55" s="12">
        <f t="shared" si="76"/>
        <v>0</v>
      </c>
      <c r="R55" s="32">
        <f t="shared" si="7"/>
        <v>0</v>
      </c>
      <c r="S55" s="12"/>
      <c r="T55" s="12">
        <f t="shared" si="8"/>
        <v>0</v>
      </c>
      <c r="U55" s="32">
        <f t="shared" si="9"/>
        <v>0</v>
      </c>
      <c r="V55" s="12"/>
      <c r="W55" s="12">
        <f t="shared" si="10"/>
        <v>0</v>
      </c>
      <c r="X55" s="32">
        <f t="shared" si="11"/>
        <v>0</v>
      </c>
      <c r="Y55" s="12"/>
      <c r="Z55" s="12">
        <f t="shared" si="12"/>
        <v>0</v>
      </c>
      <c r="AA55" s="32">
        <f t="shared" si="13"/>
        <v>0</v>
      </c>
      <c r="AB55" s="12"/>
      <c r="AC55" s="12">
        <f t="shared" si="14"/>
        <v>0</v>
      </c>
      <c r="AD55" s="32">
        <f t="shared" si="15"/>
        <v>0</v>
      </c>
      <c r="AE55" s="12"/>
      <c r="AF55" s="37">
        <f t="shared" si="16"/>
        <v>0</v>
      </c>
      <c r="AG55" s="14">
        <f t="shared" si="17"/>
        <v>0</v>
      </c>
      <c r="AH55" s="12"/>
      <c r="AI55" s="12">
        <f t="shared" si="18"/>
        <v>0</v>
      </c>
      <c r="AJ55" s="32">
        <f t="shared" si="19"/>
        <v>0</v>
      </c>
      <c r="AK55" s="12"/>
      <c r="AL55" s="12">
        <f t="shared" si="20"/>
        <v>0</v>
      </c>
      <c r="AM55" s="32">
        <f t="shared" si="21"/>
        <v>0</v>
      </c>
      <c r="AN55" s="12">
        <v>0.5</v>
      </c>
      <c r="AO55" s="12">
        <f t="shared" si="22"/>
        <v>0.66666666666666663</v>
      </c>
      <c r="AP55" s="32">
        <f t="shared" si="23"/>
        <v>0.16298962447746468</v>
      </c>
      <c r="AQ55" s="12"/>
      <c r="AR55" s="12">
        <f t="shared" si="24"/>
        <v>0</v>
      </c>
      <c r="AS55" s="32">
        <f t="shared" si="25"/>
        <v>0</v>
      </c>
      <c r="AT55" s="12"/>
      <c r="AU55" s="12">
        <f t="shared" si="26"/>
        <v>0</v>
      </c>
      <c r="AV55" s="32">
        <f t="shared" si="27"/>
        <v>0</v>
      </c>
      <c r="AW55" s="12"/>
      <c r="AX55" s="12">
        <f t="shared" si="28"/>
        <v>0</v>
      </c>
      <c r="AY55" s="32">
        <f t="shared" si="29"/>
        <v>0</v>
      </c>
      <c r="AZ55" s="12"/>
      <c r="BA55" s="12">
        <f t="shared" si="30"/>
        <v>0</v>
      </c>
      <c r="BB55" s="32">
        <f t="shared" si="31"/>
        <v>0</v>
      </c>
      <c r="BC55" s="12"/>
      <c r="BD55" s="12">
        <f t="shared" si="32"/>
        <v>0</v>
      </c>
      <c r="BE55" s="32">
        <f t="shared" si="33"/>
        <v>0</v>
      </c>
      <c r="BF55" s="12"/>
      <c r="BG55" s="12">
        <f t="shared" si="34"/>
        <v>0</v>
      </c>
      <c r="BH55" s="32">
        <f t="shared" si="35"/>
        <v>0</v>
      </c>
      <c r="BI55" s="12"/>
      <c r="BJ55" s="12">
        <f t="shared" si="36"/>
        <v>0</v>
      </c>
      <c r="BK55" s="32">
        <f t="shared" si="37"/>
        <v>0</v>
      </c>
      <c r="BL55" s="12"/>
      <c r="BM55" s="12">
        <f t="shared" si="38"/>
        <v>0</v>
      </c>
      <c r="BN55" s="32">
        <f t="shared" si="39"/>
        <v>0</v>
      </c>
      <c r="BO55" s="12"/>
      <c r="BP55" s="12">
        <f t="shared" si="40"/>
        <v>0</v>
      </c>
      <c r="BQ55" s="32">
        <f t="shared" si="41"/>
        <v>0</v>
      </c>
      <c r="BR55" s="12"/>
      <c r="BS55" s="12">
        <f t="shared" si="42"/>
        <v>0</v>
      </c>
      <c r="BT55" s="32">
        <f t="shared" si="43"/>
        <v>0</v>
      </c>
      <c r="BU55" s="12"/>
      <c r="BV55" s="12">
        <f t="shared" si="44"/>
        <v>0</v>
      </c>
      <c r="BW55" s="32">
        <f t="shared" si="45"/>
        <v>0</v>
      </c>
      <c r="BX55" s="12"/>
      <c r="BY55" s="12">
        <f t="shared" si="46"/>
        <v>0</v>
      </c>
      <c r="BZ55" s="32">
        <f t="shared" si="47"/>
        <v>0</v>
      </c>
      <c r="CA55" s="12"/>
      <c r="CB55" s="12">
        <f t="shared" si="48"/>
        <v>0</v>
      </c>
      <c r="CC55" s="32">
        <f t="shared" si="49"/>
        <v>0</v>
      </c>
      <c r="CD55" s="12"/>
      <c r="CE55" s="12">
        <f t="shared" si="50"/>
        <v>0</v>
      </c>
      <c r="CF55" s="32">
        <f t="shared" si="51"/>
        <v>0</v>
      </c>
      <c r="CG55" s="12"/>
      <c r="CH55" s="12">
        <f t="shared" si="52"/>
        <v>0</v>
      </c>
      <c r="CI55" s="32">
        <f t="shared" si="53"/>
        <v>0</v>
      </c>
      <c r="CJ55" s="12"/>
      <c r="CK55" s="12">
        <f t="shared" si="54"/>
        <v>0</v>
      </c>
      <c r="CL55" s="32">
        <f t="shared" si="55"/>
        <v>0</v>
      </c>
      <c r="CM55" s="12"/>
      <c r="CN55" s="12">
        <f t="shared" si="56"/>
        <v>0</v>
      </c>
      <c r="CO55" s="32">
        <f t="shared" si="57"/>
        <v>0</v>
      </c>
      <c r="CP55" s="12"/>
      <c r="CQ55" s="12">
        <f t="shared" si="58"/>
        <v>0</v>
      </c>
      <c r="CR55" s="32">
        <f t="shared" si="59"/>
        <v>0</v>
      </c>
      <c r="CS55" s="12">
        <f>3/5</f>
        <v>0.6</v>
      </c>
      <c r="CT55" s="12">
        <f>CS55*D55</f>
        <v>0.79999999999999993</v>
      </c>
      <c r="CU55" s="32">
        <f t="shared" si="61"/>
        <v>4.7166480182728394</v>
      </c>
      <c r="CV55" s="12"/>
      <c r="CW55" s="12">
        <f t="shared" si="62"/>
        <v>0</v>
      </c>
      <c r="CX55" s="32">
        <f t="shared" si="63"/>
        <v>0</v>
      </c>
      <c r="CY55" s="12"/>
      <c r="CZ55" s="12">
        <f t="shared" si="64"/>
        <v>0</v>
      </c>
      <c r="DA55" s="32">
        <f t="shared" si="65"/>
        <v>0</v>
      </c>
      <c r="DB55" s="12">
        <v>0.4</v>
      </c>
      <c r="DC55" s="12">
        <f>DB55*D55</f>
        <v>0.53333333333333333</v>
      </c>
      <c r="DD55" s="32">
        <f t="shared" si="67"/>
        <v>3.1444320121818929</v>
      </c>
      <c r="DE55" s="12"/>
      <c r="DF55" s="12">
        <f t="shared" si="68"/>
        <v>0</v>
      </c>
      <c r="DG55" s="32">
        <f t="shared" si="69"/>
        <v>0</v>
      </c>
      <c r="DH55" s="12"/>
      <c r="DI55" s="12">
        <f t="shared" si="77"/>
        <v>0</v>
      </c>
      <c r="DJ55" s="32">
        <f t="shared" si="70"/>
        <v>0</v>
      </c>
      <c r="DK55" s="12"/>
      <c r="DL55" s="12">
        <f t="shared" si="71"/>
        <v>0</v>
      </c>
      <c r="DM55" s="32">
        <f t="shared" si="72"/>
        <v>0</v>
      </c>
    </row>
    <row r="56" spans="1:117" s="6" customFormat="1" ht="22.25" customHeight="1" x14ac:dyDescent="0.35">
      <c r="A56" s="4">
        <v>49</v>
      </c>
      <c r="B56" s="4" t="s">
        <v>144</v>
      </c>
      <c r="C56" s="4" t="s">
        <v>145</v>
      </c>
      <c r="D56" s="7">
        <f t="shared" si="2"/>
        <v>5.218</v>
      </c>
      <c r="E56" s="7">
        <f>26.09/5</f>
        <v>5.218</v>
      </c>
      <c r="F56" s="7">
        <v>1</v>
      </c>
      <c r="G56" s="7">
        <v>1</v>
      </c>
      <c r="H56" s="7">
        <f t="shared" si="74"/>
        <v>0.78269999999999995</v>
      </c>
      <c r="I56" s="9">
        <f t="shared" si="75"/>
        <v>6.0007000000000001</v>
      </c>
      <c r="J56" s="13"/>
      <c r="K56" s="12">
        <f t="shared" si="73"/>
        <v>0</v>
      </c>
      <c r="L56" s="32">
        <f t="shared" si="3"/>
        <v>0</v>
      </c>
      <c r="M56" s="12"/>
      <c r="N56" s="12">
        <f t="shared" si="4"/>
        <v>0</v>
      </c>
      <c r="O56" s="32">
        <f t="shared" si="5"/>
        <v>0</v>
      </c>
      <c r="P56" s="12"/>
      <c r="Q56" s="12">
        <f t="shared" si="76"/>
        <v>0</v>
      </c>
      <c r="R56" s="32">
        <f t="shared" si="7"/>
        <v>0</v>
      </c>
      <c r="S56" s="12"/>
      <c r="T56" s="12">
        <f t="shared" si="8"/>
        <v>0</v>
      </c>
      <c r="U56" s="32">
        <f t="shared" si="9"/>
        <v>0</v>
      </c>
      <c r="V56" s="12"/>
      <c r="W56" s="12">
        <f t="shared" si="10"/>
        <v>0</v>
      </c>
      <c r="X56" s="32">
        <f t="shared" si="11"/>
        <v>0</v>
      </c>
      <c r="Y56" s="12"/>
      <c r="Z56" s="12">
        <f t="shared" si="12"/>
        <v>0</v>
      </c>
      <c r="AA56" s="32">
        <f t="shared" si="13"/>
        <v>0</v>
      </c>
      <c r="AB56" s="12"/>
      <c r="AC56" s="12">
        <f t="shared" si="14"/>
        <v>0</v>
      </c>
      <c r="AD56" s="32">
        <f t="shared" si="15"/>
        <v>0</v>
      </c>
      <c r="AE56" s="12"/>
      <c r="AF56" s="37">
        <f t="shared" si="16"/>
        <v>0</v>
      </c>
      <c r="AG56" s="14">
        <f t="shared" si="17"/>
        <v>0</v>
      </c>
      <c r="AH56" s="12"/>
      <c r="AI56" s="12">
        <f t="shared" si="18"/>
        <v>0</v>
      </c>
      <c r="AJ56" s="32">
        <f t="shared" si="19"/>
        <v>0</v>
      </c>
      <c r="AK56" s="12"/>
      <c r="AL56" s="12">
        <f t="shared" si="20"/>
        <v>0</v>
      </c>
      <c r="AM56" s="32">
        <f t="shared" si="21"/>
        <v>0</v>
      </c>
      <c r="AN56" s="12"/>
      <c r="AO56" s="12">
        <f t="shared" si="22"/>
        <v>0</v>
      </c>
      <c r="AP56" s="32">
        <f t="shared" si="23"/>
        <v>0</v>
      </c>
      <c r="AQ56" s="12"/>
      <c r="AR56" s="12">
        <f t="shared" si="24"/>
        <v>0</v>
      </c>
      <c r="AS56" s="32">
        <f t="shared" si="25"/>
        <v>0</v>
      </c>
      <c r="AT56" s="12">
        <v>0.04</v>
      </c>
      <c r="AU56" s="12">
        <f t="shared" si="26"/>
        <v>0.20872000000000002</v>
      </c>
      <c r="AV56" s="32">
        <f t="shared" si="27"/>
        <v>0.15427701032726335</v>
      </c>
      <c r="AW56" s="12"/>
      <c r="AX56" s="12">
        <f t="shared" si="28"/>
        <v>0</v>
      </c>
      <c r="AY56" s="32">
        <f t="shared" si="29"/>
        <v>0</v>
      </c>
      <c r="AZ56" s="12"/>
      <c r="BA56" s="12">
        <f t="shared" si="30"/>
        <v>0</v>
      </c>
      <c r="BB56" s="32">
        <f t="shared" si="31"/>
        <v>0</v>
      </c>
      <c r="BC56" s="12"/>
      <c r="BD56" s="12">
        <f t="shared" si="32"/>
        <v>0</v>
      </c>
      <c r="BE56" s="32">
        <f t="shared" si="33"/>
        <v>0</v>
      </c>
      <c r="BF56" s="12"/>
      <c r="BG56" s="12">
        <f t="shared" si="34"/>
        <v>0</v>
      </c>
      <c r="BH56" s="32">
        <f t="shared" si="35"/>
        <v>0</v>
      </c>
      <c r="BI56" s="12"/>
      <c r="BJ56" s="12">
        <f t="shared" si="36"/>
        <v>0</v>
      </c>
      <c r="BK56" s="32">
        <f t="shared" si="37"/>
        <v>0</v>
      </c>
      <c r="BL56" s="12"/>
      <c r="BM56" s="12">
        <f t="shared" si="38"/>
        <v>0</v>
      </c>
      <c r="BN56" s="32">
        <f t="shared" si="39"/>
        <v>0</v>
      </c>
      <c r="BO56" s="12"/>
      <c r="BP56" s="12">
        <f t="shared" si="40"/>
        <v>0</v>
      </c>
      <c r="BQ56" s="32">
        <f t="shared" si="41"/>
        <v>0</v>
      </c>
      <c r="BR56" s="12"/>
      <c r="BS56" s="12">
        <f t="shared" si="42"/>
        <v>0</v>
      </c>
      <c r="BT56" s="32">
        <f t="shared" si="43"/>
        <v>0</v>
      </c>
      <c r="BU56" s="12"/>
      <c r="BV56" s="12">
        <f t="shared" si="44"/>
        <v>0</v>
      </c>
      <c r="BW56" s="32">
        <f t="shared" si="45"/>
        <v>0</v>
      </c>
      <c r="BX56" s="12"/>
      <c r="BY56" s="12">
        <f t="shared" si="46"/>
        <v>0</v>
      </c>
      <c r="BZ56" s="32">
        <f t="shared" si="47"/>
        <v>0</v>
      </c>
      <c r="CA56" s="12"/>
      <c r="CB56" s="12">
        <f t="shared" si="48"/>
        <v>0</v>
      </c>
      <c r="CC56" s="32">
        <f t="shared" si="49"/>
        <v>0</v>
      </c>
      <c r="CD56" s="12"/>
      <c r="CE56" s="12">
        <f t="shared" si="50"/>
        <v>0</v>
      </c>
      <c r="CF56" s="32">
        <f t="shared" si="51"/>
        <v>0</v>
      </c>
      <c r="CG56" s="12"/>
      <c r="CH56" s="12">
        <f t="shared" si="52"/>
        <v>0</v>
      </c>
      <c r="CI56" s="32">
        <f t="shared" si="53"/>
        <v>0</v>
      </c>
      <c r="CJ56" s="12"/>
      <c r="CK56" s="12">
        <f t="shared" si="54"/>
        <v>0</v>
      </c>
      <c r="CL56" s="32">
        <f t="shared" si="55"/>
        <v>0</v>
      </c>
      <c r="CM56" s="12"/>
      <c r="CN56" s="12">
        <f t="shared" si="56"/>
        <v>0</v>
      </c>
      <c r="CO56" s="32">
        <f t="shared" si="57"/>
        <v>0</v>
      </c>
      <c r="CP56" s="12"/>
      <c r="CQ56" s="12">
        <f t="shared" si="58"/>
        <v>0</v>
      </c>
      <c r="CR56" s="32">
        <f t="shared" si="59"/>
        <v>0</v>
      </c>
      <c r="CS56" s="12"/>
      <c r="CT56" s="12">
        <f t="shared" si="60"/>
        <v>0</v>
      </c>
      <c r="CU56" s="32">
        <f t="shared" si="61"/>
        <v>0</v>
      </c>
      <c r="CV56" s="12"/>
      <c r="CW56" s="12">
        <f t="shared" si="62"/>
        <v>0</v>
      </c>
      <c r="CX56" s="32">
        <f t="shared" si="63"/>
        <v>0</v>
      </c>
      <c r="CY56" s="12"/>
      <c r="CZ56" s="12">
        <f t="shared" si="64"/>
        <v>0</v>
      </c>
      <c r="DA56" s="32">
        <f t="shared" si="65"/>
        <v>0</v>
      </c>
      <c r="DB56" s="12"/>
      <c r="DC56" s="12">
        <f t="shared" si="66"/>
        <v>0</v>
      </c>
      <c r="DD56" s="32">
        <f t="shared" si="67"/>
        <v>0</v>
      </c>
      <c r="DE56" s="12"/>
      <c r="DF56" s="12">
        <f t="shared" si="68"/>
        <v>0</v>
      </c>
      <c r="DG56" s="32">
        <f t="shared" si="69"/>
        <v>0</v>
      </c>
      <c r="DH56" s="12"/>
      <c r="DI56" s="12">
        <f t="shared" si="77"/>
        <v>0</v>
      </c>
      <c r="DJ56" s="32">
        <f t="shared" si="70"/>
        <v>0</v>
      </c>
      <c r="DK56" s="12"/>
      <c r="DL56" s="12">
        <f t="shared" si="71"/>
        <v>0</v>
      </c>
      <c r="DM56" s="32">
        <f t="shared" si="72"/>
        <v>0</v>
      </c>
    </row>
    <row r="57" spans="1:117" s="6" customFormat="1" ht="22.25" customHeight="1" x14ac:dyDescent="0.35">
      <c r="A57" s="4">
        <v>50</v>
      </c>
      <c r="B57" s="4" t="s">
        <v>146</v>
      </c>
      <c r="C57" s="4" t="s">
        <v>147</v>
      </c>
      <c r="D57" s="7">
        <f t="shared" si="2"/>
        <v>25</v>
      </c>
      <c r="E57" s="7">
        <v>25</v>
      </c>
      <c r="F57" s="7">
        <v>1</v>
      </c>
      <c r="G57" s="7">
        <v>1</v>
      </c>
      <c r="H57" s="7">
        <f t="shared" si="74"/>
        <v>3.75</v>
      </c>
      <c r="I57" s="9">
        <f t="shared" si="75"/>
        <v>28.75</v>
      </c>
      <c r="J57" s="13"/>
      <c r="K57" s="12">
        <f t="shared" si="73"/>
        <v>0</v>
      </c>
      <c r="L57" s="32">
        <f t="shared" si="3"/>
        <v>0</v>
      </c>
      <c r="M57" s="12">
        <v>0.03</v>
      </c>
      <c r="N57" s="12">
        <f t="shared" si="4"/>
        <v>0.75</v>
      </c>
      <c r="O57" s="32">
        <f t="shared" si="5"/>
        <v>0.10042472965662776</v>
      </c>
      <c r="P57" s="12"/>
      <c r="Q57" s="12">
        <f t="shared" si="76"/>
        <v>0</v>
      </c>
      <c r="R57" s="32">
        <f t="shared" si="7"/>
        <v>0</v>
      </c>
      <c r="S57" s="12">
        <v>2.5000000000000001E-2</v>
      </c>
      <c r="T57" s="12">
        <f t="shared" si="8"/>
        <v>0.625</v>
      </c>
      <c r="U57" s="32">
        <f t="shared" si="9"/>
        <v>0.12415781732130463</v>
      </c>
      <c r="V57" s="12"/>
      <c r="W57" s="12">
        <f t="shared" si="10"/>
        <v>0</v>
      </c>
      <c r="X57" s="32">
        <f t="shared" si="11"/>
        <v>0</v>
      </c>
      <c r="Y57" s="12"/>
      <c r="Z57" s="12">
        <f t="shared" si="12"/>
        <v>0</v>
      </c>
      <c r="AA57" s="32">
        <f t="shared" si="13"/>
        <v>0</v>
      </c>
      <c r="AB57" s="12"/>
      <c r="AC57" s="12">
        <f t="shared" si="14"/>
        <v>0</v>
      </c>
      <c r="AD57" s="32">
        <f t="shared" si="15"/>
        <v>0</v>
      </c>
      <c r="AE57" s="12"/>
      <c r="AF57" s="37">
        <f t="shared" si="16"/>
        <v>0</v>
      </c>
      <c r="AG57" s="14">
        <f t="shared" si="17"/>
        <v>0</v>
      </c>
      <c r="AH57" s="12"/>
      <c r="AI57" s="12">
        <f t="shared" si="18"/>
        <v>0</v>
      </c>
      <c r="AJ57" s="32">
        <f t="shared" si="19"/>
        <v>0</v>
      </c>
      <c r="AK57" s="12"/>
      <c r="AL57" s="12">
        <f t="shared" si="20"/>
        <v>0</v>
      </c>
      <c r="AM57" s="32">
        <f t="shared" si="21"/>
        <v>0</v>
      </c>
      <c r="AN57" s="12"/>
      <c r="AO57" s="12">
        <f t="shared" si="22"/>
        <v>0</v>
      </c>
      <c r="AP57" s="32">
        <f t="shared" si="23"/>
        <v>0</v>
      </c>
      <c r="AQ57" s="12"/>
      <c r="AR57" s="12">
        <f t="shared" si="24"/>
        <v>0</v>
      </c>
      <c r="AS57" s="32">
        <f t="shared" si="25"/>
        <v>0</v>
      </c>
      <c r="AT57" s="12"/>
      <c r="AU57" s="12">
        <f t="shared" si="26"/>
        <v>0</v>
      </c>
      <c r="AV57" s="32">
        <f t="shared" si="27"/>
        <v>0</v>
      </c>
      <c r="AW57" s="12"/>
      <c r="AX57" s="12">
        <f t="shared" si="28"/>
        <v>0</v>
      </c>
      <c r="AY57" s="32">
        <f t="shared" si="29"/>
        <v>0</v>
      </c>
      <c r="AZ57" s="12"/>
      <c r="BA57" s="12">
        <f t="shared" si="30"/>
        <v>0</v>
      </c>
      <c r="BB57" s="32">
        <f t="shared" si="31"/>
        <v>0</v>
      </c>
      <c r="BC57" s="12"/>
      <c r="BD57" s="12">
        <f t="shared" si="32"/>
        <v>0</v>
      </c>
      <c r="BE57" s="32">
        <f t="shared" si="33"/>
        <v>0</v>
      </c>
      <c r="BF57" s="12"/>
      <c r="BG57" s="12">
        <f t="shared" si="34"/>
        <v>0</v>
      </c>
      <c r="BH57" s="32">
        <f t="shared" si="35"/>
        <v>0</v>
      </c>
      <c r="BI57" s="12"/>
      <c r="BJ57" s="12">
        <f t="shared" si="36"/>
        <v>0</v>
      </c>
      <c r="BK57" s="32">
        <f t="shared" si="37"/>
        <v>0</v>
      </c>
      <c r="BL57" s="12"/>
      <c r="BM57" s="12">
        <f t="shared" si="38"/>
        <v>0</v>
      </c>
      <c r="BN57" s="32">
        <f t="shared" si="39"/>
        <v>0</v>
      </c>
      <c r="BO57" s="12"/>
      <c r="BP57" s="12">
        <f t="shared" si="40"/>
        <v>0</v>
      </c>
      <c r="BQ57" s="32">
        <f t="shared" si="41"/>
        <v>0</v>
      </c>
      <c r="BR57" s="12"/>
      <c r="BS57" s="12">
        <f t="shared" si="42"/>
        <v>0</v>
      </c>
      <c r="BT57" s="32">
        <f t="shared" si="43"/>
        <v>0</v>
      </c>
      <c r="BU57" s="12"/>
      <c r="BV57" s="12">
        <f t="shared" si="44"/>
        <v>0</v>
      </c>
      <c r="BW57" s="32">
        <f t="shared" si="45"/>
        <v>0</v>
      </c>
      <c r="BX57" s="12"/>
      <c r="BY57" s="12">
        <f t="shared" si="46"/>
        <v>0</v>
      </c>
      <c r="BZ57" s="32">
        <f t="shared" si="47"/>
        <v>0</v>
      </c>
      <c r="CA57" s="12"/>
      <c r="CB57" s="12">
        <f t="shared" si="48"/>
        <v>0</v>
      </c>
      <c r="CC57" s="32">
        <f t="shared" si="49"/>
        <v>0</v>
      </c>
      <c r="CD57" s="12"/>
      <c r="CE57" s="12">
        <f t="shared" si="50"/>
        <v>0</v>
      </c>
      <c r="CF57" s="32">
        <f t="shared" si="51"/>
        <v>0</v>
      </c>
      <c r="CG57" s="12"/>
      <c r="CH57" s="12">
        <f t="shared" si="52"/>
        <v>0</v>
      </c>
      <c r="CI57" s="32">
        <f t="shared" si="53"/>
        <v>0</v>
      </c>
      <c r="CJ57" s="12"/>
      <c r="CK57" s="12">
        <f t="shared" si="54"/>
        <v>0</v>
      </c>
      <c r="CL57" s="32">
        <f t="shared" si="55"/>
        <v>0</v>
      </c>
      <c r="CM57" s="12"/>
      <c r="CN57" s="12">
        <f t="shared" si="56"/>
        <v>0</v>
      </c>
      <c r="CO57" s="32">
        <f t="shared" si="57"/>
        <v>0</v>
      </c>
      <c r="CP57" s="12"/>
      <c r="CQ57" s="12">
        <f t="shared" si="58"/>
        <v>0</v>
      </c>
      <c r="CR57" s="32">
        <f t="shared" si="59"/>
        <v>0</v>
      </c>
      <c r="CS57" s="12"/>
      <c r="CT57" s="12">
        <f t="shared" si="60"/>
        <v>0</v>
      </c>
      <c r="CU57" s="32">
        <f t="shared" si="61"/>
        <v>0</v>
      </c>
      <c r="CV57" s="12"/>
      <c r="CW57" s="12">
        <f t="shared" si="62"/>
        <v>0</v>
      </c>
      <c r="CX57" s="32">
        <f t="shared" si="63"/>
        <v>0</v>
      </c>
      <c r="CY57" s="12"/>
      <c r="CZ57" s="12">
        <f t="shared" si="64"/>
        <v>0</v>
      </c>
      <c r="DA57" s="32">
        <f t="shared" si="65"/>
        <v>0</v>
      </c>
      <c r="DB57" s="12"/>
      <c r="DC57" s="12">
        <f t="shared" si="66"/>
        <v>0</v>
      </c>
      <c r="DD57" s="32">
        <f t="shared" si="67"/>
        <v>0</v>
      </c>
      <c r="DE57" s="12"/>
      <c r="DF57" s="12">
        <f t="shared" si="68"/>
        <v>0</v>
      </c>
      <c r="DG57" s="32">
        <f t="shared" si="69"/>
        <v>0</v>
      </c>
      <c r="DH57" s="12"/>
      <c r="DI57" s="12">
        <f t="shared" si="77"/>
        <v>0</v>
      </c>
      <c r="DJ57" s="32">
        <f t="shared" si="70"/>
        <v>0</v>
      </c>
      <c r="DK57" s="12"/>
      <c r="DL57" s="12">
        <f t="shared" si="71"/>
        <v>0</v>
      </c>
      <c r="DM57" s="32">
        <f t="shared" si="72"/>
        <v>0</v>
      </c>
    </row>
    <row r="58" spans="1:117" s="6" customFormat="1" ht="22.25" customHeight="1" x14ac:dyDescent="0.35">
      <c r="A58" s="4">
        <v>51</v>
      </c>
      <c r="B58" s="4" t="s">
        <v>148</v>
      </c>
      <c r="C58" s="4" t="s">
        <v>149</v>
      </c>
      <c r="D58" s="7">
        <f t="shared" si="2"/>
        <v>1.8518518518518519</v>
      </c>
      <c r="E58" s="7">
        <f>10/6</f>
        <v>1.6666666666666667</v>
      </c>
      <c r="F58" s="7">
        <v>1</v>
      </c>
      <c r="G58" s="7">
        <v>0.9</v>
      </c>
      <c r="H58" s="7">
        <f t="shared" si="74"/>
        <v>0.27777777777777779</v>
      </c>
      <c r="I58" s="9">
        <f t="shared" si="75"/>
        <v>2.1296296296296298</v>
      </c>
      <c r="J58" s="13"/>
      <c r="K58" s="12">
        <f t="shared" si="73"/>
        <v>0</v>
      </c>
      <c r="L58" s="32">
        <f t="shared" si="3"/>
        <v>0</v>
      </c>
      <c r="M58" s="12"/>
      <c r="N58" s="12">
        <f t="shared" si="4"/>
        <v>0</v>
      </c>
      <c r="O58" s="32">
        <f t="shared" si="5"/>
        <v>0</v>
      </c>
      <c r="P58" s="12"/>
      <c r="Q58" s="12">
        <f t="shared" si="76"/>
        <v>0</v>
      </c>
      <c r="R58" s="32">
        <f t="shared" si="7"/>
        <v>0</v>
      </c>
      <c r="S58" s="12"/>
      <c r="T58" s="12">
        <f t="shared" si="8"/>
        <v>0</v>
      </c>
      <c r="U58" s="32">
        <f t="shared" si="9"/>
        <v>0</v>
      </c>
      <c r="V58" s="12"/>
      <c r="W58" s="12">
        <f t="shared" si="10"/>
        <v>0</v>
      </c>
      <c r="X58" s="32">
        <f t="shared" si="11"/>
        <v>0</v>
      </c>
      <c r="Y58" s="12"/>
      <c r="Z58" s="12">
        <f t="shared" si="12"/>
        <v>0</v>
      </c>
      <c r="AA58" s="32">
        <f t="shared" si="13"/>
        <v>0</v>
      </c>
      <c r="AB58" s="12"/>
      <c r="AC58" s="12">
        <f t="shared" si="14"/>
        <v>0</v>
      </c>
      <c r="AD58" s="32">
        <f t="shared" si="15"/>
        <v>0</v>
      </c>
      <c r="AE58" s="12"/>
      <c r="AF58" s="37">
        <f t="shared" si="16"/>
        <v>0</v>
      </c>
      <c r="AG58" s="14">
        <f t="shared" si="17"/>
        <v>0</v>
      </c>
      <c r="AH58" s="12"/>
      <c r="AI58" s="12">
        <f t="shared" si="18"/>
        <v>0</v>
      </c>
      <c r="AJ58" s="32">
        <f t="shared" si="19"/>
        <v>0</v>
      </c>
      <c r="AK58" s="12"/>
      <c r="AL58" s="12">
        <f t="shared" si="20"/>
        <v>0</v>
      </c>
      <c r="AM58" s="32">
        <f t="shared" si="21"/>
        <v>0</v>
      </c>
      <c r="AN58" s="12"/>
      <c r="AO58" s="12">
        <f t="shared" si="22"/>
        <v>0</v>
      </c>
      <c r="AP58" s="32">
        <f t="shared" si="23"/>
        <v>0</v>
      </c>
      <c r="AQ58" s="12"/>
      <c r="AR58" s="12">
        <f t="shared" si="24"/>
        <v>0</v>
      </c>
      <c r="AS58" s="32">
        <f t="shared" si="25"/>
        <v>0</v>
      </c>
      <c r="AT58" s="12"/>
      <c r="AU58" s="12">
        <f t="shared" si="26"/>
        <v>0</v>
      </c>
      <c r="AV58" s="32">
        <f t="shared" si="27"/>
        <v>0</v>
      </c>
      <c r="AW58" s="12"/>
      <c r="AX58" s="12">
        <f t="shared" si="28"/>
        <v>0</v>
      </c>
      <c r="AY58" s="32">
        <f t="shared" si="29"/>
        <v>0</v>
      </c>
      <c r="AZ58" s="12"/>
      <c r="BA58" s="12">
        <f t="shared" si="30"/>
        <v>0</v>
      </c>
      <c r="BB58" s="32">
        <f t="shared" si="31"/>
        <v>0</v>
      </c>
      <c r="BC58" s="12"/>
      <c r="BD58" s="12">
        <f t="shared" si="32"/>
        <v>0</v>
      </c>
      <c r="BE58" s="32">
        <f t="shared" si="33"/>
        <v>0</v>
      </c>
      <c r="BF58" s="12"/>
      <c r="BG58" s="12">
        <f t="shared" si="34"/>
        <v>0</v>
      </c>
      <c r="BH58" s="32">
        <f t="shared" si="35"/>
        <v>0</v>
      </c>
      <c r="BI58" s="12"/>
      <c r="BJ58" s="12">
        <f t="shared" si="36"/>
        <v>0</v>
      </c>
      <c r="BK58" s="32">
        <f t="shared" si="37"/>
        <v>0</v>
      </c>
      <c r="BL58" s="12"/>
      <c r="BM58" s="12">
        <f t="shared" si="38"/>
        <v>0</v>
      </c>
      <c r="BN58" s="32">
        <f t="shared" si="39"/>
        <v>0</v>
      </c>
      <c r="BO58" s="12"/>
      <c r="BP58" s="12">
        <f t="shared" si="40"/>
        <v>0</v>
      </c>
      <c r="BQ58" s="32">
        <f t="shared" si="41"/>
        <v>0</v>
      </c>
      <c r="BR58" s="12"/>
      <c r="BS58" s="12">
        <f t="shared" si="42"/>
        <v>0</v>
      </c>
      <c r="BT58" s="32">
        <f t="shared" si="43"/>
        <v>0</v>
      </c>
      <c r="BU58" s="12">
        <v>6.0000000000000001E-3</v>
      </c>
      <c r="BV58" s="12">
        <f t="shared" si="44"/>
        <v>1.1111111111111112E-2</v>
      </c>
      <c r="BW58" s="32">
        <f t="shared" si="45"/>
        <v>3.3144955889267778E-3</v>
      </c>
      <c r="BX58" s="12"/>
      <c r="BY58" s="12">
        <f t="shared" si="46"/>
        <v>0</v>
      </c>
      <c r="BZ58" s="32">
        <f t="shared" si="47"/>
        <v>0</v>
      </c>
      <c r="CA58" s="12"/>
      <c r="CB58" s="12">
        <f t="shared" si="48"/>
        <v>0</v>
      </c>
      <c r="CC58" s="32">
        <f t="shared" si="49"/>
        <v>0</v>
      </c>
      <c r="CD58" s="12"/>
      <c r="CE58" s="12">
        <f t="shared" si="50"/>
        <v>0</v>
      </c>
      <c r="CF58" s="32">
        <f t="shared" si="51"/>
        <v>0</v>
      </c>
      <c r="CG58" s="12"/>
      <c r="CH58" s="12">
        <f t="shared" si="52"/>
        <v>0</v>
      </c>
      <c r="CI58" s="32">
        <f t="shared" si="53"/>
        <v>0</v>
      </c>
      <c r="CJ58" s="12"/>
      <c r="CK58" s="12">
        <f t="shared" si="54"/>
        <v>0</v>
      </c>
      <c r="CL58" s="32">
        <f t="shared" si="55"/>
        <v>0</v>
      </c>
      <c r="CM58" s="12"/>
      <c r="CN58" s="12">
        <f t="shared" si="56"/>
        <v>0</v>
      </c>
      <c r="CO58" s="32">
        <f t="shared" si="57"/>
        <v>0</v>
      </c>
      <c r="CP58" s="12"/>
      <c r="CQ58" s="12">
        <f t="shared" si="58"/>
        <v>0</v>
      </c>
      <c r="CR58" s="32">
        <f t="shared" si="59"/>
        <v>0</v>
      </c>
      <c r="CS58" s="12"/>
      <c r="CT58" s="12">
        <f t="shared" si="60"/>
        <v>0</v>
      </c>
      <c r="CU58" s="32">
        <f t="shared" si="61"/>
        <v>0</v>
      </c>
      <c r="CV58" s="12"/>
      <c r="CW58" s="12">
        <f t="shared" si="62"/>
        <v>0</v>
      </c>
      <c r="CX58" s="32">
        <f t="shared" si="63"/>
        <v>0</v>
      </c>
      <c r="CY58" s="12"/>
      <c r="CZ58" s="12">
        <f t="shared" si="64"/>
        <v>0</v>
      </c>
      <c r="DA58" s="32">
        <f t="shared" si="65"/>
        <v>0</v>
      </c>
      <c r="DB58" s="12"/>
      <c r="DC58" s="12">
        <f t="shared" si="66"/>
        <v>0</v>
      </c>
      <c r="DD58" s="32">
        <f t="shared" si="67"/>
        <v>0</v>
      </c>
      <c r="DE58" s="12"/>
      <c r="DF58" s="12">
        <f t="shared" si="68"/>
        <v>0</v>
      </c>
      <c r="DG58" s="32">
        <f t="shared" si="69"/>
        <v>0</v>
      </c>
      <c r="DH58" s="12"/>
      <c r="DI58" s="12">
        <f t="shared" si="77"/>
        <v>0</v>
      </c>
      <c r="DJ58" s="32">
        <f t="shared" si="70"/>
        <v>0</v>
      </c>
      <c r="DK58" s="12"/>
      <c r="DL58" s="12">
        <f t="shared" si="71"/>
        <v>0</v>
      </c>
      <c r="DM58" s="32">
        <f t="shared" si="72"/>
        <v>0</v>
      </c>
    </row>
    <row r="59" spans="1:117" s="6" customFormat="1" ht="22.25" customHeight="1" x14ac:dyDescent="0.35">
      <c r="A59" s="4">
        <v>52</v>
      </c>
      <c r="B59" s="4" t="s">
        <v>150</v>
      </c>
      <c r="C59" s="4" t="s">
        <v>151</v>
      </c>
      <c r="D59" s="7">
        <f t="shared" si="2"/>
        <v>8.3333333333333339</v>
      </c>
      <c r="E59" s="7">
        <f>100/12</f>
        <v>8.3333333333333339</v>
      </c>
      <c r="F59" s="7">
        <v>1</v>
      </c>
      <c r="G59" s="7">
        <v>1</v>
      </c>
      <c r="H59" s="7">
        <f t="shared" si="74"/>
        <v>1.25</v>
      </c>
      <c r="I59" s="9">
        <f t="shared" si="75"/>
        <v>9.5833333333333339</v>
      </c>
      <c r="J59" s="13"/>
      <c r="K59" s="12">
        <f t="shared" si="73"/>
        <v>0</v>
      </c>
      <c r="L59" s="32">
        <f t="shared" si="3"/>
        <v>0</v>
      </c>
      <c r="M59" s="12"/>
      <c r="N59" s="12">
        <f t="shared" si="4"/>
        <v>0</v>
      </c>
      <c r="O59" s="32">
        <f t="shared" si="5"/>
        <v>0</v>
      </c>
      <c r="P59" s="12"/>
      <c r="Q59" s="12">
        <f t="shared" si="76"/>
        <v>0</v>
      </c>
      <c r="R59" s="32">
        <f t="shared" si="7"/>
        <v>0</v>
      </c>
      <c r="S59" s="12"/>
      <c r="T59" s="12">
        <f t="shared" si="8"/>
        <v>0</v>
      </c>
      <c r="U59" s="32">
        <f t="shared" si="9"/>
        <v>0</v>
      </c>
      <c r="V59" s="12"/>
      <c r="W59" s="12">
        <f t="shared" si="10"/>
        <v>0</v>
      </c>
      <c r="X59" s="32">
        <f t="shared" si="11"/>
        <v>0</v>
      </c>
      <c r="Y59" s="12"/>
      <c r="Z59" s="12">
        <f t="shared" si="12"/>
        <v>0</v>
      </c>
      <c r="AA59" s="32">
        <f t="shared" si="13"/>
        <v>0</v>
      </c>
      <c r="AB59" s="12"/>
      <c r="AC59" s="12">
        <f t="shared" si="14"/>
        <v>0</v>
      </c>
      <c r="AD59" s="32">
        <f t="shared" si="15"/>
        <v>0</v>
      </c>
      <c r="AE59" s="12"/>
      <c r="AF59" s="37">
        <f t="shared" si="16"/>
        <v>0</v>
      </c>
      <c r="AG59" s="14">
        <f t="shared" si="17"/>
        <v>0</v>
      </c>
      <c r="AH59" s="12"/>
      <c r="AI59" s="12">
        <f t="shared" si="18"/>
        <v>0</v>
      </c>
      <c r="AJ59" s="32">
        <f t="shared" si="19"/>
        <v>0</v>
      </c>
      <c r="AK59" s="12"/>
      <c r="AL59" s="12">
        <f t="shared" si="20"/>
        <v>0</v>
      </c>
      <c r="AM59" s="32">
        <f t="shared" si="21"/>
        <v>0</v>
      </c>
      <c r="AN59" s="12"/>
      <c r="AO59" s="12">
        <f t="shared" si="22"/>
        <v>0</v>
      </c>
      <c r="AP59" s="32">
        <f t="shared" si="23"/>
        <v>0</v>
      </c>
      <c r="AQ59" s="12"/>
      <c r="AR59" s="12">
        <f t="shared" si="24"/>
        <v>0</v>
      </c>
      <c r="AS59" s="32">
        <f t="shared" si="25"/>
        <v>0</v>
      </c>
      <c r="AT59" s="12"/>
      <c r="AU59" s="12">
        <f t="shared" si="26"/>
        <v>0</v>
      </c>
      <c r="AV59" s="32">
        <f t="shared" si="27"/>
        <v>0</v>
      </c>
      <c r="AW59" s="12"/>
      <c r="AX59" s="12">
        <f t="shared" si="28"/>
        <v>0</v>
      </c>
      <c r="AY59" s="32">
        <f t="shared" si="29"/>
        <v>0</v>
      </c>
      <c r="AZ59" s="12"/>
      <c r="BA59" s="12">
        <f t="shared" si="30"/>
        <v>0</v>
      </c>
      <c r="BB59" s="32">
        <f t="shared" si="31"/>
        <v>0</v>
      </c>
      <c r="BC59" s="12"/>
      <c r="BD59" s="12">
        <f t="shared" si="32"/>
        <v>0</v>
      </c>
      <c r="BE59" s="32">
        <f t="shared" si="33"/>
        <v>0</v>
      </c>
      <c r="BF59" s="12"/>
      <c r="BG59" s="12">
        <f t="shared" si="34"/>
        <v>0</v>
      </c>
      <c r="BH59" s="32">
        <f t="shared" si="35"/>
        <v>0</v>
      </c>
      <c r="BI59" s="12"/>
      <c r="BJ59" s="12">
        <f t="shared" si="36"/>
        <v>0</v>
      </c>
      <c r="BK59" s="32">
        <f t="shared" si="37"/>
        <v>0</v>
      </c>
      <c r="BL59" s="12"/>
      <c r="BM59" s="12">
        <f t="shared" si="38"/>
        <v>0</v>
      </c>
      <c r="BN59" s="32">
        <f t="shared" si="39"/>
        <v>0</v>
      </c>
      <c r="BO59" s="12"/>
      <c r="BP59" s="12">
        <f t="shared" si="40"/>
        <v>0</v>
      </c>
      <c r="BQ59" s="32">
        <f t="shared" si="41"/>
        <v>0</v>
      </c>
      <c r="BR59" s="12"/>
      <c r="BS59" s="12">
        <f t="shared" si="42"/>
        <v>0</v>
      </c>
      <c r="BT59" s="32">
        <f t="shared" si="43"/>
        <v>0</v>
      </c>
      <c r="BU59" s="12"/>
      <c r="BV59" s="12">
        <f t="shared" si="44"/>
        <v>0</v>
      </c>
      <c r="BW59" s="32">
        <f t="shared" si="45"/>
        <v>0</v>
      </c>
      <c r="BX59" s="12"/>
      <c r="BY59" s="12">
        <f t="shared" si="46"/>
        <v>0</v>
      </c>
      <c r="BZ59" s="32">
        <f t="shared" si="47"/>
        <v>0</v>
      </c>
      <c r="CA59" s="12"/>
      <c r="CB59" s="12">
        <f t="shared" si="48"/>
        <v>0</v>
      </c>
      <c r="CC59" s="32">
        <f t="shared" si="49"/>
        <v>0</v>
      </c>
      <c r="CD59" s="12"/>
      <c r="CE59" s="12">
        <f t="shared" si="50"/>
        <v>0</v>
      </c>
      <c r="CF59" s="32">
        <f t="shared" si="51"/>
        <v>0</v>
      </c>
      <c r="CG59" s="12"/>
      <c r="CH59" s="12">
        <f t="shared" si="52"/>
        <v>0</v>
      </c>
      <c r="CI59" s="32">
        <f t="shared" si="53"/>
        <v>0</v>
      </c>
      <c r="CJ59" s="12"/>
      <c r="CK59" s="12">
        <f t="shared" si="54"/>
        <v>0</v>
      </c>
      <c r="CL59" s="32">
        <f t="shared" si="55"/>
        <v>0</v>
      </c>
      <c r="CM59" s="12"/>
      <c r="CN59" s="12">
        <f t="shared" si="56"/>
        <v>0</v>
      </c>
      <c r="CO59" s="32">
        <f t="shared" si="57"/>
        <v>0</v>
      </c>
      <c r="CP59" s="12"/>
      <c r="CQ59" s="12">
        <f t="shared" si="58"/>
        <v>0</v>
      </c>
      <c r="CR59" s="32">
        <f t="shared" si="59"/>
        <v>0</v>
      </c>
      <c r="CS59" s="12"/>
      <c r="CT59" s="12">
        <f t="shared" si="60"/>
        <v>0</v>
      </c>
      <c r="CU59" s="32">
        <f t="shared" si="61"/>
        <v>0</v>
      </c>
      <c r="CV59" s="12"/>
      <c r="CW59" s="12">
        <f t="shared" si="62"/>
        <v>0</v>
      </c>
      <c r="CX59" s="32">
        <f t="shared" si="63"/>
        <v>0</v>
      </c>
      <c r="CY59" s="12"/>
      <c r="CZ59" s="12">
        <f t="shared" si="64"/>
        <v>0</v>
      </c>
      <c r="DA59" s="32">
        <f t="shared" si="65"/>
        <v>0</v>
      </c>
      <c r="DB59" s="12"/>
      <c r="DC59" s="12">
        <f t="shared" si="66"/>
        <v>0</v>
      </c>
      <c r="DD59" s="32">
        <f t="shared" si="67"/>
        <v>0</v>
      </c>
      <c r="DE59" s="12"/>
      <c r="DF59" s="12">
        <f t="shared" si="68"/>
        <v>0</v>
      </c>
      <c r="DG59" s="32">
        <f t="shared" si="69"/>
        <v>0</v>
      </c>
      <c r="DH59" s="12"/>
      <c r="DI59" s="12">
        <f t="shared" si="77"/>
        <v>0</v>
      </c>
      <c r="DJ59" s="32">
        <f t="shared" si="70"/>
        <v>0</v>
      </c>
      <c r="DK59" s="12"/>
      <c r="DL59" s="12">
        <f t="shared" si="71"/>
        <v>0</v>
      </c>
      <c r="DM59" s="32">
        <f t="shared" si="72"/>
        <v>0</v>
      </c>
    </row>
    <row r="60" spans="1:117" s="6" customFormat="1" ht="22.25" customHeight="1" x14ac:dyDescent="0.35">
      <c r="A60" s="4">
        <v>53</v>
      </c>
      <c r="B60" s="4" t="s">
        <v>152</v>
      </c>
      <c r="C60" s="4" t="s">
        <v>153</v>
      </c>
      <c r="D60" s="7">
        <f t="shared" si="2"/>
        <v>1.6666666666666667</v>
      </c>
      <c r="E60" s="7">
        <f>10/6</f>
        <v>1.6666666666666667</v>
      </c>
      <c r="F60" s="7">
        <v>1</v>
      </c>
      <c r="G60" s="7">
        <v>1</v>
      </c>
      <c r="H60" s="7">
        <f t="shared" si="74"/>
        <v>0.25</v>
      </c>
      <c r="I60" s="9">
        <f t="shared" si="75"/>
        <v>1.9166666666666667</v>
      </c>
      <c r="J60" s="13"/>
      <c r="K60" s="12">
        <f t="shared" si="73"/>
        <v>0</v>
      </c>
      <c r="L60" s="32">
        <f t="shared" si="3"/>
        <v>0</v>
      </c>
      <c r="M60" s="12"/>
      <c r="N60" s="12">
        <f t="shared" si="4"/>
        <v>0</v>
      </c>
      <c r="O60" s="32">
        <f t="shared" si="5"/>
        <v>0</v>
      </c>
      <c r="P60" s="12"/>
      <c r="Q60" s="12">
        <f t="shared" si="76"/>
        <v>0</v>
      </c>
      <c r="R60" s="32">
        <f t="shared" si="7"/>
        <v>0</v>
      </c>
      <c r="S60" s="12"/>
      <c r="T60" s="12">
        <f t="shared" si="8"/>
        <v>0</v>
      </c>
      <c r="U60" s="32">
        <f t="shared" si="9"/>
        <v>0</v>
      </c>
      <c r="V60" s="12"/>
      <c r="W60" s="12">
        <f t="shared" si="10"/>
        <v>0</v>
      </c>
      <c r="X60" s="32">
        <f t="shared" si="11"/>
        <v>0</v>
      </c>
      <c r="Y60" s="12"/>
      <c r="Z60" s="12">
        <f t="shared" si="12"/>
        <v>0</v>
      </c>
      <c r="AA60" s="32">
        <f t="shared" si="13"/>
        <v>0</v>
      </c>
      <c r="AB60" s="12"/>
      <c r="AC60" s="12">
        <f t="shared" si="14"/>
        <v>0</v>
      </c>
      <c r="AD60" s="32">
        <f t="shared" si="15"/>
        <v>0</v>
      </c>
      <c r="AE60" s="12"/>
      <c r="AF60" s="37">
        <f t="shared" si="16"/>
        <v>0</v>
      </c>
      <c r="AG60" s="14">
        <f t="shared" si="17"/>
        <v>0</v>
      </c>
      <c r="AH60" s="12"/>
      <c r="AI60" s="12">
        <f t="shared" si="18"/>
        <v>0</v>
      </c>
      <c r="AJ60" s="32">
        <f t="shared" si="19"/>
        <v>0</v>
      </c>
      <c r="AK60" s="12"/>
      <c r="AL60" s="12">
        <f t="shared" si="20"/>
        <v>0</v>
      </c>
      <c r="AM60" s="32">
        <f t="shared" si="21"/>
        <v>0</v>
      </c>
      <c r="AN60" s="12">
        <v>0.05</v>
      </c>
      <c r="AO60" s="12">
        <f t="shared" si="22"/>
        <v>8.3333333333333343E-2</v>
      </c>
      <c r="AP60" s="32">
        <f t="shared" si="23"/>
        <v>2.0373703059683088E-2</v>
      </c>
      <c r="AQ60" s="12"/>
      <c r="AR60" s="12">
        <f t="shared" si="24"/>
        <v>0</v>
      </c>
      <c r="AS60" s="32">
        <f t="shared" si="25"/>
        <v>0</v>
      </c>
      <c r="AT60" s="12"/>
      <c r="AU60" s="12">
        <f t="shared" si="26"/>
        <v>0</v>
      </c>
      <c r="AV60" s="32">
        <f t="shared" si="27"/>
        <v>0</v>
      </c>
      <c r="AW60" s="12"/>
      <c r="AX60" s="12">
        <f t="shared" si="28"/>
        <v>0</v>
      </c>
      <c r="AY60" s="32">
        <f t="shared" si="29"/>
        <v>0</v>
      </c>
      <c r="AZ60" s="12"/>
      <c r="BA60" s="12">
        <f t="shared" si="30"/>
        <v>0</v>
      </c>
      <c r="BB60" s="32">
        <f t="shared" si="31"/>
        <v>0</v>
      </c>
      <c r="BC60" s="12"/>
      <c r="BD60" s="12">
        <f t="shared" si="32"/>
        <v>0</v>
      </c>
      <c r="BE60" s="32">
        <f t="shared" si="33"/>
        <v>0</v>
      </c>
      <c r="BF60" s="12"/>
      <c r="BG60" s="12">
        <f t="shared" si="34"/>
        <v>0</v>
      </c>
      <c r="BH60" s="32">
        <f t="shared" si="35"/>
        <v>0</v>
      </c>
      <c r="BI60" s="12"/>
      <c r="BJ60" s="12">
        <f t="shared" si="36"/>
        <v>0</v>
      </c>
      <c r="BK60" s="32">
        <f t="shared" si="37"/>
        <v>0</v>
      </c>
      <c r="BL60" s="12"/>
      <c r="BM60" s="12">
        <f t="shared" si="38"/>
        <v>0</v>
      </c>
      <c r="BN60" s="32">
        <f t="shared" si="39"/>
        <v>0</v>
      </c>
      <c r="BO60" s="12">
        <v>1E-3</v>
      </c>
      <c r="BP60" s="12">
        <f t="shared" si="40"/>
        <v>1.6666666666666668E-3</v>
      </c>
      <c r="BQ60" s="32">
        <f t="shared" si="41"/>
        <v>7.2547551407118531E-4</v>
      </c>
      <c r="BR60" s="12"/>
      <c r="BS60" s="12">
        <f t="shared" si="42"/>
        <v>0</v>
      </c>
      <c r="BT60" s="32">
        <f t="shared" si="43"/>
        <v>0</v>
      </c>
      <c r="BU60" s="12"/>
      <c r="BV60" s="12">
        <f t="shared" si="44"/>
        <v>0</v>
      </c>
      <c r="BW60" s="32">
        <f t="shared" si="45"/>
        <v>0</v>
      </c>
      <c r="BX60" s="12"/>
      <c r="BY60" s="12">
        <f t="shared" si="46"/>
        <v>0</v>
      </c>
      <c r="BZ60" s="32">
        <f t="shared" si="47"/>
        <v>0</v>
      </c>
      <c r="CA60" s="12">
        <v>1E-3</v>
      </c>
      <c r="CB60" s="12">
        <f t="shared" si="48"/>
        <v>1.6666666666666668E-3</v>
      </c>
      <c r="CC60" s="32">
        <f t="shared" si="49"/>
        <v>4.6465088801458541E-4</v>
      </c>
      <c r="CD60" s="12"/>
      <c r="CE60" s="12">
        <f t="shared" si="50"/>
        <v>0</v>
      </c>
      <c r="CF60" s="32">
        <f t="shared" si="51"/>
        <v>0</v>
      </c>
      <c r="CG60" s="12"/>
      <c r="CH60" s="12">
        <f t="shared" si="52"/>
        <v>0</v>
      </c>
      <c r="CI60" s="32">
        <f t="shared" si="53"/>
        <v>0</v>
      </c>
      <c r="CJ60" s="12"/>
      <c r="CK60" s="12">
        <f t="shared" si="54"/>
        <v>0</v>
      </c>
      <c r="CL60" s="32">
        <f t="shared" si="55"/>
        <v>0</v>
      </c>
      <c r="CM60" s="12"/>
      <c r="CN60" s="12">
        <f t="shared" si="56"/>
        <v>0</v>
      </c>
      <c r="CO60" s="32">
        <f t="shared" si="57"/>
        <v>0</v>
      </c>
      <c r="CP60" s="12"/>
      <c r="CQ60" s="12">
        <f t="shared" si="58"/>
        <v>0</v>
      </c>
      <c r="CR60" s="32">
        <f t="shared" si="59"/>
        <v>0</v>
      </c>
      <c r="CS60" s="12"/>
      <c r="CT60" s="12">
        <f t="shared" si="60"/>
        <v>0</v>
      </c>
      <c r="CU60" s="32">
        <f t="shared" si="61"/>
        <v>0</v>
      </c>
      <c r="CV60" s="12"/>
      <c r="CW60" s="12">
        <f t="shared" si="62"/>
        <v>0</v>
      </c>
      <c r="CX60" s="32">
        <f t="shared" si="63"/>
        <v>0</v>
      </c>
      <c r="CY60" s="12"/>
      <c r="CZ60" s="12">
        <f t="shared" si="64"/>
        <v>0</v>
      </c>
      <c r="DA60" s="32">
        <f t="shared" si="65"/>
        <v>0</v>
      </c>
      <c r="DB60" s="12"/>
      <c r="DC60" s="12">
        <f t="shared" si="66"/>
        <v>0</v>
      </c>
      <c r="DD60" s="32">
        <f t="shared" si="67"/>
        <v>0</v>
      </c>
      <c r="DE60" s="12"/>
      <c r="DF60" s="12">
        <f t="shared" si="68"/>
        <v>0</v>
      </c>
      <c r="DG60" s="32">
        <f t="shared" si="69"/>
        <v>0</v>
      </c>
      <c r="DH60" s="12"/>
      <c r="DI60" s="12">
        <f t="shared" si="77"/>
        <v>0</v>
      </c>
      <c r="DJ60" s="32">
        <f t="shared" si="70"/>
        <v>0</v>
      </c>
      <c r="DK60" s="12"/>
      <c r="DL60" s="12">
        <f t="shared" si="71"/>
        <v>0</v>
      </c>
      <c r="DM60" s="32">
        <f t="shared" si="72"/>
        <v>0</v>
      </c>
    </row>
    <row r="61" spans="1:117" s="6" customFormat="1" ht="22.25" customHeight="1" x14ac:dyDescent="0.35">
      <c r="A61" s="4">
        <v>54</v>
      </c>
      <c r="B61" s="4" t="s">
        <v>154</v>
      </c>
      <c r="C61" s="4" t="s">
        <v>155</v>
      </c>
      <c r="D61" s="7">
        <f t="shared" si="2"/>
        <v>1.8115942028985508</v>
      </c>
      <c r="E61" s="7">
        <f>10/6</f>
        <v>1.6666666666666667</v>
      </c>
      <c r="F61" s="7">
        <v>1</v>
      </c>
      <c r="G61" s="7">
        <v>0.92</v>
      </c>
      <c r="H61" s="7">
        <f t="shared" si="74"/>
        <v>0.27173913043478259</v>
      </c>
      <c r="I61" s="9">
        <f t="shared" si="75"/>
        <v>2.0833333333333335</v>
      </c>
      <c r="J61" s="13">
        <v>0.01</v>
      </c>
      <c r="K61" s="12">
        <f t="shared" si="73"/>
        <v>1.8115942028985508E-2</v>
      </c>
      <c r="L61" s="32">
        <f t="shared" si="3"/>
        <v>1.8690805524394479E-3</v>
      </c>
      <c r="M61" s="12"/>
      <c r="N61" s="12">
        <f t="shared" si="4"/>
        <v>0</v>
      </c>
      <c r="O61" s="32">
        <f t="shared" si="5"/>
        <v>0</v>
      </c>
      <c r="P61" s="12"/>
      <c r="Q61" s="12">
        <f t="shared" si="76"/>
        <v>0</v>
      </c>
      <c r="R61" s="32">
        <f t="shared" si="7"/>
        <v>0</v>
      </c>
      <c r="S61" s="12"/>
      <c r="T61" s="12">
        <f t="shared" si="8"/>
        <v>0</v>
      </c>
      <c r="U61" s="32">
        <f t="shared" si="9"/>
        <v>0</v>
      </c>
      <c r="V61" s="12"/>
      <c r="W61" s="12">
        <f t="shared" si="10"/>
        <v>0</v>
      </c>
      <c r="X61" s="32">
        <f t="shared" si="11"/>
        <v>0</v>
      </c>
      <c r="Y61" s="12"/>
      <c r="Z61" s="12">
        <f t="shared" si="12"/>
        <v>0</v>
      </c>
      <c r="AA61" s="32">
        <f t="shared" si="13"/>
        <v>0</v>
      </c>
      <c r="AB61" s="12"/>
      <c r="AC61" s="12">
        <f t="shared" si="14"/>
        <v>0</v>
      </c>
      <c r="AD61" s="32">
        <f t="shared" si="15"/>
        <v>0</v>
      </c>
      <c r="AE61" s="12"/>
      <c r="AF61" s="37">
        <f t="shared" si="16"/>
        <v>0</v>
      </c>
      <c r="AG61" s="14">
        <f t="shared" si="17"/>
        <v>0</v>
      </c>
      <c r="AH61" s="12"/>
      <c r="AI61" s="12">
        <f t="shared" si="18"/>
        <v>0</v>
      </c>
      <c r="AJ61" s="32">
        <f t="shared" si="19"/>
        <v>0</v>
      </c>
      <c r="AK61" s="12"/>
      <c r="AL61" s="12">
        <f t="shared" si="20"/>
        <v>0</v>
      </c>
      <c r="AM61" s="32">
        <f t="shared" si="21"/>
        <v>0</v>
      </c>
      <c r="AN61" s="12"/>
      <c r="AO61" s="12">
        <f t="shared" si="22"/>
        <v>0</v>
      </c>
      <c r="AP61" s="32">
        <f t="shared" si="23"/>
        <v>0</v>
      </c>
      <c r="AQ61" s="12"/>
      <c r="AR61" s="12">
        <f t="shared" si="24"/>
        <v>0</v>
      </c>
      <c r="AS61" s="32">
        <f t="shared" si="25"/>
        <v>0</v>
      </c>
      <c r="AT61" s="12"/>
      <c r="AU61" s="12">
        <f t="shared" si="26"/>
        <v>0</v>
      </c>
      <c r="AV61" s="32">
        <f t="shared" si="27"/>
        <v>0</v>
      </c>
      <c r="AW61" s="12"/>
      <c r="AX61" s="12">
        <f t="shared" si="28"/>
        <v>0</v>
      </c>
      <c r="AY61" s="32">
        <f t="shared" si="29"/>
        <v>0</v>
      </c>
      <c r="AZ61" s="12"/>
      <c r="BA61" s="12">
        <f t="shared" si="30"/>
        <v>0</v>
      </c>
      <c r="BB61" s="32">
        <f t="shared" si="31"/>
        <v>0</v>
      </c>
      <c r="BC61" s="12"/>
      <c r="BD61" s="12">
        <f t="shared" si="32"/>
        <v>0</v>
      </c>
      <c r="BE61" s="32">
        <f t="shared" si="33"/>
        <v>0</v>
      </c>
      <c r="BF61" s="12"/>
      <c r="BG61" s="12">
        <f t="shared" si="34"/>
        <v>0</v>
      </c>
      <c r="BH61" s="32">
        <f t="shared" si="35"/>
        <v>0</v>
      </c>
      <c r="BI61" s="12"/>
      <c r="BJ61" s="12">
        <f t="shared" si="36"/>
        <v>0</v>
      </c>
      <c r="BK61" s="32">
        <f t="shared" si="37"/>
        <v>0</v>
      </c>
      <c r="BL61" s="12"/>
      <c r="BM61" s="12">
        <f t="shared" si="38"/>
        <v>0</v>
      </c>
      <c r="BN61" s="32">
        <f t="shared" si="39"/>
        <v>0</v>
      </c>
      <c r="BO61" s="12"/>
      <c r="BP61" s="12">
        <f t="shared" si="40"/>
        <v>0</v>
      </c>
      <c r="BQ61" s="32">
        <f t="shared" si="41"/>
        <v>0</v>
      </c>
      <c r="BR61" s="12"/>
      <c r="BS61" s="12">
        <f t="shared" si="42"/>
        <v>0</v>
      </c>
      <c r="BT61" s="32">
        <f t="shared" si="43"/>
        <v>0</v>
      </c>
      <c r="BU61" s="12"/>
      <c r="BV61" s="12">
        <f t="shared" si="44"/>
        <v>0</v>
      </c>
      <c r="BW61" s="32">
        <f t="shared" si="45"/>
        <v>0</v>
      </c>
      <c r="BX61" s="12"/>
      <c r="BY61" s="12">
        <f t="shared" si="46"/>
        <v>0</v>
      </c>
      <c r="BZ61" s="32">
        <f t="shared" si="47"/>
        <v>0</v>
      </c>
      <c r="CA61" s="12"/>
      <c r="CB61" s="12">
        <f t="shared" si="48"/>
        <v>0</v>
      </c>
      <c r="CC61" s="32">
        <f t="shared" si="49"/>
        <v>0</v>
      </c>
      <c r="CD61" s="12"/>
      <c r="CE61" s="12">
        <f t="shared" si="50"/>
        <v>0</v>
      </c>
      <c r="CF61" s="32">
        <f t="shared" si="51"/>
        <v>0</v>
      </c>
      <c r="CG61" s="12"/>
      <c r="CH61" s="12">
        <f t="shared" si="52"/>
        <v>0</v>
      </c>
      <c r="CI61" s="32">
        <f t="shared" si="53"/>
        <v>0</v>
      </c>
      <c r="CJ61" s="12"/>
      <c r="CK61" s="12">
        <f t="shared" si="54"/>
        <v>0</v>
      </c>
      <c r="CL61" s="32">
        <f t="shared" si="55"/>
        <v>0</v>
      </c>
      <c r="CM61" s="12"/>
      <c r="CN61" s="12">
        <f t="shared" si="56"/>
        <v>0</v>
      </c>
      <c r="CO61" s="32">
        <f t="shared" si="57"/>
        <v>0</v>
      </c>
      <c r="CP61" s="12"/>
      <c r="CQ61" s="12">
        <f t="shared" si="58"/>
        <v>0</v>
      </c>
      <c r="CR61" s="32">
        <f t="shared" si="59"/>
        <v>0</v>
      </c>
      <c r="CS61" s="12"/>
      <c r="CT61" s="12">
        <f t="shared" si="60"/>
        <v>0</v>
      </c>
      <c r="CU61" s="32">
        <f t="shared" si="61"/>
        <v>0</v>
      </c>
      <c r="CV61" s="12"/>
      <c r="CW61" s="12">
        <f t="shared" si="62"/>
        <v>0</v>
      </c>
      <c r="CX61" s="32">
        <f t="shared" si="63"/>
        <v>0</v>
      </c>
      <c r="CY61" s="12"/>
      <c r="CZ61" s="12">
        <f t="shared" si="64"/>
        <v>0</v>
      </c>
      <c r="DA61" s="32">
        <f t="shared" si="65"/>
        <v>0</v>
      </c>
      <c r="DB61" s="12"/>
      <c r="DC61" s="12">
        <f t="shared" si="66"/>
        <v>0</v>
      </c>
      <c r="DD61" s="32">
        <f t="shared" si="67"/>
        <v>0</v>
      </c>
      <c r="DE61" s="12"/>
      <c r="DF61" s="12">
        <f t="shared" si="68"/>
        <v>0</v>
      </c>
      <c r="DG61" s="32">
        <f t="shared" si="69"/>
        <v>0</v>
      </c>
      <c r="DH61" s="12"/>
      <c r="DI61" s="12">
        <f t="shared" si="77"/>
        <v>0</v>
      </c>
      <c r="DJ61" s="32">
        <f t="shared" si="70"/>
        <v>0</v>
      </c>
      <c r="DK61" s="12"/>
      <c r="DL61" s="12">
        <f t="shared" si="71"/>
        <v>0</v>
      </c>
      <c r="DM61" s="32">
        <f t="shared" si="72"/>
        <v>0</v>
      </c>
    </row>
    <row r="62" spans="1:117" s="6" customFormat="1" ht="22.25" customHeight="1" x14ac:dyDescent="0.35">
      <c r="A62" s="4">
        <v>55</v>
      </c>
      <c r="B62" s="4" t="s">
        <v>156</v>
      </c>
      <c r="C62" s="4" t="s">
        <v>157</v>
      </c>
      <c r="D62" s="7">
        <f t="shared" si="2"/>
        <v>2.2999999999999998</v>
      </c>
      <c r="E62" s="7">
        <v>1.1499999999999999</v>
      </c>
      <c r="F62" s="7">
        <v>1</v>
      </c>
      <c r="G62" s="7">
        <v>0.5</v>
      </c>
      <c r="H62" s="7">
        <f t="shared" si="74"/>
        <v>0.34499999999999997</v>
      </c>
      <c r="I62" s="9">
        <f t="shared" si="75"/>
        <v>2.6449999999999996</v>
      </c>
      <c r="J62" s="13"/>
      <c r="K62" s="12">
        <f t="shared" si="73"/>
        <v>0</v>
      </c>
      <c r="L62" s="32">
        <f t="shared" si="3"/>
        <v>0</v>
      </c>
      <c r="M62" s="12"/>
      <c r="N62" s="12">
        <f t="shared" si="4"/>
        <v>0</v>
      </c>
      <c r="O62" s="32">
        <f t="shared" si="5"/>
        <v>0</v>
      </c>
      <c r="P62" s="12"/>
      <c r="Q62" s="12">
        <f t="shared" si="76"/>
        <v>0</v>
      </c>
      <c r="R62" s="32">
        <f t="shared" si="7"/>
        <v>0</v>
      </c>
      <c r="S62" s="12"/>
      <c r="T62" s="12">
        <f t="shared" si="8"/>
        <v>0</v>
      </c>
      <c r="U62" s="32">
        <f t="shared" si="9"/>
        <v>0</v>
      </c>
      <c r="V62" s="12"/>
      <c r="W62" s="12">
        <f t="shared" si="10"/>
        <v>0</v>
      </c>
      <c r="X62" s="32">
        <f t="shared" si="11"/>
        <v>0</v>
      </c>
      <c r="Y62" s="12"/>
      <c r="Z62" s="12">
        <f t="shared" si="12"/>
        <v>0</v>
      </c>
      <c r="AA62" s="32">
        <f t="shared" si="13"/>
        <v>0</v>
      </c>
      <c r="AB62" s="12"/>
      <c r="AC62" s="12">
        <f t="shared" si="14"/>
        <v>0</v>
      </c>
      <c r="AD62" s="32">
        <f t="shared" si="15"/>
        <v>0</v>
      </c>
      <c r="AE62" s="12">
        <v>0.1</v>
      </c>
      <c r="AF62" s="37">
        <f t="shared" si="16"/>
        <v>0.22999999999999998</v>
      </c>
      <c r="AG62" s="14">
        <f t="shared" si="17"/>
        <v>7.9937996555452542E-2</v>
      </c>
      <c r="AH62" s="12"/>
      <c r="AI62" s="12">
        <f t="shared" si="18"/>
        <v>0</v>
      </c>
      <c r="AJ62" s="32">
        <f t="shared" si="19"/>
        <v>0</v>
      </c>
      <c r="AK62" s="12"/>
      <c r="AL62" s="12">
        <f t="shared" si="20"/>
        <v>0</v>
      </c>
      <c r="AM62" s="32">
        <f t="shared" si="21"/>
        <v>0</v>
      </c>
      <c r="AN62" s="12"/>
      <c r="AO62" s="12">
        <f t="shared" si="22"/>
        <v>0</v>
      </c>
      <c r="AP62" s="32">
        <f t="shared" si="23"/>
        <v>0</v>
      </c>
      <c r="AQ62" s="12"/>
      <c r="AR62" s="12">
        <f t="shared" si="24"/>
        <v>0</v>
      </c>
      <c r="AS62" s="32">
        <f t="shared" si="25"/>
        <v>0</v>
      </c>
      <c r="AT62" s="12"/>
      <c r="AU62" s="12">
        <f t="shared" si="26"/>
        <v>0</v>
      </c>
      <c r="AV62" s="32">
        <f t="shared" si="27"/>
        <v>0</v>
      </c>
      <c r="AW62" s="12"/>
      <c r="AX62" s="12">
        <f t="shared" si="28"/>
        <v>0</v>
      </c>
      <c r="AY62" s="32">
        <f t="shared" si="29"/>
        <v>0</v>
      </c>
      <c r="AZ62" s="12"/>
      <c r="BA62" s="12">
        <f t="shared" si="30"/>
        <v>0</v>
      </c>
      <c r="BB62" s="32">
        <f t="shared" si="31"/>
        <v>0</v>
      </c>
      <c r="BC62" s="12"/>
      <c r="BD62" s="12">
        <f t="shared" si="32"/>
        <v>0</v>
      </c>
      <c r="BE62" s="32">
        <f t="shared" si="33"/>
        <v>0</v>
      </c>
      <c r="BF62" s="12"/>
      <c r="BG62" s="12">
        <f t="shared" si="34"/>
        <v>0</v>
      </c>
      <c r="BH62" s="32">
        <f t="shared" si="35"/>
        <v>0</v>
      </c>
      <c r="BI62" s="12"/>
      <c r="BJ62" s="12">
        <f t="shared" si="36"/>
        <v>0</v>
      </c>
      <c r="BK62" s="32">
        <f t="shared" si="37"/>
        <v>0</v>
      </c>
      <c r="BL62" s="12"/>
      <c r="BM62" s="12">
        <f t="shared" si="38"/>
        <v>0</v>
      </c>
      <c r="BN62" s="32">
        <f t="shared" si="39"/>
        <v>0</v>
      </c>
      <c r="BO62" s="12"/>
      <c r="BP62" s="12">
        <f t="shared" si="40"/>
        <v>0</v>
      </c>
      <c r="BQ62" s="32">
        <f t="shared" si="41"/>
        <v>0</v>
      </c>
      <c r="BR62" s="12"/>
      <c r="BS62" s="12">
        <f t="shared" si="42"/>
        <v>0</v>
      </c>
      <c r="BT62" s="32">
        <f t="shared" si="43"/>
        <v>0</v>
      </c>
      <c r="BU62" s="12"/>
      <c r="BV62" s="12">
        <f t="shared" si="44"/>
        <v>0</v>
      </c>
      <c r="BW62" s="32">
        <f t="shared" si="45"/>
        <v>0</v>
      </c>
      <c r="BX62" s="12"/>
      <c r="BY62" s="12">
        <f t="shared" si="46"/>
        <v>0</v>
      </c>
      <c r="BZ62" s="32">
        <f t="shared" si="47"/>
        <v>0</v>
      </c>
      <c r="CA62" s="12"/>
      <c r="CB62" s="12">
        <f t="shared" si="48"/>
        <v>0</v>
      </c>
      <c r="CC62" s="32">
        <f t="shared" si="49"/>
        <v>0</v>
      </c>
      <c r="CD62" s="12"/>
      <c r="CE62" s="12">
        <f t="shared" si="50"/>
        <v>0</v>
      </c>
      <c r="CF62" s="32">
        <f t="shared" si="51"/>
        <v>0</v>
      </c>
      <c r="CG62" s="12"/>
      <c r="CH62" s="12">
        <f t="shared" si="52"/>
        <v>0</v>
      </c>
      <c r="CI62" s="32">
        <f t="shared" si="53"/>
        <v>0</v>
      </c>
      <c r="CJ62" s="12"/>
      <c r="CK62" s="12">
        <f t="shared" si="54"/>
        <v>0</v>
      </c>
      <c r="CL62" s="32">
        <f t="shared" si="55"/>
        <v>0</v>
      </c>
      <c r="CM62" s="12"/>
      <c r="CN62" s="12">
        <f t="shared" si="56"/>
        <v>0</v>
      </c>
      <c r="CO62" s="32">
        <f t="shared" si="57"/>
        <v>0</v>
      </c>
      <c r="CP62" s="12"/>
      <c r="CQ62" s="12">
        <f t="shared" si="58"/>
        <v>0</v>
      </c>
      <c r="CR62" s="32">
        <f t="shared" si="59"/>
        <v>0</v>
      </c>
      <c r="CS62" s="12"/>
      <c r="CT62" s="12">
        <f t="shared" si="60"/>
        <v>0</v>
      </c>
      <c r="CU62" s="32">
        <f t="shared" si="61"/>
        <v>0</v>
      </c>
      <c r="CV62" s="12"/>
      <c r="CW62" s="12">
        <f t="shared" si="62"/>
        <v>0</v>
      </c>
      <c r="CX62" s="32">
        <f t="shared" si="63"/>
        <v>0</v>
      </c>
      <c r="CY62" s="12"/>
      <c r="CZ62" s="12">
        <f t="shared" si="64"/>
        <v>0</v>
      </c>
      <c r="DA62" s="32">
        <f t="shared" si="65"/>
        <v>0</v>
      </c>
      <c r="DB62" s="12"/>
      <c r="DC62" s="12">
        <f t="shared" si="66"/>
        <v>0</v>
      </c>
      <c r="DD62" s="32">
        <f t="shared" si="67"/>
        <v>0</v>
      </c>
      <c r="DE62" s="12"/>
      <c r="DF62" s="12">
        <f t="shared" si="68"/>
        <v>0</v>
      </c>
      <c r="DG62" s="32">
        <f t="shared" si="69"/>
        <v>0</v>
      </c>
      <c r="DH62" s="12"/>
      <c r="DI62" s="12">
        <f t="shared" si="77"/>
        <v>0</v>
      </c>
      <c r="DJ62" s="32">
        <f t="shared" si="70"/>
        <v>0</v>
      </c>
      <c r="DK62" s="12"/>
      <c r="DL62" s="12">
        <f t="shared" si="71"/>
        <v>0</v>
      </c>
      <c r="DM62" s="32">
        <f t="shared" si="72"/>
        <v>0</v>
      </c>
    </row>
    <row r="63" spans="1:117" s="6" customFormat="1" ht="22.25" customHeight="1" x14ac:dyDescent="0.35">
      <c r="A63" s="4">
        <v>56</v>
      </c>
      <c r="B63" s="4" t="s">
        <v>158</v>
      </c>
      <c r="C63" s="4" t="s">
        <v>159</v>
      </c>
      <c r="D63" s="7">
        <f t="shared" si="2"/>
        <v>3</v>
      </c>
      <c r="E63" s="7">
        <f>15/10</f>
        <v>1.5</v>
      </c>
      <c r="F63" s="7">
        <v>1</v>
      </c>
      <c r="G63" s="7">
        <v>0.5</v>
      </c>
      <c r="H63" s="7">
        <f t="shared" si="74"/>
        <v>0.44999999999999996</v>
      </c>
      <c r="I63" s="9">
        <f t="shared" si="75"/>
        <v>3.45</v>
      </c>
      <c r="J63" s="13"/>
      <c r="K63" s="12">
        <f t="shared" si="73"/>
        <v>0</v>
      </c>
      <c r="L63" s="32">
        <f t="shared" si="3"/>
        <v>0</v>
      </c>
      <c r="M63" s="12"/>
      <c r="N63" s="12">
        <f t="shared" si="4"/>
        <v>0</v>
      </c>
      <c r="O63" s="32">
        <f t="shared" si="5"/>
        <v>0</v>
      </c>
      <c r="P63" s="12"/>
      <c r="Q63" s="12">
        <f t="shared" si="76"/>
        <v>0</v>
      </c>
      <c r="R63" s="32">
        <f t="shared" si="7"/>
        <v>0</v>
      </c>
      <c r="S63" s="12"/>
      <c r="T63" s="12">
        <f t="shared" si="8"/>
        <v>0</v>
      </c>
      <c r="U63" s="32">
        <f t="shared" si="9"/>
        <v>0</v>
      </c>
      <c r="V63" s="12"/>
      <c r="W63" s="12">
        <f t="shared" si="10"/>
        <v>0</v>
      </c>
      <c r="X63" s="32">
        <f t="shared" si="11"/>
        <v>0</v>
      </c>
      <c r="Y63" s="12"/>
      <c r="Z63" s="12">
        <f t="shared" si="12"/>
        <v>0</v>
      </c>
      <c r="AA63" s="32">
        <f t="shared" si="13"/>
        <v>0</v>
      </c>
      <c r="AB63" s="12"/>
      <c r="AC63" s="12">
        <f t="shared" si="14"/>
        <v>0</v>
      </c>
      <c r="AD63" s="32">
        <f t="shared" si="15"/>
        <v>0</v>
      </c>
      <c r="AE63" s="12"/>
      <c r="AF63" s="37">
        <f t="shared" si="16"/>
        <v>0</v>
      </c>
      <c r="AG63" s="14">
        <f t="shared" si="17"/>
        <v>0</v>
      </c>
      <c r="AH63" s="12"/>
      <c r="AI63" s="12">
        <f t="shared" si="18"/>
        <v>0</v>
      </c>
      <c r="AJ63" s="32">
        <f t="shared" si="19"/>
        <v>0</v>
      </c>
      <c r="AK63" s="12"/>
      <c r="AL63" s="12">
        <f t="shared" si="20"/>
        <v>0</v>
      </c>
      <c r="AM63" s="32">
        <f t="shared" si="21"/>
        <v>0</v>
      </c>
      <c r="AN63" s="12"/>
      <c r="AO63" s="12">
        <f t="shared" si="22"/>
        <v>0</v>
      </c>
      <c r="AP63" s="32">
        <f t="shared" si="23"/>
        <v>0</v>
      </c>
      <c r="AQ63" s="12"/>
      <c r="AR63" s="12">
        <f t="shared" si="24"/>
        <v>0</v>
      </c>
      <c r="AS63" s="32">
        <f t="shared" si="25"/>
        <v>0</v>
      </c>
      <c r="AT63" s="12"/>
      <c r="AU63" s="12">
        <f t="shared" si="26"/>
        <v>0</v>
      </c>
      <c r="AV63" s="32">
        <f t="shared" si="27"/>
        <v>0</v>
      </c>
      <c r="AW63" s="12"/>
      <c r="AX63" s="12">
        <f t="shared" si="28"/>
        <v>0</v>
      </c>
      <c r="AY63" s="32">
        <f t="shared" si="29"/>
        <v>0</v>
      </c>
      <c r="AZ63" s="12"/>
      <c r="BA63" s="12">
        <f t="shared" si="30"/>
        <v>0</v>
      </c>
      <c r="BB63" s="32">
        <f t="shared" si="31"/>
        <v>0</v>
      </c>
      <c r="BC63" s="12"/>
      <c r="BD63" s="12">
        <f t="shared" si="32"/>
        <v>0</v>
      </c>
      <c r="BE63" s="32">
        <f t="shared" si="33"/>
        <v>0</v>
      </c>
      <c r="BF63" s="12"/>
      <c r="BG63" s="12">
        <f t="shared" si="34"/>
        <v>0</v>
      </c>
      <c r="BH63" s="32">
        <f t="shared" si="35"/>
        <v>0</v>
      </c>
      <c r="BI63" s="12"/>
      <c r="BJ63" s="12">
        <f t="shared" si="36"/>
        <v>0</v>
      </c>
      <c r="BK63" s="32">
        <f t="shared" si="37"/>
        <v>0</v>
      </c>
      <c r="BL63" s="12"/>
      <c r="BM63" s="12">
        <f t="shared" si="38"/>
        <v>0</v>
      </c>
      <c r="BN63" s="32">
        <f t="shared" si="39"/>
        <v>0</v>
      </c>
      <c r="BO63" s="12"/>
      <c r="BP63" s="12">
        <f t="shared" si="40"/>
        <v>0</v>
      </c>
      <c r="BQ63" s="32">
        <f t="shared" si="41"/>
        <v>0</v>
      </c>
      <c r="BR63" s="12"/>
      <c r="BS63" s="12">
        <f t="shared" si="42"/>
        <v>0</v>
      </c>
      <c r="BT63" s="32">
        <f t="shared" si="43"/>
        <v>0</v>
      </c>
      <c r="BU63" s="12"/>
      <c r="BV63" s="12">
        <f t="shared" si="44"/>
        <v>0</v>
      </c>
      <c r="BW63" s="32">
        <f t="shared" si="45"/>
        <v>0</v>
      </c>
      <c r="BX63" s="12"/>
      <c r="BY63" s="12">
        <f t="shared" si="46"/>
        <v>0</v>
      </c>
      <c r="BZ63" s="32">
        <f t="shared" si="47"/>
        <v>0</v>
      </c>
      <c r="CA63" s="12"/>
      <c r="CB63" s="12">
        <f t="shared" si="48"/>
        <v>0</v>
      </c>
      <c r="CC63" s="32">
        <f t="shared" si="49"/>
        <v>0</v>
      </c>
      <c r="CD63" s="12"/>
      <c r="CE63" s="12">
        <f t="shared" si="50"/>
        <v>0</v>
      </c>
      <c r="CF63" s="32">
        <f t="shared" si="51"/>
        <v>0</v>
      </c>
      <c r="CG63" s="12"/>
      <c r="CH63" s="12">
        <f t="shared" si="52"/>
        <v>0</v>
      </c>
      <c r="CI63" s="32">
        <f t="shared" si="53"/>
        <v>0</v>
      </c>
      <c r="CJ63" s="12"/>
      <c r="CK63" s="12">
        <f t="shared" si="54"/>
        <v>0</v>
      </c>
      <c r="CL63" s="32">
        <f t="shared" si="55"/>
        <v>0</v>
      </c>
      <c r="CM63" s="12"/>
      <c r="CN63" s="12">
        <f t="shared" si="56"/>
        <v>0</v>
      </c>
      <c r="CO63" s="32">
        <f t="shared" si="57"/>
        <v>0</v>
      </c>
      <c r="CP63" s="12"/>
      <c r="CQ63" s="12">
        <f t="shared" si="58"/>
        <v>0</v>
      </c>
      <c r="CR63" s="32">
        <f t="shared" si="59"/>
        <v>0</v>
      </c>
      <c r="CS63" s="12"/>
      <c r="CT63" s="12">
        <f t="shared" si="60"/>
        <v>0</v>
      </c>
      <c r="CU63" s="32">
        <f t="shared" si="61"/>
        <v>0</v>
      </c>
      <c r="CV63" s="12"/>
      <c r="CW63" s="12">
        <f t="shared" si="62"/>
        <v>0</v>
      </c>
      <c r="CX63" s="32">
        <f t="shared" si="63"/>
        <v>0</v>
      </c>
      <c r="CY63" s="12"/>
      <c r="CZ63" s="12">
        <f t="shared" si="64"/>
        <v>0</v>
      </c>
      <c r="DA63" s="32">
        <f t="shared" si="65"/>
        <v>0</v>
      </c>
      <c r="DB63" s="12"/>
      <c r="DC63" s="12">
        <f t="shared" si="66"/>
        <v>0</v>
      </c>
      <c r="DD63" s="32">
        <f t="shared" si="67"/>
        <v>0</v>
      </c>
      <c r="DE63" s="12"/>
      <c r="DF63" s="12">
        <f t="shared" si="68"/>
        <v>0</v>
      </c>
      <c r="DG63" s="32">
        <f t="shared" si="69"/>
        <v>0</v>
      </c>
      <c r="DH63" s="12"/>
      <c r="DI63" s="12">
        <f t="shared" si="77"/>
        <v>0</v>
      </c>
      <c r="DJ63" s="32">
        <f t="shared" si="70"/>
        <v>0</v>
      </c>
      <c r="DK63" s="12"/>
      <c r="DL63" s="12">
        <f t="shared" si="71"/>
        <v>0</v>
      </c>
      <c r="DM63" s="32">
        <f t="shared" si="72"/>
        <v>0</v>
      </c>
    </row>
    <row r="64" spans="1:117" s="6" customFormat="1" ht="22.25" customHeight="1" x14ac:dyDescent="0.35">
      <c r="A64" s="4">
        <v>57</v>
      </c>
      <c r="B64" s="4" t="s">
        <v>160</v>
      </c>
      <c r="C64" s="4" t="s">
        <v>161</v>
      </c>
      <c r="D64" s="7">
        <f t="shared" si="2"/>
        <v>6.8100358422939058</v>
      </c>
      <c r="E64" s="7">
        <f>19/3</f>
        <v>6.333333333333333</v>
      </c>
      <c r="F64" s="7">
        <v>1</v>
      </c>
      <c r="G64" s="7">
        <v>0.93</v>
      </c>
      <c r="H64" s="7">
        <f t="shared" si="74"/>
        <v>1.0215053763440858</v>
      </c>
      <c r="I64" s="9">
        <f t="shared" si="75"/>
        <v>7.8315412186379918</v>
      </c>
      <c r="J64" s="13"/>
      <c r="K64" s="12">
        <f t="shared" si="73"/>
        <v>0</v>
      </c>
      <c r="L64" s="32">
        <f t="shared" si="3"/>
        <v>0</v>
      </c>
      <c r="M64" s="12"/>
      <c r="N64" s="12">
        <f t="shared" si="4"/>
        <v>0</v>
      </c>
      <c r="O64" s="32">
        <f t="shared" si="5"/>
        <v>0</v>
      </c>
      <c r="P64" s="12">
        <v>5.0000000000000001E-3</v>
      </c>
      <c r="Q64" s="12">
        <f t="shared" si="76"/>
        <v>3.4050179211469529E-2</v>
      </c>
      <c r="R64" s="32">
        <f t="shared" si="7"/>
        <v>8.160486175925288E-3</v>
      </c>
      <c r="S64" s="12"/>
      <c r="T64" s="12">
        <f t="shared" si="8"/>
        <v>0</v>
      </c>
      <c r="U64" s="32">
        <f t="shared" si="9"/>
        <v>0</v>
      </c>
      <c r="V64" s="12">
        <v>0.01</v>
      </c>
      <c r="W64" s="12">
        <f t="shared" si="10"/>
        <v>6.8100358422939059E-2</v>
      </c>
      <c r="X64" s="32">
        <f t="shared" si="11"/>
        <v>1.0265685071969888E-2</v>
      </c>
      <c r="Y64" s="12"/>
      <c r="Z64" s="12">
        <f t="shared" si="12"/>
        <v>0</v>
      </c>
      <c r="AA64" s="32">
        <f t="shared" si="13"/>
        <v>0</v>
      </c>
      <c r="AB64" s="12">
        <v>5.0000000000000001E-3</v>
      </c>
      <c r="AC64" s="12">
        <f t="shared" si="14"/>
        <v>3.4050179211469529E-2</v>
      </c>
      <c r="AD64" s="32">
        <f t="shared" si="15"/>
        <v>9.2303935202625136E-3</v>
      </c>
      <c r="AE64" s="12"/>
      <c r="AF64" s="37">
        <f t="shared" si="16"/>
        <v>0</v>
      </c>
      <c r="AG64" s="14">
        <f t="shared" si="17"/>
        <v>0</v>
      </c>
      <c r="AH64" s="12"/>
      <c r="AI64" s="12">
        <f t="shared" si="18"/>
        <v>0</v>
      </c>
      <c r="AJ64" s="32">
        <f t="shared" si="19"/>
        <v>0</v>
      </c>
      <c r="AK64" s="12"/>
      <c r="AL64" s="12">
        <f t="shared" si="20"/>
        <v>0</v>
      </c>
      <c r="AM64" s="32">
        <f t="shared" si="21"/>
        <v>0</v>
      </c>
      <c r="AN64" s="12"/>
      <c r="AO64" s="12">
        <f t="shared" si="22"/>
        <v>0</v>
      </c>
      <c r="AP64" s="32">
        <f t="shared" si="23"/>
        <v>0</v>
      </c>
      <c r="AQ64" s="12"/>
      <c r="AR64" s="12">
        <f t="shared" si="24"/>
        <v>0</v>
      </c>
      <c r="AS64" s="32">
        <f t="shared" si="25"/>
        <v>0</v>
      </c>
      <c r="AT64" s="12"/>
      <c r="AU64" s="12">
        <f t="shared" si="26"/>
        <v>0</v>
      </c>
      <c r="AV64" s="32">
        <f t="shared" si="27"/>
        <v>0</v>
      </c>
      <c r="AW64" s="12">
        <v>1E-3</v>
      </c>
      <c r="AX64" s="12">
        <f t="shared" si="28"/>
        <v>6.8100358422939055E-3</v>
      </c>
      <c r="AY64" s="32">
        <f t="shared" si="29"/>
        <v>3.1108509708568945E-3</v>
      </c>
      <c r="AZ64" s="12"/>
      <c r="BA64" s="12">
        <f t="shared" si="30"/>
        <v>0</v>
      </c>
      <c r="BB64" s="32">
        <f t="shared" si="31"/>
        <v>0</v>
      </c>
      <c r="BC64" s="12"/>
      <c r="BD64" s="12">
        <f t="shared" si="32"/>
        <v>0</v>
      </c>
      <c r="BE64" s="32">
        <f t="shared" si="33"/>
        <v>0</v>
      </c>
      <c r="BF64" s="12"/>
      <c r="BG64" s="12">
        <f t="shared" si="34"/>
        <v>0</v>
      </c>
      <c r="BH64" s="32">
        <f t="shared" si="35"/>
        <v>0</v>
      </c>
      <c r="BI64" s="12">
        <v>0.01</v>
      </c>
      <c r="BJ64" s="12">
        <f t="shared" si="36"/>
        <v>6.8100358422939059E-2</v>
      </c>
      <c r="BK64" s="32">
        <f t="shared" si="37"/>
        <v>1.9764199350223201E-2</v>
      </c>
      <c r="BL64" s="12"/>
      <c r="BM64" s="12">
        <f t="shared" si="38"/>
        <v>0</v>
      </c>
      <c r="BN64" s="32">
        <f t="shared" si="39"/>
        <v>0</v>
      </c>
      <c r="BO64" s="12"/>
      <c r="BP64" s="12">
        <f t="shared" si="40"/>
        <v>0</v>
      </c>
      <c r="BQ64" s="32">
        <f t="shared" si="41"/>
        <v>0</v>
      </c>
      <c r="BR64" s="12">
        <v>2E-3</v>
      </c>
      <c r="BS64" s="12">
        <f t="shared" si="42"/>
        <v>1.3620071684587811E-2</v>
      </c>
      <c r="BT64" s="32">
        <f t="shared" si="43"/>
        <v>3.7603283952141252E-3</v>
      </c>
      <c r="BU64" s="12">
        <v>2.5000000000000001E-3</v>
      </c>
      <c r="BV64" s="12">
        <f t="shared" si="44"/>
        <v>1.7025089605734765E-2</v>
      </c>
      <c r="BW64" s="32">
        <f t="shared" si="45"/>
        <v>5.0786625959361904E-3</v>
      </c>
      <c r="BX64" s="12">
        <v>0.01</v>
      </c>
      <c r="BY64" s="12">
        <f t="shared" si="46"/>
        <v>6.8100358422939059E-2</v>
      </c>
      <c r="BZ64" s="32">
        <f t="shared" si="47"/>
        <v>3.6503450142862257E-2</v>
      </c>
      <c r="CA64" s="12"/>
      <c r="CB64" s="12">
        <f t="shared" si="48"/>
        <v>0</v>
      </c>
      <c r="CC64" s="32">
        <f t="shared" si="49"/>
        <v>0</v>
      </c>
      <c r="CD64" s="12">
        <v>5.0000000000000001E-3</v>
      </c>
      <c r="CE64" s="12">
        <f t="shared" si="50"/>
        <v>3.4050179211469529E-2</v>
      </c>
      <c r="CF64" s="32">
        <f t="shared" si="51"/>
        <v>0.12702506190519142</v>
      </c>
      <c r="CG64" s="12">
        <v>5.0000000000000001E-4</v>
      </c>
      <c r="CH64" s="12">
        <f t="shared" si="52"/>
        <v>3.4050179211469528E-3</v>
      </c>
      <c r="CI64" s="32">
        <f t="shared" si="53"/>
        <v>1.659857818694669E-2</v>
      </c>
      <c r="CJ64" s="12"/>
      <c r="CK64" s="12">
        <f t="shared" si="54"/>
        <v>0</v>
      </c>
      <c r="CL64" s="32">
        <f t="shared" si="55"/>
        <v>0</v>
      </c>
      <c r="CM64" s="12">
        <v>5.0000000000000001E-4</v>
      </c>
      <c r="CN64" s="12">
        <f t="shared" si="56"/>
        <v>3.4050179211469528E-3</v>
      </c>
      <c r="CO64" s="32">
        <f t="shared" si="57"/>
        <v>2.1323176631671721E-2</v>
      </c>
      <c r="CP64" s="12"/>
      <c r="CQ64" s="12">
        <f t="shared" si="58"/>
        <v>0</v>
      </c>
      <c r="CR64" s="32">
        <f t="shared" si="59"/>
        <v>0</v>
      </c>
      <c r="CS64" s="12">
        <v>0.01</v>
      </c>
      <c r="CT64" s="12">
        <f>CS64*D64</f>
        <v>6.8100358422939059E-2</v>
      </c>
      <c r="CU64" s="32">
        <f t="shared" si="61"/>
        <v>0.40150677574903199</v>
      </c>
      <c r="CV64" s="12">
        <v>0.1</v>
      </c>
      <c r="CW64" s="12">
        <f t="shared" si="62"/>
        <v>0.68100358422939067</v>
      </c>
      <c r="CX64" s="32">
        <f t="shared" si="63"/>
        <v>4.0150677574903204</v>
      </c>
      <c r="CY64" s="12">
        <v>5.0000000000000001E-3</v>
      </c>
      <c r="CZ64" s="12">
        <f>CY64*D64</f>
        <v>3.4050179211469529E-2</v>
      </c>
      <c r="DA64" s="32">
        <f t="shared" si="65"/>
        <v>0.20075338787451599</v>
      </c>
      <c r="DB64" s="12"/>
      <c r="DC64" s="12">
        <f t="shared" si="66"/>
        <v>0</v>
      </c>
      <c r="DD64" s="32">
        <f t="shared" si="67"/>
        <v>0</v>
      </c>
      <c r="DE64" s="12"/>
      <c r="DF64" s="12">
        <f t="shared" si="68"/>
        <v>0</v>
      </c>
      <c r="DG64" s="32">
        <f t="shared" si="69"/>
        <v>0</v>
      </c>
      <c r="DH64" s="12"/>
      <c r="DI64" s="12">
        <f t="shared" si="77"/>
        <v>0</v>
      </c>
      <c r="DJ64" s="32">
        <f t="shared" si="70"/>
        <v>0</v>
      </c>
      <c r="DK64" s="12">
        <v>0.02</v>
      </c>
      <c r="DL64" s="12">
        <f t="shared" si="71"/>
        <v>0.13620071684587812</v>
      </c>
      <c r="DM64" s="32">
        <f t="shared" si="72"/>
        <v>0.80301355149806397</v>
      </c>
    </row>
    <row r="65" spans="1:117" s="6" customFormat="1" ht="22.25" customHeight="1" x14ac:dyDescent="0.35">
      <c r="A65" s="4">
        <v>58</v>
      </c>
      <c r="B65" s="4" t="s">
        <v>162</v>
      </c>
      <c r="C65" s="4" t="s">
        <v>163</v>
      </c>
      <c r="D65" s="7">
        <f t="shared" si="2"/>
        <v>10</v>
      </c>
      <c r="E65" s="7">
        <v>10</v>
      </c>
      <c r="F65" s="7">
        <v>1</v>
      </c>
      <c r="G65" s="7">
        <v>1</v>
      </c>
      <c r="H65" s="7">
        <f t="shared" si="74"/>
        <v>1.5</v>
      </c>
      <c r="I65" s="9">
        <f t="shared" si="75"/>
        <v>11.5</v>
      </c>
      <c r="J65" s="13"/>
      <c r="K65" s="12">
        <f t="shared" si="73"/>
        <v>0</v>
      </c>
      <c r="L65" s="32">
        <f t="shared" si="3"/>
        <v>0</v>
      </c>
      <c r="M65" s="12"/>
      <c r="N65" s="12">
        <f t="shared" si="4"/>
        <v>0</v>
      </c>
      <c r="O65" s="32">
        <f t="shared" si="5"/>
        <v>0</v>
      </c>
      <c r="P65" s="12"/>
      <c r="Q65" s="12">
        <f t="shared" si="76"/>
        <v>0</v>
      </c>
      <c r="R65" s="32">
        <f t="shared" si="7"/>
        <v>0</v>
      </c>
      <c r="S65" s="12"/>
      <c r="T65" s="12">
        <f t="shared" si="8"/>
        <v>0</v>
      </c>
      <c r="U65" s="32">
        <f t="shared" si="9"/>
        <v>0</v>
      </c>
      <c r="V65" s="12"/>
      <c r="W65" s="12">
        <f t="shared" si="10"/>
        <v>0</v>
      </c>
      <c r="X65" s="32">
        <f t="shared" si="11"/>
        <v>0</v>
      </c>
      <c r="Y65" s="12">
        <v>2E-3</v>
      </c>
      <c r="Z65" s="12">
        <f t="shared" si="12"/>
        <v>0.02</v>
      </c>
      <c r="AA65" s="32">
        <f t="shared" si="13"/>
        <v>4.6556651104891749E-3</v>
      </c>
      <c r="AB65" s="12"/>
      <c r="AC65" s="12">
        <f t="shared" si="14"/>
        <v>0</v>
      </c>
      <c r="AD65" s="32">
        <f t="shared" si="15"/>
        <v>0</v>
      </c>
      <c r="AE65" s="12"/>
      <c r="AF65" s="37">
        <f t="shared" si="16"/>
        <v>0</v>
      </c>
      <c r="AG65" s="14">
        <f t="shared" si="17"/>
        <v>0</v>
      </c>
      <c r="AH65" s="12"/>
      <c r="AI65" s="12">
        <f t="shared" si="18"/>
        <v>0</v>
      </c>
      <c r="AJ65" s="32">
        <f t="shared" si="19"/>
        <v>0</v>
      </c>
      <c r="AK65" s="12"/>
      <c r="AL65" s="12">
        <f t="shared" si="20"/>
        <v>0</v>
      </c>
      <c r="AM65" s="32">
        <f t="shared" si="21"/>
        <v>0</v>
      </c>
      <c r="AN65" s="12"/>
      <c r="AO65" s="12">
        <f t="shared" si="22"/>
        <v>0</v>
      </c>
      <c r="AP65" s="32">
        <f t="shared" si="23"/>
        <v>0</v>
      </c>
      <c r="AQ65" s="12"/>
      <c r="AR65" s="12">
        <f t="shared" si="24"/>
        <v>0</v>
      </c>
      <c r="AS65" s="32">
        <f t="shared" si="25"/>
        <v>0</v>
      </c>
      <c r="AT65" s="12"/>
      <c r="AU65" s="12">
        <f t="shared" si="26"/>
        <v>0</v>
      </c>
      <c r="AV65" s="32">
        <f t="shared" si="27"/>
        <v>0</v>
      </c>
      <c r="AW65" s="12"/>
      <c r="AX65" s="12">
        <f t="shared" si="28"/>
        <v>0</v>
      </c>
      <c r="AY65" s="32">
        <f t="shared" si="29"/>
        <v>0</v>
      </c>
      <c r="AZ65" s="12"/>
      <c r="BA65" s="12">
        <f t="shared" si="30"/>
        <v>0</v>
      </c>
      <c r="BB65" s="32">
        <f t="shared" si="31"/>
        <v>0</v>
      </c>
      <c r="BC65" s="12"/>
      <c r="BD65" s="12">
        <f t="shared" si="32"/>
        <v>0</v>
      </c>
      <c r="BE65" s="32">
        <f t="shared" si="33"/>
        <v>0</v>
      </c>
      <c r="BF65" s="12"/>
      <c r="BG65" s="12">
        <f t="shared" si="34"/>
        <v>0</v>
      </c>
      <c r="BH65" s="32">
        <f t="shared" si="35"/>
        <v>0</v>
      </c>
      <c r="BI65" s="12"/>
      <c r="BJ65" s="12">
        <f t="shared" si="36"/>
        <v>0</v>
      </c>
      <c r="BK65" s="32">
        <f t="shared" si="37"/>
        <v>0</v>
      </c>
      <c r="BL65" s="12">
        <v>2E-3</v>
      </c>
      <c r="BM65" s="12">
        <f t="shared" si="38"/>
        <v>0.02</v>
      </c>
      <c r="BN65" s="32">
        <f t="shared" si="39"/>
        <v>1.4697550757408818E-2</v>
      </c>
      <c r="BO65" s="12"/>
      <c r="BP65" s="12">
        <f t="shared" si="40"/>
        <v>0</v>
      </c>
      <c r="BQ65" s="32">
        <f t="shared" si="41"/>
        <v>0</v>
      </c>
      <c r="BR65" s="12"/>
      <c r="BS65" s="12">
        <f t="shared" si="42"/>
        <v>0</v>
      </c>
      <c r="BT65" s="32">
        <f t="shared" si="43"/>
        <v>0</v>
      </c>
      <c r="BU65" s="12"/>
      <c r="BV65" s="12">
        <f t="shared" si="44"/>
        <v>0</v>
      </c>
      <c r="BW65" s="32">
        <f t="shared" si="45"/>
        <v>0</v>
      </c>
      <c r="BX65" s="12"/>
      <c r="BY65" s="12">
        <f t="shared" si="46"/>
        <v>0</v>
      </c>
      <c r="BZ65" s="32">
        <f t="shared" si="47"/>
        <v>0</v>
      </c>
      <c r="CA65" s="12"/>
      <c r="CB65" s="12">
        <f t="shared" si="48"/>
        <v>0</v>
      </c>
      <c r="CC65" s="32">
        <f t="shared" si="49"/>
        <v>0</v>
      </c>
      <c r="CD65" s="12"/>
      <c r="CE65" s="12">
        <f t="shared" si="50"/>
        <v>0</v>
      </c>
      <c r="CF65" s="32">
        <f t="shared" si="51"/>
        <v>0</v>
      </c>
      <c r="CG65" s="12"/>
      <c r="CH65" s="12">
        <f t="shared" si="52"/>
        <v>0</v>
      </c>
      <c r="CI65" s="32">
        <f t="shared" si="53"/>
        <v>0</v>
      </c>
      <c r="CJ65" s="12"/>
      <c r="CK65" s="12">
        <f t="shared" si="54"/>
        <v>0</v>
      </c>
      <c r="CL65" s="32">
        <f t="shared" si="55"/>
        <v>0</v>
      </c>
      <c r="CM65" s="12"/>
      <c r="CN65" s="12">
        <f t="shared" si="56"/>
        <v>0</v>
      </c>
      <c r="CO65" s="32">
        <f t="shared" si="57"/>
        <v>0</v>
      </c>
      <c r="CP65" s="12"/>
      <c r="CQ65" s="12">
        <f t="shared" si="58"/>
        <v>0</v>
      </c>
      <c r="CR65" s="32">
        <f t="shared" si="59"/>
        <v>0</v>
      </c>
      <c r="CS65" s="12"/>
      <c r="CT65" s="12">
        <f t="shared" si="60"/>
        <v>0</v>
      </c>
      <c r="CU65" s="32">
        <f t="shared" si="61"/>
        <v>0</v>
      </c>
      <c r="CV65" s="12"/>
      <c r="CW65" s="12">
        <f t="shared" si="62"/>
        <v>0</v>
      </c>
      <c r="CX65" s="32">
        <f t="shared" si="63"/>
        <v>0</v>
      </c>
      <c r="CY65" s="12"/>
      <c r="CZ65" s="12">
        <f t="shared" si="64"/>
        <v>0</v>
      </c>
      <c r="DA65" s="32">
        <f t="shared" si="65"/>
        <v>0</v>
      </c>
      <c r="DB65" s="12">
        <v>0.02</v>
      </c>
      <c r="DC65" s="12">
        <f t="shared" si="66"/>
        <v>0</v>
      </c>
      <c r="DD65" s="32">
        <f t="shared" si="67"/>
        <v>0</v>
      </c>
      <c r="DE65" s="12"/>
      <c r="DF65" s="12">
        <f t="shared" si="68"/>
        <v>0</v>
      </c>
      <c r="DG65" s="32">
        <f t="shared" si="69"/>
        <v>0</v>
      </c>
      <c r="DH65" s="12">
        <v>0.02</v>
      </c>
      <c r="DI65" s="12">
        <f t="shared" si="77"/>
        <v>0.2</v>
      </c>
      <c r="DJ65" s="32">
        <f t="shared" si="70"/>
        <v>1.1791620045682101</v>
      </c>
      <c r="DK65" s="12"/>
      <c r="DL65" s="12">
        <f t="shared" si="71"/>
        <v>0</v>
      </c>
      <c r="DM65" s="32">
        <f t="shared" si="72"/>
        <v>0</v>
      </c>
    </row>
    <row r="66" spans="1:117" s="6" customFormat="1" ht="22.25" customHeight="1" x14ac:dyDescent="0.35">
      <c r="A66" s="4">
        <v>59</v>
      </c>
      <c r="B66" s="4" t="s">
        <v>164</v>
      </c>
      <c r="C66" s="4" t="s">
        <v>165</v>
      </c>
      <c r="D66" s="7">
        <f t="shared" si="2"/>
        <v>0.26</v>
      </c>
      <c r="E66" s="7">
        <v>0.26</v>
      </c>
      <c r="F66" s="7">
        <v>1</v>
      </c>
      <c r="G66" s="7">
        <v>1</v>
      </c>
      <c r="H66" s="7">
        <f t="shared" si="74"/>
        <v>3.9E-2</v>
      </c>
      <c r="I66" s="9">
        <f t="shared" si="75"/>
        <v>0.29899999999999999</v>
      </c>
      <c r="J66" s="13"/>
      <c r="K66" s="12">
        <f t="shared" si="73"/>
        <v>0</v>
      </c>
      <c r="L66" s="32">
        <f t="shared" si="3"/>
        <v>0</v>
      </c>
      <c r="M66" s="12"/>
      <c r="N66" s="12">
        <f t="shared" si="4"/>
        <v>0</v>
      </c>
      <c r="O66" s="32">
        <f t="shared" si="5"/>
        <v>0</v>
      </c>
      <c r="P66" s="12"/>
      <c r="Q66" s="12">
        <f t="shared" si="76"/>
        <v>0</v>
      </c>
      <c r="R66" s="32">
        <f t="shared" si="7"/>
        <v>0</v>
      </c>
      <c r="S66" s="12"/>
      <c r="T66" s="12">
        <f t="shared" si="8"/>
        <v>0</v>
      </c>
      <c r="U66" s="32">
        <f t="shared" si="9"/>
        <v>0</v>
      </c>
      <c r="V66" s="12"/>
      <c r="W66" s="12">
        <f t="shared" si="10"/>
        <v>0</v>
      </c>
      <c r="X66" s="32">
        <f t="shared" si="11"/>
        <v>0</v>
      </c>
      <c r="Y66" s="12"/>
      <c r="Z66" s="12">
        <f t="shared" si="12"/>
        <v>0</v>
      </c>
      <c r="AA66" s="32">
        <f t="shared" si="13"/>
        <v>0</v>
      </c>
      <c r="AB66" s="12"/>
      <c r="AC66" s="12">
        <f t="shared" si="14"/>
        <v>0</v>
      </c>
      <c r="AD66" s="32">
        <f t="shared" si="15"/>
        <v>0</v>
      </c>
      <c r="AE66" s="12"/>
      <c r="AF66" s="37">
        <f t="shared" si="16"/>
        <v>0</v>
      </c>
      <c r="AG66" s="14">
        <f t="shared" si="17"/>
        <v>0</v>
      </c>
      <c r="AH66" s="12"/>
      <c r="AI66" s="12">
        <f t="shared" si="18"/>
        <v>0</v>
      </c>
      <c r="AJ66" s="32">
        <f t="shared" si="19"/>
        <v>0</v>
      </c>
      <c r="AK66" s="12"/>
      <c r="AL66" s="12">
        <f t="shared" si="20"/>
        <v>0</v>
      </c>
      <c r="AM66" s="32">
        <f t="shared" si="21"/>
        <v>0</v>
      </c>
      <c r="AN66" s="12"/>
      <c r="AO66" s="12">
        <f t="shared" si="22"/>
        <v>0</v>
      </c>
      <c r="AP66" s="32">
        <f t="shared" si="23"/>
        <v>0</v>
      </c>
      <c r="AQ66" s="12"/>
      <c r="AR66" s="12">
        <f t="shared" si="24"/>
        <v>0</v>
      </c>
      <c r="AS66" s="32">
        <f t="shared" si="25"/>
        <v>0</v>
      </c>
      <c r="AT66" s="12"/>
      <c r="AU66" s="12">
        <f t="shared" si="26"/>
        <v>0</v>
      </c>
      <c r="AV66" s="32">
        <f t="shared" si="27"/>
        <v>0</v>
      </c>
      <c r="AW66" s="12"/>
      <c r="AX66" s="12">
        <f t="shared" si="28"/>
        <v>0</v>
      </c>
      <c r="AY66" s="32">
        <f t="shared" si="29"/>
        <v>0</v>
      </c>
      <c r="AZ66" s="12"/>
      <c r="BA66" s="12">
        <f t="shared" si="30"/>
        <v>0</v>
      </c>
      <c r="BB66" s="32">
        <f t="shared" si="31"/>
        <v>0</v>
      </c>
      <c r="BC66" s="12"/>
      <c r="BD66" s="12">
        <f t="shared" si="32"/>
        <v>0</v>
      </c>
      <c r="BE66" s="32">
        <f t="shared" si="33"/>
        <v>0</v>
      </c>
      <c r="BF66" s="12"/>
      <c r="BG66" s="12">
        <f t="shared" si="34"/>
        <v>0</v>
      </c>
      <c r="BH66" s="32">
        <f t="shared" si="35"/>
        <v>0</v>
      </c>
      <c r="BI66" s="12"/>
      <c r="BJ66" s="12">
        <f t="shared" si="36"/>
        <v>0</v>
      </c>
      <c r="BK66" s="32">
        <f t="shared" si="37"/>
        <v>0</v>
      </c>
      <c r="BL66" s="12"/>
      <c r="BM66" s="12">
        <f t="shared" si="38"/>
        <v>0</v>
      </c>
      <c r="BN66" s="32">
        <f t="shared" si="39"/>
        <v>0</v>
      </c>
      <c r="BO66" s="12"/>
      <c r="BP66" s="12">
        <f t="shared" si="40"/>
        <v>0</v>
      </c>
      <c r="BQ66" s="32">
        <f t="shared" si="41"/>
        <v>0</v>
      </c>
      <c r="BR66" s="12"/>
      <c r="BS66" s="12">
        <f t="shared" si="42"/>
        <v>0</v>
      </c>
      <c r="BT66" s="32">
        <f t="shared" si="43"/>
        <v>0</v>
      </c>
      <c r="BU66" s="12"/>
      <c r="BV66" s="12">
        <f t="shared" si="44"/>
        <v>0</v>
      </c>
      <c r="BW66" s="32">
        <f t="shared" si="45"/>
        <v>0</v>
      </c>
      <c r="BX66" s="12"/>
      <c r="BY66" s="12">
        <f t="shared" si="46"/>
        <v>0</v>
      </c>
      <c r="BZ66" s="32">
        <f t="shared" si="47"/>
        <v>0</v>
      </c>
      <c r="CA66" s="12"/>
      <c r="CB66" s="12">
        <f t="shared" si="48"/>
        <v>0</v>
      </c>
      <c r="CC66" s="32">
        <f t="shared" si="49"/>
        <v>0</v>
      </c>
      <c r="CD66" s="12"/>
      <c r="CE66" s="12">
        <f t="shared" si="50"/>
        <v>0</v>
      </c>
      <c r="CF66" s="32">
        <f t="shared" si="51"/>
        <v>0</v>
      </c>
      <c r="CG66" s="12"/>
      <c r="CH66" s="12">
        <f t="shared" si="52"/>
        <v>0</v>
      </c>
      <c r="CI66" s="32">
        <f t="shared" si="53"/>
        <v>0</v>
      </c>
      <c r="CJ66" s="12">
        <v>2E-3</v>
      </c>
      <c r="CK66" s="12">
        <f t="shared" si="54"/>
        <v>5.2000000000000006E-4</v>
      </c>
      <c r="CL66" s="32">
        <f t="shared" si="55"/>
        <v>1.3558614935335839E-3</v>
      </c>
      <c r="CM66" s="12"/>
      <c r="CN66" s="12">
        <f t="shared" si="56"/>
        <v>0</v>
      </c>
      <c r="CO66" s="32">
        <f t="shared" si="57"/>
        <v>0</v>
      </c>
      <c r="CP66" s="12"/>
      <c r="CQ66" s="12">
        <f t="shared" si="58"/>
        <v>0</v>
      </c>
      <c r="CR66" s="32">
        <f t="shared" si="59"/>
        <v>0</v>
      </c>
      <c r="CS66" s="12"/>
      <c r="CT66" s="12">
        <f t="shared" si="60"/>
        <v>0</v>
      </c>
      <c r="CU66" s="32">
        <f t="shared" si="61"/>
        <v>0</v>
      </c>
      <c r="CV66" s="12"/>
      <c r="CW66" s="12">
        <f t="shared" si="62"/>
        <v>0</v>
      </c>
      <c r="CX66" s="32">
        <f t="shared" si="63"/>
        <v>0</v>
      </c>
      <c r="CY66" s="12"/>
      <c r="CZ66" s="12">
        <f t="shared" si="64"/>
        <v>0</v>
      </c>
      <c r="DA66" s="32">
        <f t="shared" si="65"/>
        <v>0</v>
      </c>
      <c r="DB66" s="12"/>
      <c r="DC66" s="12">
        <f t="shared" si="66"/>
        <v>0</v>
      </c>
      <c r="DD66" s="32">
        <f t="shared" si="67"/>
        <v>0</v>
      </c>
      <c r="DE66" s="12"/>
      <c r="DF66" s="12">
        <f t="shared" si="68"/>
        <v>0</v>
      </c>
      <c r="DG66" s="32">
        <f t="shared" si="69"/>
        <v>0</v>
      </c>
      <c r="DH66" s="12"/>
      <c r="DI66" s="12">
        <f t="shared" si="77"/>
        <v>0</v>
      </c>
      <c r="DJ66" s="32">
        <f t="shared" si="70"/>
        <v>0</v>
      </c>
      <c r="DK66" s="12"/>
      <c r="DL66" s="12">
        <f t="shared" si="71"/>
        <v>0</v>
      </c>
      <c r="DM66" s="32">
        <f t="shared" si="72"/>
        <v>0</v>
      </c>
    </row>
    <row r="67" spans="1:117" s="6" customFormat="1" ht="22.25" customHeight="1" x14ac:dyDescent="0.35">
      <c r="A67" s="4">
        <v>60</v>
      </c>
      <c r="B67" s="4" t="s">
        <v>166</v>
      </c>
      <c r="C67" s="4" t="s">
        <v>167</v>
      </c>
      <c r="D67" s="7">
        <f t="shared" si="2"/>
        <v>4.2553191489361701</v>
      </c>
      <c r="E67" s="7">
        <f>30/7.5</f>
        <v>4</v>
      </c>
      <c r="F67" s="7">
        <v>1</v>
      </c>
      <c r="G67" s="7">
        <v>0.94</v>
      </c>
      <c r="H67" s="7">
        <f t="shared" si="74"/>
        <v>0.63829787234042545</v>
      </c>
      <c r="I67" s="9">
        <f t="shared" si="75"/>
        <v>4.8936170212765955</v>
      </c>
      <c r="J67" s="13"/>
      <c r="K67" s="12">
        <f t="shared" si="73"/>
        <v>0</v>
      </c>
      <c r="L67" s="32">
        <f t="shared" si="3"/>
        <v>0</v>
      </c>
      <c r="M67" s="12"/>
      <c r="N67" s="12">
        <f t="shared" si="4"/>
        <v>0</v>
      </c>
      <c r="O67" s="32">
        <f t="shared" si="5"/>
        <v>0</v>
      </c>
      <c r="P67" s="12"/>
      <c r="Q67" s="12">
        <f t="shared" si="76"/>
        <v>0</v>
      </c>
      <c r="R67" s="32">
        <f t="shared" si="7"/>
        <v>0</v>
      </c>
      <c r="S67" s="12"/>
      <c r="T67" s="12">
        <f t="shared" si="8"/>
        <v>0</v>
      </c>
      <c r="U67" s="32">
        <f t="shared" si="9"/>
        <v>0</v>
      </c>
      <c r="V67" s="12"/>
      <c r="W67" s="12">
        <f t="shared" si="10"/>
        <v>0</v>
      </c>
      <c r="X67" s="32">
        <f t="shared" si="11"/>
        <v>0</v>
      </c>
      <c r="Y67" s="12">
        <v>0.02</v>
      </c>
      <c r="Z67" s="12">
        <f t="shared" si="12"/>
        <v>8.5106382978723402E-2</v>
      </c>
      <c r="AA67" s="32">
        <f t="shared" si="13"/>
        <v>1.9811340895698616E-2</v>
      </c>
      <c r="AB67" s="12">
        <v>0.01</v>
      </c>
      <c r="AC67" s="12">
        <f t="shared" si="14"/>
        <v>4.2553191489361701E-2</v>
      </c>
      <c r="AD67" s="32">
        <f t="shared" si="15"/>
        <v>1.1535407803597946E-2</v>
      </c>
      <c r="AE67" s="12"/>
      <c r="AF67" s="37">
        <f t="shared" si="16"/>
        <v>0</v>
      </c>
      <c r="AG67" s="14">
        <f t="shared" si="17"/>
        <v>0</v>
      </c>
      <c r="AH67" s="12"/>
      <c r="AI67" s="12">
        <f t="shared" si="18"/>
        <v>0</v>
      </c>
      <c r="AJ67" s="32">
        <f t="shared" si="19"/>
        <v>0</v>
      </c>
      <c r="AK67" s="12"/>
      <c r="AL67" s="12">
        <f t="shared" si="20"/>
        <v>0</v>
      </c>
      <c r="AM67" s="32">
        <f t="shared" si="21"/>
        <v>0</v>
      </c>
      <c r="AN67" s="12">
        <v>0.1</v>
      </c>
      <c r="AO67" s="12">
        <f t="shared" si="22"/>
        <v>0.42553191489361702</v>
      </c>
      <c r="AP67" s="32">
        <f t="shared" si="23"/>
        <v>0.10403593051753066</v>
      </c>
      <c r="AQ67" s="12"/>
      <c r="AR67" s="12">
        <f t="shared" si="24"/>
        <v>0</v>
      </c>
      <c r="AS67" s="32">
        <f t="shared" si="25"/>
        <v>0</v>
      </c>
      <c r="AT67" s="12"/>
      <c r="AU67" s="12">
        <f t="shared" si="26"/>
        <v>0</v>
      </c>
      <c r="AV67" s="32">
        <f t="shared" si="27"/>
        <v>0</v>
      </c>
      <c r="AW67" s="12"/>
      <c r="AX67" s="12">
        <f t="shared" si="28"/>
        <v>0</v>
      </c>
      <c r="AY67" s="32">
        <f t="shared" si="29"/>
        <v>0</v>
      </c>
      <c r="AZ67" s="12"/>
      <c r="BA67" s="12">
        <f t="shared" si="30"/>
        <v>0</v>
      </c>
      <c r="BB67" s="32">
        <f t="shared" si="31"/>
        <v>0</v>
      </c>
      <c r="BC67" s="12"/>
      <c r="BD67" s="12">
        <f t="shared" si="32"/>
        <v>0</v>
      </c>
      <c r="BE67" s="32">
        <f t="shared" si="33"/>
        <v>0</v>
      </c>
      <c r="BF67" s="12"/>
      <c r="BG67" s="12">
        <f t="shared" si="34"/>
        <v>0</v>
      </c>
      <c r="BH67" s="32">
        <f t="shared" si="35"/>
        <v>0</v>
      </c>
      <c r="BI67" s="12"/>
      <c r="BJ67" s="12">
        <f t="shared" si="36"/>
        <v>0</v>
      </c>
      <c r="BK67" s="32">
        <f t="shared" si="37"/>
        <v>0</v>
      </c>
      <c r="BL67" s="12"/>
      <c r="BM67" s="12">
        <f t="shared" si="38"/>
        <v>0</v>
      </c>
      <c r="BN67" s="32">
        <f t="shared" si="39"/>
        <v>0</v>
      </c>
      <c r="BO67" s="12"/>
      <c r="BP67" s="12">
        <f t="shared" si="40"/>
        <v>0</v>
      </c>
      <c r="BQ67" s="32">
        <f t="shared" si="41"/>
        <v>0</v>
      </c>
      <c r="BR67" s="12"/>
      <c r="BS67" s="12">
        <f t="shared" si="42"/>
        <v>0</v>
      </c>
      <c r="BT67" s="32">
        <f t="shared" si="43"/>
        <v>0</v>
      </c>
      <c r="BU67" s="12"/>
      <c r="BV67" s="12">
        <f t="shared" si="44"/>
        <v>0</v>
      </c>
      <c r="BW67" s="32">
        <f t="shared" si="45"/>
        <v>0</v>
      </c>
      <c r="BX67" s="12"/>
      <c r="BY67" s="12">
        <f t="shared" si="46"/>
        <v>0</v>
      </c>
      <c r="BZ67" s="32">
        <f t="shared" si="47"/>
        <v>0</v>
      </c>
      <c r="CA67" s="12"/>
      <c r="CB67" s="12">
        <f t="shared" si="48"/>
        <v>0</v>
      </c>
      <c r="CC67" s="32">
        <f t="shared" si="49"/>
        <v>0</v>
      </c>
      <c r="CD67" s="12"/>
      <c r="CE67" s="12">
        <f t="shared" si="50"/>
        <v>0</v>
      </c>
      <c r="CF67" s="32">
        <f t="shared" si="51"/>
        <v>0</v>
      </c>
      <c r="CG67" s="12"/>
      <c r="CH67" s="12">
        <f t="shared" si="52"/>
        <v>0</v>
      </c>
      <c r="CI67" s="32">
        <f t="shared" si="53"/>
        <v>0</v>
      </c>
      <c r="CJ67" s="12"/>
      <c r="CK67" s="12">
        <f t="shared" si="54"/>
        <v>0</v>
      </c>
      <c r="CL67" s="32">
        <f t="shared" si="55"/>
        <v>0</v>
      </c>
      <c r="CM67" s="12"/>
      <c r="CN67" s="12">
        <f t="shared" si="56"/>
        <v>0</v>
      </c>
      <c r="CO67" s="32">
        <f t="shared" si="57"/>
        <v>0</v>
      </c>
      <c r="CP67" s="12"/>
      <c r="CQ67" s="12">
        <f t="shared" si="58"/>
        <v>0</v>
      </c>
      <c r="CR67" s="32">
        <f t="shared" si="59"/>
        <v>0</v>
      </c>
      <c r="CS67" s="12"/>
      <c r="CT67" s="12">
        <f t="shared" si="60"/>
        <v>0</v>
      </c>
      <c r="CU67" s="32">
        <f t="shared" si="61"/>
        <v>0</v>
      </c>
      <c r="CV67" s="12"/>
      <c r="CW67" s="12">
        <f t="shared" si="62"/>
        <v>0</v>
      </c>
      <c r="CX67" s="32">
        <f t="shared" si="63"/>
        <v>0</v>
      </c>
      <c r="CY67" s="12"/>
      <c r="CZ67" s="12">
        <f t="shared" si="64"/>
        <v>0</v>
      </c>
      <c r="DA67" s="32">
        <f t="shared" si="65"/>
        <v>0</v>
      </c>
      <c r="DB67" s="12">
        <v>0.15</v>
      </c>
      <c r="DC67" s="12">
        <f t="shared" si="66"/>
        <v>0</v>
      </c>
      <c r="DD67" s="32">
        <f t="shared" si="67"/>
        <v>0</v>
      </c>
      <c r="DE67" s="12"/>
      <c r="DF67" s="12">
        <f t="shared" si="68"/>
        <v>0</v>
      </c>
      <c r="DG67" s="32">
        <f t="shared" si="69"/>
        <v>0</v>
      </c>
      <c r="DH67" s="12"/>
      <c r="DI67" s="12">
        <f t="shared" si="77"/>
        <v>0</v>
      </c>
      <c r="DJ67" s="32">
        <f t="shared" si="70"/>
        <v>0</v>
      </c>
      <c r="DK67" s="12"/>
      <c r="DL67" s="12">
        <f t="shared" si="71"/>
        <v>0</v>
      </c>
      <c r="DM67" s="32">
        <f t="shared" si="72"/>
        <v>0</v>
      </c>
    </row>
    <row r="68" spans="1:117" s="6" customFormat="1" ht="22.25" customHeight="1" x14ac:dyDescent="0.35">
      <c r="A68" s="4">
        <v>61</v>
      </c>
      <c r="B68" s="4" t="s">
        <v>168</v>
      </c>
      <c r="C68" s="4" t="s">
        <v>169</v>
      </c>
      <c r="D68" s="7">
        <f t="shared" si="2"/>
        <v>58</v>
      </c>
      <c r="E68" s="7">
        <v>58</v>
      </c>
      <c r="F68" s="7">
        <v>1</v>
      </c>
      <c r="G68" s="7">
        <v>1</v>
      </c>
      <c r="H68" s="7">
        <f t="shared" si="74"/>
        <v>8.6999999999999993</v>
      </c>
      <c r="I68" s="9">
        <f t="shared" si="75"/>
        <v>66.7</v>
      </c>
      <c r="J68" s="13"/>
      <c r="K68" s="12">
        <f t="shared" si="73"/>
        <v>0</v>
      </c>
      <c r="L68" s="32">
        <f t="shared" si="3"/>
        <v>0</v>
      </c>
      <c r="M68" s="12"/>
      <c r="N68" s="12">
        <f t="shared" si="4"/>
        <v>0</v>
      </c>
      <c r="O68" s="32">
        <f t="shared" si="5"/>
        <v>0</v>
      </c>
      <c r="P68" s="12"/>
      <c r="Q68" s="12">
        <f t="shared" si="76"/>
        <v>0</v>
      </c>
      <c r="R68" s="32">
        <f t="shared" si="7"/>
        <v>0</v>
      </c>
      <c r="S68" s="12"/>
      <c r="T68" s="12">
        <f t="shared" si="8"/>
        <v>0</v>
      </c>
      <c r="U68" s="32">
        <f t="shared" si="9"/>
        <v>0</v>
      </c>
      <c r="V68" s="12"/>
      <c r="W68" s="12">
        <f t="shared" si="10"/>
        <v>0</v>
      </c>
      <c r="X68" s="32">
        <f t="shared" si="11"/>
        <v>0</v>
      </c>
      <c r="Y68" s="12"/>
      <c r="Z68" s="12">
        <f t="shared" si="12"/>
        <v>0</v>
      </c>
      <c r="AA68" s="32">
        <f t="shared" si="13"/>
        <v>0</v>
      </c>
      <c r="AB68" s="12"/>
      <c r="AC68" s="12">
        <f t="shared" si="14"/>
        <v>0</v>
      </c>
      <c r="AD68" s="32">
        <f t="shared" si="15"/>
        <v>0</v>
      </c>
      <c r="AE68" s="12"/>
      <c r="AF68" s="37">
        <f t="shared" si="16"/>
        <v>0</v>
      </c>
      <c r="AG68" s="14">
        <f t="shared" si="17"/>
        <v>0</v>
      </c>
      <c r="AH68" s="12"/>
      <c r="AI68" s="12">
        <f t="shared" si="18"/>
        <v>0</v>
      </c>
      <c r="AJ68" s="32">
        <f t="shared" si="19"/>
        <v>0</v>
      </c>
      <c r="AK68" s="12"/>
      <c r="AL68" s="12">
        <f t="shared" si="20"/>
        <v>0</v>
      </c>
      <c r="AM68" s="32">
        <f t="shared" si="21"/>
        <v>0</v>
      </c>
      <c r="AN68" s="12"/>
      <c r="AO68" s="12">
        <f t="shared" si="22"/>
        <v>0</v>
      </c>
      <c r="AP68" s="32">
        <f t="shared" si="23"/>
        <v>0</v>
      </c>
      <c r="AQ68" s="12"/>
      <c r="AR68" s="12">
        <f t="shared" si="24"/>
        <v>0</v>
      </c>
      <c r="AS68" s="32">
        <f t="shared" si="25"/>
        <v>0</v>
      </c>
      <c r="AT68" s="12"/>
      <c r="AU68" s="12">
        <f t="shared" si="26"/>
        <v>0</v>
      </c>
      <c r="AV68" s="32">
        <f t="shared" si="27"/>
        <v>0</v>
      </c>
      <c r="AW68" s="12"/>
      <c r="AX68" s="12">
        <f t="shared" si="28"/>
        <v>0</v>
      </c>
      <c r="AY68" s="32">
        <f t="shared" si="29"/>
        <v>0</v>
      </c>
      <c r="AZ68" s="12"/>
      <c r="BA68" s="12">
        <f t="shared" si="30"/>
        <v>0</v>
      </c>
      <c r="BB68" s="32">
        <f t="shared" si="31"/>
        <v>0</v>
      </c>
      <c r="BC68" s="12"/>
      <c r="BD68" s="12">
        <f t="shared" si="32"/>
        <v>0</v>
      </c>
      <c r="BE68" s="32">
        <f t="shared" si="33"/>
        <v>0</v>
      </c>
      <c r="BF68" s="12"/>
      <c r="BG68" s="12">
        <f t="shared" si="34"/>
        <v>0</v>
      </c>
      <c r="BH68" s="32">
        <f t="shared" si="35"/>
        <v>0</v>
      </c>
      <c r="BI68" s="12"/>
      <c r="BJ68" s="12">
        <f t="shared" si="36"/>
        <v>0</v>
      </c>
      <c r="BK68" s="32">
        <f t="shared" si="37"/>
        <v>0</v>
      </c>
      <c r="BL68" s="12"/>
      <c r="BM68" s="12">
        <f t="shared" si="38"/>
        <v>0</v>
      </c>
      <c r="BN68" s="32">
        <f t="shared" si="39"/>
        <v>0</v>
      </c>
      <c r="BO68" s="12"/>
      <c r="BP68" s="12">
        <f t="shared" si="40"/>
        <v>0</v>
      </c>
      <c r="BQ68" s="32">
        <f t="shared" si="41"/>
        <v>0</v>
      </c>
      <c r="BR68" s="12"/>
      <c r="BS68" s="12">
        <f t="shared" si="42"/>
        <v>0</v>
      </c>
      <c r="BT68" s="32">
        <f t="shared" si="43"/>
        <v>0</v>
      </c>
      <c r="BU68" s="12"/>
      <c r="BV68" s="12">
        <f t="shared" si="44"/>
        <v>0</v>
      </c>
      <c r="BW68" s="32">
        <f t="shared" si="45"/>
        <v>0</v>
      </c>
      <c r="BX68" s="12"/>
      <c r="BY68" s="12">
        <f t="shared" si="46"/>
        <v>0</v>
      </c>
      <c r="BZ68" s="32">
        <f t="shared" si="47"/>
        <v>0</v>
      </c>
      <c r="CA68" s="12"/>
      <c r="CB68" s="12">
        <f t="shared" si="48"/>
        <v>0</v>
      </c>
      <c r="CC68" s="32">
        <f t="shared" si="49"/>
        <v>0</v>
      </c>
      <c r="CD68" s="12"/>
      <c r="CE68" s="12">
        <f t="shared" si="50"/>
        <v>0</v>
      </c>
      <c r="CF68" s="32">
        <f t="shared" si="51"/>
        <v>0</v>
      </c>
      <c r="CG68" s="12"/>
      <c r="CH68" s="12">
        <f t="shared" si="52"/>
        <v>0</v>
      </c>
      <c r="CI68" s="32">
        <f t="shared" si="53"/>
        <v>0</v>
      </c>
      <c r="CJ68" s="12"/>
      <c r="CK68" s="12">
        <f t="shared" si="54"/>
        <v>0</v>
      </c>
      <c r="CL68" s="32">
        <f t="shared" si="55"/>
        <v>0</v>
      </c>
      <c r="CM68" s="12"/>
      <c r="CN68" s="12">
        <f t="shared" si="56"/>
        <v>0</v>
      </c>
      <c r="CO68" s="32">
        <f t="shared" si="57"/>
        <v>0</v>
      </c>
      <c r="CP68" s="12"/>
      <c r="CQ68" s="12">
        <f t="shared" si="58"/>
        <v>0</v>
      </c>
      <c r="CR68" s="32">
        <f t="shared" si="59"/>
        <v>0</v>
      </c>
      <c r="CS68" s="12"/>
      <c r="CT68" s="12">
        <f t="shared" si="60"/>
        <v>0</v>
      </c>
      <c r="CU68" s="32">
        <f t="shared" si="61"/>
        <v>0</v>
      </c>
      <c r="CV68" s="12"/>
      <c r="CW68" s="12">
        <f t="shared" si="62"/>
        <v>0</v>
      </c>
      <c r="CX68" s="32">
        <f t="shared" si="63"/>
        <v>0</v>
      </c>
      <c r="CY68" s="12"/>
      <c r="CZ68" s="12">
        <f t="shared" si="64"/>
        <v>0</v>
      </c>
      <c r="DA68" s="32">
        <f t="shared" si="65"/>
        <v>0</v>
      </c>
      <c r="DB68" s="12"/>
      <c r="DC68" s="12">
        <f t="shared" si="66"/>
        <v>0</v>
      </c>
      <c r="DD68" s="32">
        <f t="shared" si="67"/>
        <v>0</v>
      </c>
      <c r="DE68" s="12"/>
      <c r="DF68" s="12">
        <f t="shared" si="68"/>
        <v>0</v>
      </c>
      <c r="DG68" s="32">
        <f t="shared" si="69"/>
        <v>0</v>
      </c>
      <c r="DH68" s="12"/>
      <c r="DI68" s="12">
        <f t="shared" si="77"/>
        <v>0</v>
      </c>
      <c r="DJ68" s="32">
        <f t="shared" si="70"/>
        <v>0</v>
      </c>
      <c r="DK68" s="12"/>
      <c r="DL68" s="12">
        <f t="shared" si="71"/>
        <v>0</v>
      </c>
      <c r="DM68" s="32">
        <f t="shared" si="72"/>
        <v>0</v>
      </c>
    </row>
    <row r="69" spans="1:117" s="6" customFormat="1" ht="22.25" customHeight="1" x14ac:dyDescent="0.35">
      <c r="A69" s="4">
        <v>62</v>
      </c>
      <c r="B69" s="4" t="s">
        <v>170</v>
      </c>
      <c r="C69" s="4" t="s">
        <v>171</v>
      </c>
      <c r="D69" s="7">
        <f t="shared" si="2"/>
        <v>2.5</v>
      </c>
      <c r="E69" s="7">
        <f>15/6</f>
        <v>2.5</v>
      </c>
      <c r="F69" s="7">
        <v>1</v>
      </c>
      <c r="G69" s="7">
        <v>1</v>
      </c>
      <c r="H69" s="7">
        <f t="shared" si="74"/>
        <v>0.375</v>
      </c>
      <c r="I69" s="9">
        <f t="shared" si="75"/>
        <v>2.875</v>
      </c>
      <c r="J69" s="13"/>
      <c r="K69" s="12">
        <f t="shared" si="73"/>
        <v>0</v>
      </c>
      <c r="L69" s="32">
        <f t="shared" si="3"/>
        <v>0</v>
      </c>
      <c r="M69" s="12"/>
      <c r="N69" s="12">
        <f t="shared" si="4"/>
        <v>0</v>
      </c>
      <c r="O69" s="32">
        <f t="shared" si="5"/>
        <v>0</v>
      </c>
      <c r="P69" s="12"/>
      <c r="Q69" s="12">
        <f t="shared" si="76"/>
        <v>0</v>
      </c>
      <c r="R69" s="32">
        <f t="shared" si="7"/>
        <v>0</v>
      </c>
      <c r="S69" s="12"/>
      <c r="T69" s="12">
        <f t="shared" si="8"/>
        <v>0</v>
      </c>
      <c r="U69" s="32">
        <f t="shared" si="9"/>
        <v>0</v>
      </c>
      <c r="V69" s="12"/>
      <c r="W69" s="12">
        <f t="shared" si="10"/>
        <v>0</v>
      </c>
      <c r="X69" s="32">
        <f t="shared" si="11"/>
        <v>0</v>
      </c>
      <c r="Y69" s="12"/>
      <c r="Z69" s="12">
        <f t="shared" si="12"/>
        <v>0</v>
      </c>
      <c r="AA69" s="32">
        <f t="shared" si="13"/>
        <v>0</v>
      </c>
      <c r="AB69" s="12"/>
      <c r="AC69" s="12">
        <f t="shared" si="14"/>
        <v>0</v>
      </c>
      <c r="AD69" s="32">
        <f t="shared" si="15"/>
        <v>0</v>
      </c>
      <c r="AE69" s="12"/>
      <c r="AF69" s="37">
        <f t="shared" si="16"/>
        <v>0</v>
      </c>
      <c r="AG69" s="14">
        <f t="shared" si="17"/>
        <v>0</v>
      </c>
      <c r="AH69" s="12"/>
      <c r="AI69" s="12">
        <f t="shared" si="18"/>
        <v>0</v>
      </c>
      <c r="AJ69" s="32">
        <f t="shared" si="19"/>
        <v>0</v>
      </c>
      <c r="AK69" s="12"/>
      <c r="AL69" s="12">
        <f t="shared" si="20"/>
        <v>0</v>
      </c>
      <c r="AM69" s="32">
        <f t="shared" si="21"/>
        <v>0</v>
      </c>
      <c r="AN69" s="12"/>
      <c r="AO69" s="12">
        <f t="shared" si="22"/>
        <v>0</v>
      </c>
      <c r="AP69" s="32">
        <f t="shared" si="23"/>
        <v>0</v>
      </c>
      <c r="AQ69" s="12"/>
      <c r="AR69" s="12">
        <f t="shared" si="24"/>
        <v>0</v>
      </c>
      <c r="AS69" s="32">
        <f t="shared" si="25"/>
        <v>0</v>
      </c>
      <c r="AT69" s="12"/>
      <c r="AU69" s="12">
        <f t="shared" si="26"/>
        <v>0</v>
      </c>
      <c r="AV69" s="32">
        <f t="shared" si="27"/>
        <v>0</v>
      </c>
      <c r="AW69" s="12"/>
      <c r="AX69" s="12">
        <f t="shared" si="28"/>
        <v>0</v>
      </c>
      <c r="AY69" s="32">
        <f t="shared" si="29"/>
        <v>0</v>
      </c>
      <c r="AZ69" s="12"/>
      <c r="BA69" s="12">
        <f t="shared" si="30"/>
        <v>0</v>
      </c>
      <c r="BB69" s="32">
        <f t="shared" si="31"/>
        <v>0</v>
      </c>
      <c r="BC69" s="12"/>
      <c r="BD69" s="12">
        <f t="shared" si="32"/>
        <v>0</v>
      </c>
      <c r="BE69" s="32">
        <f t="shared" si="33"/>
        <v>0</v>
      </c>
      <c r="BF69" s="12"/>
      <c r="BG69" s="12">
        <f t="shared" si="34"/>
        <v>0</v>
      </c>
      <c r="BH69" s="32">
        <f t="shared" si="35"/>
        <v>0</v>
      </c>
      <c r="BI69" s="12"/>
      <c r="BJ69" s="12">
        <f t="shared" si="36"/>
        <v>0</v>
      </c>
      <c r="BK69" s="32">
        <f t="shared" si="37"/>
        <v>0</v>
      </c>
      <c r="BL69" s="12"/>
      <c r="BM69" s="12">
        <f t="shared" si="38"/>
        <v>0</v>
      </c>
      <c r="BN69" s="32">
        <f t="shared" si="39"/>
        <v>0</v>
      </c>
      <c r="BO69" s="12"/>
      <c r="BP69" s="12">
        <f t="shared" si="40"/>
        <v>0</v>
      </c>
      <c r="BQ69" s="32">
        <f t="shared" si="41"/>
        <v>0</v>
      </c>
      <c r="BR69" s="12"/>
      <c r="BS69" s="12">
        <f t="shared" si="42"/>
        <v>0</v>
      </c>
      <c r="BT69" s="32">
        <f t="shared" si="43"/>
        <v>0</v>
      </c>
      <c r="BU69" s="12"/>
      <c r="BV69" s="12">
        <f t="shared" si="44"/>
        <v>0</v>
      </c>
      <c r="BW69" s="32">
        <f t="shared" si="45"/>
        <v>0</v>
      </c>
      <c r="BX69" s="12"/>
      <c r="BY69" s="12">
        <f t="shared" si="46"/>
        <v>0</v>
      </c>
      <c r="BZ69" s="32">
        <f t="shared" si="47"/>
        <v>0</v>
      </c>
      <c r="CA69" s="12"/>
      <c r="CB69" s="12">
        <f t="shared" si="48"/>
        <v>0</v>
      </c>
      <c r="CC69" s="32">
        <f t="shared" si="49"/>
        <v>0</v>
      </c>
      <c r="CD69" s="12"/>
      <c r="CE69" s="12">
        <f t="shared" si="50"/>
        <v>0</v>
      </c>
      <c r="CF69" s="32">
        <f t="shared" si="51"/>
        <v>0</v>
      </c>
      <c r="CG69" s="12"/>
      <c r="CH69" s="12">
        <f t="shared" si="52"/>
        <v>0</v>
      </c>
      <c r="CI69" s="32">
        <f t="shared" si="53"/>
        <v>0</v>
      </c>
      <c r="CJ69" s="12"/>
      <c r="CK69" s="12">
        <f t="shared" si="54"/>
        <v>0</v>
      </c>
      <c r="CL69" s="32">
        <f t="shared" si="55"/>
        <v>0</v>
      </c>
      <c r="CM69" s="12"/>
      <c r="CN69" s="12">
        <f t="shared" si="56"/>
        <v>0</v>
      </c>
      <c r="CO69" s="32">
        <f t="shared" si="57"/>
        <v>0</v>
      </c>
      <c r="CP69" s="12"/>
      <c r="CQ69" s="12">
        <f t="shared" si="58"/>
        <v>0</v>
      </c>
      <c r="CR69" s="32">
        <f t="shared" si="59"/>
        <v>0</v>
      </c>
      <c r="CS69" s="12"/>
      <c r="CT69" s="12">
        <f t="shared" si="60"/>
        <v>0</v>
      </c>
      <c r="CU69" s="32">
        <f t="shared" si="61"/>
        <v>0</v>
      </c>
      <c r="CV69" s="12"/>
      <c r="CW69" s="12">
        <f t="shared" si="62"/>
        <v>0</v>
      </c>
      <c r="CX69" s="32">
        <f t="shared" si="63"/>
        <v>0</v>
      </c>
      <c r="CY69" s="12"/>
      <c r="CZ69" s="12">
        <f t="shared" si="64"/>
        <v>0</v>
      </c>
      <c r="DA69" s="32">
        <f t="shared" si="65"/>
        <v>0</v>
      </c>
      <c r="DB69" s="12"/>
      <c r="DC69" s="12">
        <f t="shared" si="66"/>
        <v>0</v>
      </c>
      <c r="DD69" s="32">
        <f t="shared" si="67"/>
        <v>0</v>
      </c>
      <c r="DE69" s="12"/>
      <c r="DF69" s="12">
        <f t="shared" si="68"/>
        <v>0</v>
      </c>
      <c r="DG69" s="32">
        <f t="shared" si="69"/>
        <v>0</v>
      </c>
      <c r="DH69" s="12"/>
      <c r="DI69" s="12">
        <f t="shared" si="77"/>
        <v>0</v>
      </c>
      <c r="DJ69" s="32">
        <f t="shared" si="70"/>
        <v>0</v>
      </c>
      <c r="DK69" s="12"/>
      <c r="DL69" s="12">
        <f t="shared" si="71"/>
        <v>0</v>
      </c>
      <c r="DM69" s="32">
        <f t="shared" si="72"/>
        <v>0</v>
      </c>
    </row>
    <row r="70" spans="1:117" s="6" customFormat="1" ht="22.25" customHeight="1" x14ac:dyDescent="0.35">
      <c r="A70" s="4">
        <v>63</v>
      </c>
      <c r="B70" s="4" t="s">
        <v>172</v>
      </c>
      <c r="C70" s="4" t="s">
        <v>173</v>
      </c>
      <c r="D70" s="7">
        <f t="shared" si="2"/>
        <v>4.2553191489361701</v>
      </c>
      <c r="E70" s="7">
        <v>4</v>
      </c>
      <c r="F70" s="7">
        <v>1</v>
      </c>
      <c r="G70" s="7">
        <v>0.94</v>
      </c>
      <c r="H70" s="7">
        <f t="shared" si="74"/>
        <v>0.63829787234042545</v>
      </c>
      <c r="I70" s="9">
        <f t="shared" si="75"/>
        <v>4.8936170212765955</v>
      </c>
      <c r="J70" s="13"/>
      <c r="K70" s="12">
        <f t="shared" si="73"/>
        <v>0</v>
      </c>
      <c r="L70" s="32">
        <f t="shared" si="3"/>
        <v>0</v>
      </c>
      <c r="M70" s="12"/>
      <c r="N70" s="12">
        <f t="shared" si="4"/>
        <v>0</v>
      </c>
      <c r="O70" s="32">
        <f t="shared" si="5"/>
        <v>0</v>
      </c>
      <c r="P70" s="12"/>
      <c r="Q70" s="12">
        <f t="shared" si="76"/>
        <v>0</v>
      </c>
      <c r="R70" s="32">
        <f t="shared" si="7"/>
        <v>0</v>
      </c>
      <c r="S70" s="12"/>
      <c r="T70" s="12">
        <f t="shared" si="8"/>
        <v>0</v>
      </c>
      <c r="U70" s="32">
        <f t="shared" si="9"/>
        <v>0</v>
      </c>
      <c r="V70" s="12"/>
      <c r="W70" s="12">
        <f t="shared" si="10"/>
        <v>0</v>
      </c>
      <c r="X70" s="32">
        <f t="shared" si="11"/>
        <v>0</v>
      </c>
      <c r="Y70" s="12"/>
      <c r="Z70" s="12">
        <f t="shared" si="12"/>
        <v>0</v>
      </c>
      <c r="AA70" s="32">
        <f t="shared" si="13"/>
        <v>0</v>
      </c>
      <c r="AB70" s="12"/>
      <c r="AC70" s="12">
        <f t="shared" si="14"/>
        <v>0</v>
      </c>
      <c r="AD70" s="32">
        <f t="shared" si="15"/>
        <v>0</v>
      </c>
      <c r="AE70" s="12"/>
      <c r="AF70" s="37">
        <f t="shared" si="16"/>
        <v>0</v>
      </c>
      <c r="AG70" s="14">
        <f t="shared" si="17"/>
        <v>0</v>
      </c>
      <c r="AH70" s="12"/>
      <c r="AI70" s="12">
        <f t="shared" si="18"/>
        <v>0</v>
      </c>
      <c r="AJ70" s="32">
        <f t="shared" si="19"/>
        <v>0</v>
      </c>
      <c r="AK70" s="12"/>
      <c r="AL70" s="12">
        <f t="shared" si="20"/>
        <v>0</v>
      </c>
      <c r="AM70" s="32">
        <f t="shared" si="21"/>
        <v>0</v>
      </c>
      <c r="AN70" s="12"/>
      <c r="AO70" s="12">
        <f t="shared" si="22"/>
        <v>0</v>
      </c>
      <c r="AP70" s="32">
        <f t="shared" si="23"/>
        <v>0</v>
      </c>
      <c r="AQ70" s="12"/>
      <c r="AR70" s="12">
        <f t="shared" si="24"/>
        <v>0</v>
      </c>
      <c r="AS70" s="32">
        <f t="shared" si="25"/>
        <v>0</v>
      </c>
      <c r="AT70" s="12"/>
      <c r="AU70" s="12">
        <f t="shared" si="26"/>
        <v>0</v>
      </c>
      <c r="AV70" s="32">
        <f t="shared" si="27"/>
        <v>0</v>
      </c>
      <c r="AW70" s="12"/>
      <c r="AX70" s="12">
        <f t="shared" si="28"/>
        <v>0</v>
      </c>
      <c r="AY70" s="32">
        <f t="shared" si="29"/>
        <v>0</v>
      </c>
      <c r="AZ70" s="12"/>
      <c r="BA70" s="12">
        <f t="shared" si="30"/>
        <v>0</v>
      </c>
      <c r="BB70" s="32">
        <f t="shared" si="31"/>
        <v>0</v>
      </c>
      <c r="BC70" s="12"/>
      <c r="BD70" s="12">
        <f t="shared" si="32"/>
        <v>0</v>
      </c>
      <c r="BE70" s="32">
        <f t="shared" si="33"/>
        <v>0</v>
      </c>
      <c r="BF70" s="12"/>
      <c r="BG70" s="12">
        <f t="shared" si="34"/>
        <v>0</v>
      </c>
      <c r="BH70" s="32">
        <f t="shared" si="35"/>
        <v>0</v>
      </c>
      <c r="BI70" s="12"/>
      <c r="BJ70" s="12">
        <f t="shared" si="36"/>
        <v>0</v>
      </c>
      <c r="BK70" s="32">
        <f t="shared" si="37"/>
        <v>0</v>
      </c>
      <c r="BL70" s="12"/>
      <c r="BM70" s="12">
        <f t="shared" si="38"/>
        <v>0</v>
      </c>
      <c r="BN70" s="32">
        <f t="shared" si="39"/>
        <v>0</v>
      </c>
      <c r="BO70" s="12"/>
      <c r="BP70" s="12">
        <f t="shared" si="40"/>
        <v>0</v>
      </c>
      <c r="BQ70" s="32">
        <f t="shared" si="41"/>
        <v>0</v>
      </c>
      <c r="BR70" s="12"/>
      <c r="BS70" s="12">
        <f t="shared" si="42"/>
        <v>0</v>
      </c>
      <c r="BT70" s="32">
        <f t="shared" si="43"/>
        <v>0</v>
      </c>
      <c r="BU70" s="12"/>
      <c r="BV70" s="12">
        <f t="shared" si="44"/>
        <v>0</v>
      </c>
      <c r="BW70" s="32">
        <f t="shared" si="45"/>
        <v>0</v>
      </c>
      <c r="BX70" s="12"/>
      <c r="BY70" s="12">
        <f t="shared" si="46"/>
        <v>0</v>
      </c>
      <c r="BZ70" s="32">
        <f t="shared" si="47"/>
        <v>0</v>
      </c>
      <c r="CA70" s="12"/>
      <c r="CB70" s="12">
        <f t="shared" si="48"/>
        <v>0</v>
      </c>
      <c r="CC70" s="32">
        <f t="shared" si="49"/>
        <v>0</v>
      </c>
      <c r="CD70" s="12"/>
      <c r="CE70" s="12">
        <f t="shared" si="50"/>
        <v>0</v>
      </c>
      <c r="CF70" s="32">
        <f t="shared" si="51"/>
        <v>0</v>
      </c>
      <c r="CG70" s="12"/>
      <c r="CH70" s="12">
        <f t="shared" si="52"/>
        <v>0</v>
      </c>
      <c r="CI70" s="32">
        <f t="shared" si="53"/>
        <v>0</v>
      </c>
      <c r="CJ70" s="12"/>
      <c r="CK70" s="12">
        <f t="shared" si="54"/>
        <v>0</v>
      </c>
      <c r="CL70" s="32">
        <f t="shared" si="55"/>
        <v>0</v>
      </c>
      <c r="CM70" s="12"/>
      <c r="CN70" s="12">
        <f t="shared" si="56"/>
        <v>0</v>
      </c>
      <c r="CO70" s="32">
        <f t="shared" si="57"/>
        <v>0</v>
      </c>
      <c r="CP70" s="12"/>
      <c r="CQ70" s="12">
        <f t="shared" si="58"/>
        <v>0</v>
      </c>
      <c r="CR70" s="32">
        <f t="shared" si="59"/>
        <v>0</v>
      </c>
      <c r="CS70" s="12"/>
      <c r="CT70" s="12">
        <f t="shared" si="60"/>
        <v>0</v>
      </c>
      <c r="CU70" s="32">
        <f t="shared" si="61"/>
        <v>0</v>
      </c>
      <c r="CV70" s="12"/>
      <c r="CW70" s="12">
        <f t="shared" si="62"/>
        <v>0</v>
      </c>
      <c r="CX70" s="32">
        <f t="shared" si="63"/>
        <v>0</v>
      </c>
      <c r="CY70" s="12"/>
      <c r="CZ70" s="12">
        <f t="shared" si="64"/>
        <v>0</v>
      </c>
      <c r="DA70" s="32">
        <f t="shared" si="65"/>
        <v>0</v>
      </c>
      <c r="DB70" s="12">
        <v>0.12</v>
      </c>
      <c r="DC70" s="12">
        <f>DB70*D70</f>
        <v>0.51063829787234039</v>
      </c>
      <c r="DD70" s="32">
        <f t="shared" si="67"/>
        <v>3.0106263946422378</v>
      </c>
      <c r="DE70" s="12"/>
      <c r="DF70" s="12">
        <f t="shared" si="68"/>
        <v>0</v>
      </c>
      <c r="DG70" s="32">
        <f t="shared" si="69"/>
        <v>0</v>
      </c>
      <c r="DH70" s="12"/>
      <c r="DI70" s="12">
        <f t="shared" si="77"/>
        <v>0</v>
      </c>
      <c r="DJ70" s="32">
        <f t="shared" si="70"/>
        <v>0</v>
      </c>
      <c r="DK70" s="12"/>
      <c r="DL70" s="12">
        <f t="shared" si="71"/>
        <v>0</v>
      </c>
      <c r="DM70" s="32">
        <f t="shared" si="72"/>
        <v>0</v>
      </c>
    </row>
    <row r="71" spans="1:117" s="6" customFormat="1" ht="22.25" customHeight="1" x14ac:dyDescent="0.35">
      <c r="A71" s="4">
        <v>64</v>
      </c>
      <c r="B71" s="4" t="s">
        <v>174</v>
      </c>
      <c r="C71" s="4" t="s">
        <v>175</v>
      </c>
      <c r="D71" s="7">
        <f t="shared" si="2"/>
        <v>1.6099500636999529</v>
      </c>
      <c r="E71" s="7">
        <f>DB2</f>
        <v>1.6099500636999529</v>
      </c>
      <c r="F71" s="7">
        <v>1</v>
      </c>
      <c r="G71" s="7">
        <v>1</v>
      </c>
      <c r="H71" s="7">
        <f t="shared" si="74"/>
        <v>0.24149250955499291</v>
      </c>
      <c r="I71" s="9">
        <f t="shared" si="75"/>
        <v>1.8514425732549458</v>
      </c>
      <c r="J71" s="13"/>
      <c r="K71" s="12">
        <f t="shared" si="73"/>
        <v>0</v>
      </c>
      <c r="L71" s="32">
        <f t="shared" si="3"/>
        <v>0</v>
      </c>
      <c r="M71" s="12"/>
      <c r="N71" s="12">
        <f t="shared" si="4"/>
        <v>0</v>
      </c>
      <c r="O71" s="32">
        <f t="shared" si="5"/>
        <v>0</v>
      </c>
      <c r="P71" s="12"/>
      <c r="Q71" s="12">
        <f t="shared" si="76"/>
        <v>0</v>
      </c>
      <c r="R71" s="32">
        <f t="shared" si="7"/>
        <v>0</v>
      </c>
      <c r="S71" s="12"/>
      <c r="T71" s="12">
        <f t="shared" si="8"/>
        <v>0</v>
      </c>
      <c r="U71" s="32">
        <f t="shared" si="9"/>
        <v>0</v>
      </c>
      <c r="V71" s="12"/>
      <c r="W71" s="12">
        <f t="shared" si="10"/>
        <v>0</v>
      </c>
      <c r="X71" s="32">
        <f t="shared" si="11"/>
        <v>0</v>
      </c>
      <c r="Y71" s="12"/>
      <c r="Z71" s="12">
        <f t="shared" si="12"/>
        <v>0</v>
      </c>
      <c r="AA71" s="32">
        <f t="shared" si="13"/>
        <v>0</v>
      </c>
      <c r="AB71" s="12"/>
      <c r="AC71" s="12">
        <f t="shared" si="14"/>
        <v>0</v>
      </c>
      <c r="AD71" s="32">
        <f t="shared" si="15"/>
        <v>0</v>
      </c>
      <c r="AE71" s="12"/>
      <c r="AF71" s="37">
        <f t="shared" si="16"/>
        <v>0</v>
      </c>
      <c r="AG71" s="14">
        <f t="shared" si="17"/>
        <v>0</v>
      </c>
      <c r="AH71" s="12"/>
      <c r="AI71" s="12">
        <f t="shared" si="18"/>
        <v>0</v>
      </c>
      <c r="AJ71" s="32">
        <f t="shared" si="19"/>
        <v>0</v>
      </c>
      <c r="AK71" s="12"/>
      <c r="AL71" s="12">
        <f t="shared" si="20"/>
        <v>0</v>
      </c>
      <c r="AM71" s="32">
        <f t="shared" si="21"/>
        <v>0</v>
      </c>
      <c r="AN71" s="12"/>
      <c r="AO71" s="12">
        <f t="shared" si="22"/>
        <v>0</v>
      </c>
      <c r="AP71" s="32">
        <f t="shared" si="23"/>
        <v>0</v>
      </c>
      <c r="AQ71" s="12"/>
      <c r="AR71" s="12">
        <f t="shared" si="24"/>
        <v>0</v>
      </c>
      <c r="AS71" s="32">
        <f t="shared" si="25"/>
        <v>0</v>
      </c>
      <c r="AT71" s="12"/>
      <c r="AU71" s="12">
        <f t="shared" si="26"/>
        <v>0</v>
      </c>
      <c r="AV71" s="32">
        <f t="shared" si="27"/>
        <v>0</v>
      </c>
      <c r="AW71" s="12"/>
      <c r="AX71" s="12">
        <f t="shared" si="28"/>
        <v>0</v>
      </c>
      <c r="AY71" s="32">
        <f t="shared" si="29"/>
        <v>0</v>
      </c>
      <c r="AZ71" s="12"/>
      <c r="BA71" s="12">
        <f t="shared" si="30"/>
        <v>0</v>
      </c>
      <c r="BB71" s="32">
        <f t="shared" si="31"/>
        <v>0</v>
      </c>
      <c r="BC71" s="12"/>
      <c r="BD71" s="12">
        <f t="shared" si="32"/>
        <v>0</v>
      </c>
      <c r="BE71" s="32">
        <f t="shared" si="33"/>
        <v>0</v>
      </c>
      <c r="BF71" s="12">
        <v>1</v>
      </c>
      <c r="BG71" s="12">
        <f t="shared" si="34"/>
        <v>1.6099500636999529</v>
      </c>
      <c r="BH71" s="32">
        <f t="shared" si="35"/>
        <v>0.52721681317061242</v>
      </c>
      <c r="BI71" s="12"/>
      <c r="BJ71" s="12">
        <f t="shared" si="36"/>
        <v>0</v>
      </c>
      <c r="BK71" s="32">
        <f t="shared" si="37"/>
        <v>0</v>
      </c>
      <c r="BL71" s="12"/>
      <c r="BM71" s="12">
        <f t="shared" si="38"/>
        <v>0</v>
      </c>
      <c r="BN71" s="32">
        <f t="shared" si="39"/>
        <v>0</v>
      </c>
      <c r="BO71" s="12"/>
      <c r="BP71" s="12">
        <f t="shared" si="40"/>
        <v>0</v>
      </c>
      <c r="BQ71" s="32">
        <f t="shared" si="41"/>
        <v>0</v>
      </c>
      <c r="BR71" s="12"/>
      <c r="BS71" s="12">
        <f t="shared" si="42"/>
        <v>0</v>
      </c>
      <c r="BT71" s="32">
        <f t="shared" si="43"/>
        <v>0</v>
      </c>
      <c r="BU71" s="12"/>
      <c r="BV71" s="12">
        <f t="shared" si="44"/>
        <v>0</v>
      </c>
      <c r="BW71" s="32">
        <f t="shared" si="45"/>
        <v>0</v>
      </c>
      <c r="BX71" s="12"/>
      <c r="BY71" s="12">
        <f t="shared" si="46"/>
        <v>0</v>
      </c>
      <c r="BZ71" s="32">
        <f t="shared" si="47"/>
        <v>0</v>
      </c>
      <c r="CA71" s="12"/>
      <c r="CB71" s="12">
        <f t="shared" si="48"/>
        <v>0</v>
      </c>
      <c r="CC71" s="32">
        <f t="shared" si="49"/>
        <v>0</v>
      </c>
      <c r="CD71" s="12"/>
      <c r="CE71" s="12">
        <f t="shared" si="50"/>
        <v>0</v>
      </c>
      <c r="CF71" s="32">
        <f t="shared" si="51"/>
        <v>0</v>
      </c>
      <c r="CG71" s="12"/>
      <c r="CH71" s="12">
        <f t="shared" si="52"/>
        <v>0</v>
      </c>
      <c r="CI71" s="32">
        <f t="shared" si="53"/>
        <v>0</v>
      </c>
      <c r="CJ71" s="12"/>
      <c r="CK71" s="12">
        <f t="shared" si="54"/>
        <v>0</v>
      </c>
      <c r="CL71" s="32">
        <f t="shared" si="55"/>
        <v>0</v>
      </c>
      <c r="CM71" s="12"/>
      <c r="CN71" s="12">
        <f t="shared" si="56"/>
        <v>0</v>
      </c>
      <c r="CO71" s="32">
        <f t="shared" si="57"/>
        <v>0</v>
      </c>
      <c r="CP71" s="12"/>
      <c r="CQ71" s="12">
        <f t="shared" si="58"/>
        <v>0</v>
      </c>
      <c r="CR71" s="32">
        <f t="shared" si="59"/>
        <v>0</v>
      </c>
      <c r="CS71" s="12"/>
      <c r="CT71" s="12">
        <f t="shared" si="60"/>
        <v>0</v>
      </c>
      <c r="CU71" s="32">
        <f t="shared" si="61"/>
        <v>0</v>
      </c>
      <c r="CV71" s="12"/>
      <c r="CW71" s="12">
        <f t="shared" si="62"/>
        <v>0</v>
      </c>
      <c r="CX71" s="32">
        <f t="shared" si="63"/>
        <v>0</v>
      </c>
      <c r="CY71" s="12"/>
      <c r="CZ71" s="12">
        <f t="shared" si="64"/>
        <v>0</v>
      </c>
      <c r="DA71" s="32">
        <f t="shared" si="65"/>
        <v>0</v>
      </c>
      <c r="DB71" s="12"/>
      <c r="DC71" s="12">
        <f t="shared" si="66"/>
        <v>0</v>
      </c>
      <c r="DD71" s="32">
        <f t="shared" si="67"/>
        <v>0</v>
      </c>
      <c r="DE71" s="12"/>
      <c r="DF71" s="12">
        <f t="shared" si="68"/>
        <v>0</v>
      </c>
      <c r="DG71" s="32">
        <f t="shared" si="69"/>
        <v>0</v>
      </c>
      <c r="DH71" s="12"/>
      <c r="DI71" s="12">
        <f t="shared" si="77"/>
        <v>0</v>
      </c>
      <c r="DJ71" s="32">
        <f t="shared" si="70"/>
        <v>0</v>
      </c>
      <c r="DK71" s="12"/>
      <c r="DL71" s="12">
        <f t="shared" si="71"/>
        <v>0</v>
      </c>
      <c r="DM71" s="32">
        <f t="shared" si="72"/>
        <v>0</v>
      </c>
    </row>
    <row r="72" spans="1:117" s="6" customFormat="1" ht="22.25" customHeight="1" x14ac:dyDescent="0.35">
      <c r="A72" s="4">
        <v>65</v>
      </c>
      <c r="B72" s="4" t="s">
        <v>176</v>
      </c>
      <c r="C72" s="4" t="s">
        <v>177</v>
      </c>
      <c r="D72" s="7">
        <f t="shared" si="2"/>
        <v>1.25</v>
      </c>
      <c r="E72" s="7">
        <f>5/4</f>
        <v>1.25</v>
      </c>
      <c r="F72" s="7">
        <v>1</v>
      </c>
      <c r="G72" s="7">
        <v>1</v>
      </c>
      <c r="H72" s="7">
        <f t="shared" si="74"/>
        <v>0.1875</v>
      </c>
      <c r="I72" s="9">
        <f t="shared" si="75"/>
        <v>1.4375</v>
      </c>
      <c r="J72" s="13"/>
      <c r="K72" s="12">
        <f t="shared" si="73"/>
        <v>0</v>
      </c>
      <c r="L72" s="32">
        <f t="shared" si="3"/>
        <v>0</v>
      </c>
      <c r="M72" s="12"/>
      <c r="N72" s="12">
        <f t="shared" si="4"/>
        <v>0</v>
      </c>
      <c r="O72" s="32">
        <f t="shared" si="5"/>
        <v>0</v>
      </c>
      <c r="P72" s="12"/>
      <c r="Q72" s="12">
        <f t="shared" si="76"/>
        <v>0</v>
      </c>
      <c r="R72" s="32">
        <f t="shared" si="7"/>
        <v>0</v>
      </c>
      <c r="S72" s="12"/>
      <c r="T72" s="12">
        <f t="shared" si="8"/>
        <v>0</v>
      </c>
      <c r="U72" s="32">
        <f t="shared" si="9"/>
        <v>0</v>
      </c>
      <c r="V72" s="12"/>
      <c r="W72" s="12">
        <f t="shared" si="10"/>
        <v>0</v>
      </c>
      <c r="X72" s="32">
        <f t="shared" si="11"/>
        <v>0</v>
      </c>
      <c r="Y72" s="12"/>
      <c r="Z72" s="12">
        <f t="shared" si="12"/>
        <v>0</v>
      </c>
      <c r="AA72" s="32">
        <f t="shared" si="13"/>
        <v>0</v>
      </c>
      <c r="AB72" s="12"/>
      <c r="AC72" s="12">
        <f t="shared" si="14"/>
        <v>0</v>
      </c>
      <c r="AD72" s="32">
        <f t="shared" si="15"/>
        <v>0</v>
      </c>
      <c r="AE72" s="12"/>
      <c r="AF72" s="37">
        <f t="shared" si="16"/>
        <v>0</v>
      </c>
      <c r="AG72" s="14">
        <f t="shared" si="17"/>
        <v>0</v>
      </c>
      <c r="AH72" s="12"/>
      <c r="AI72" s="12">
        <f t="shared" si="18"/>
        <v>0</v>
      </c>
      <c r="AJ72" s="32">
        <f t="shared" si="19"/>
        <v>0</v>
      </c>
      <c r="AK72" s="12"/>
      <c r="AL72" s="12">
        <f t="shared" si="20"/>
        <v>0</v>
      </c>
      <c r="AM72" s="32">
        <f t="shared" si="21"/>
        <v>0</v>
      </c>
      <c r="AN72" s="12"/>
      <c r="AO72" s="12">
        <f t="shared" si="22"/>
        <v>0</v>
      </c>
      <c r="AP72" s="32">
        <f t="shared" si="23"/>
        <v>0</v>
      </c>
      <c r="AQ72" s="12"/>
      <c r="AR72" s="12">
        <f t="shared" si="24"/>
        <v>0</v>
      </c>
      <c r="AS72" s="32">
        <f t="shared" si="25"/>
        <v>0</v>
      </c>
      <c r="AT72" s="12"/>
      <c r="AU72" s="12">
        <f t="shared" si="26"/>
        <v>0</v>
      </c>
      <c r="AV72" s="32">
        <f t="shared" si="27"/>
        <v>0</v>
      </c>
      <c r="AW72" s="12"/>
      <c r="AX72" s="12">
        <f t="shared" si="28"/>
        <v>0</v>
      </c>
      <c r="AY72" s="32">
        <f t="shared" si="29"/>
        <v>0</v>
      </c>
      <c r="AZ72" s="12"/>
      <c r="BA72" s="12">
        <f t="shared" si="30"/>
        <v>0</v>
      </c>
      <c r="BB72" s="32">
        <f t="shared" si="31"/>
        <v>0</v>
      </c>
      <c r="BC72" s="12"/>
      <c r="BD72" s="12">
        <f t="shared" si="32"/>
        <v>0</v>
      </c>
      <c r="BE72" s="32">
        <f t="shared" si="33"/>
        <v>0</v>
      </c>
      <c r="BF72" s="12"/>
      <c r="BG72" s="12">
        <f t="shared" si="34"/>
        <v>0</v>
      </c>
      <c r="BH72" s="32">
        <f t="shared" si="35"/>
        <v>0</v>
      </c>
      <c r="BI72" s="12"/>
      <c r="BJ72" s="12">
        <f t="shared" si="36"/>
        <v>0</v>
      </c>
      <c r="BK72" s="32">
        <f t="shared" si="37"/>
        <v>0</v>
      </c>
      <c r="BL72" s="12"/>
      <c r="BM72" s="12">
        <f t="shared" si="38"/>
        <v>0</v>
      </c>
      <c r="BN72" s="32">
        <f t="shared" si="39"/>
        <v>0</v>
      </c>
      <c r="BO72" s="12"/>
      <c r="BP72" s="12">
        <f t="shared" si="40"/>
        <v>0</v>
      </c>
      <c r="BQ72" s="32">
        <f t="shared" si="41"/>
        <v>0</v>
      </c>
      <c r="BR72" s="12"/>
      <c r="BS72" s="12">
        <f t="shared" si="42"/>
        <v>0</v>
      </c>
      <c r="BT72" s="32">
        <f t="shared" si="43"/>
        <v>0</v>
      </c>
      <c r="BU72" s="12"/>
      <c r="BV72" s="12">
        <f t="shared" si="44"/>
        <v>0</v>
      </c>
      <c r="BW72" s="32">
        <f t="shared" si="45"/>
        <v>0</v>
      </c>
      <c r="BX72" s="12"/>
      <c r="BY72" s="12">
        <f t="shared" si="46"/>
        <v>0</v>
      </c>
      <c r="BZ72" s="32">
        <f t="shared" si="47"/>
        <v>0</v>
      </c>
      <c r="CA72" s="12"/>
      <c r="CB72" s="12">
        <f t="shared" si="48"/>
        <v>0</v>
      </c>
      <c r="CC72" s="32">
        <f t="shared" si="49"/>
        <v>0</v>
      </c>
      <c r="CD72" s="12">
        <v>1E-3</v>
      </c>
      <c r="CE72" s="12">
        <f t="shared" si="50"/>
        <v>1.25E-3</v>
      </c>
      <c r="CF72" s="32">
        <f t="shared" si="51"/>
        <v>4.6631568778353174E-3</v>
      </c>
      <c r="CG72" s="12"/>
      <c r="CH72" s="12">
        <f t="shared" si="52"/>
        <v>0</v>
      </c>
      <c r="CI72" s="32">
        <f t="shared" si="53"/>
        <v>0</v>
      </c>
      <c r="CJ72" s="12"/>
      <c r="CK72" s="12">
        <f t="shared" si="54"/>
        <v>0</v>
      </c>
      <c r="CL72" s="32">
        <f t="shared" si="55"/>
        <v>0</v>
      </c>
      <c r="CM72" s="12"/>
      <c r="CN72" s="12">
        <f t="shared" si="56"/>
        <v>0</v>
      </c>
      <c r="CO72" s="32">
        <f t="shared" si="57"/>
        <v>0</v>
      </c>
      <c r="CP72" s="12"/>
      <c r="CQ72" s="12">
        <f t="shared" si="58"/>
        <v>0</v>
      </c>
      <c r="CR72" s="32">
        <f t="shared" si="59"/>
        <v>0</v>
      </c>
      <c r="CS72" s="12"/>
      <c r="CT72" s="12">
        <f t="shared" si="60"/>
        <v>0</v>
      </c>
      <c r="CU72" s="32">
        <f t="shared" si="61"/>
        <v>0</v>
      </c>
      <c r="CV72" s="12"/>
      <c r="CW72" s="12">
        <f t="shared" si="62"/>
        <v>0</v>
      </c>
      <c r="CX72" s="32">
        <f t="shared" si="63"/>
        <v>0</v>
      </c>
      <c r="CY72" s="12">
        <v>0.2</v>
      </c>
      <c r="CZ72" s="12">
        <f>CY72*D72</f>
        <v>0.25</v>
      </c>
      <c r="DA72" s="32">
        <f t="shared" si="65"/>
        <v>1.4739525057102625</v>
      </c>
      <c r="DB72" s="12"/>
      <c r="DC72" s="12">
        <f t="shared" si="66"/>
        <v>0</v>
      </c>
      <c r="DD72" s="32">
        <f t="shared" si="67"/>
        <v>0</v>
      </c>
      <c r="DE72" s="12"/>
      <c r="DF72" s="12">
        <f t="shared" si="68"/>
        <v>0</v>
      </c>
      <c r="DG72" s="32">
        <f t="shared" si="69"/>
        <v>0</v>
      </c>
      <c r="DH72" s="12"/>
      <c r="DI72" s="12">
        <f t="shared" si="77"/>
        <v>0</v>
      </c>
      <c r="DJ72" s="32">
        <f t="shared" si="70"/>
        <v>0</v>
      </c>
      <c r="DK72" s="12"/>
      <c r="DL72" s="12">
        <f t="shared" si="71"/>
        <v>0</v>
      </c>
      <c r="DM72" s="32">
        <f t="shared" si="72"/>
        <v>0</v>
      </c>
    </row>
    <row r="73" spans="1:117" s="6" customFormat="1" ht="22.25" customHeight="1" x14ac:dyDescent="0.35">
      <c r="A73" s="4">
        <v>66</v>
      </c>
      <c r="B73" s="4" t="s">
        <v>178</v>
      </c>
      <c r="C73" s="4" t="s">
        <v>179</v>
      </c>
      <c r="D73" s="7">
        <f t="shared" si="2"/>
        <v>6.25</v>
      </c>
      <c r="E73" s="7">
        <f>45/8</f>
        <v>5.625</v>
      </c>
      <c r="F73" s="7">
        <v>1</v>
      </c>
      <c r="G73" s="7">
        <v>0.9</v>
      </c>
      <c r="H73" s="7">
        <f t="shared" si="74"/>
        <v>0.9375</v>
      </c>
      <c r="I73" s="9">
        <f t="shared" si="75"/>
        <v>7.1875</v>
      </c>
      <c r="J73" s="13"/>
      <c r="K73" s="12">
        <f t="shared" ref="K73:K129" si="78">J73*D73</f>
        <v>0</v>
      </c>
      <c r="L73" s="32">
        <f t="shared" ref="L73:L135" si="79">K73/$J$2</f>
        <v>0</v>
      </c>
      <c r="M73" s="12"/>
      <c r="N73" s="12">
        <f t="shared" ref="N73:N135" si="80">M73*D73</f>
        <v>0</v>
      </c>
      <c r="O73" s="32">
        <f t="shared" ref="O73:O135" si="81">N73/$M$2</f>
        <v>0</v>
      </c>
      <c r="P73" s="12"/>
      <c r="Q73" s="12">
        <f t="shared" si="76"/>
        <v>0</v>
      </c>
      <c r="R73" s="32">
        <f t="shared" ref="R73:R135" si="82">Q73/$P$2</f>
        <v>0</v>
      </c>
      <c r="S73" s="12"/>
      <c r="T73" s="12">
        <f t="shared" ref="T73:T135" si="83">S73*D73</f>
        <v>0</v>
      </c>
      <c r="U73" s="32">
        <f t="shared" ref="U73:U135" si="84">T73/$S$2</f>
        <v>0</v>
      </c>
      <c r="V73" s="12"/>
      <c r="W73" s="12">
        <f t="shared" ref="W73:W135" si="85">V73*D73</f>
        <v>0</v>
      </c>
      <c r="X73" s="32">
        <f t="shared" ref="X73:X135" si="86">W73/$V$2</f>
        <v>0</v>
      </c>
      <c r="Y73" s="12"/>
      <c r="Z73" s="12">
        <f t="shared" ref="Z73:Z135" si="87">Y73*D73</f>
        <v>0</v>
      </c>
      <c r="AA73" s="32">
        <f t="shared" ref="AA73:AA135" si="88">Z73/$Y$2</f>
        <v>0</v>
      </c>
      <c r="AB73" s="12"/>
      <c r="AC73" s="12">
        <f t="shared" ref="AC73:AC135" si="89">AB73*D73</f>
        <v>0</v>
      </c>
      <c r="AD73" s="32">
        <f t="shared" ref="AD73:AD135" si="90">AC73/$AB$2</f>
        <v>0</v>
      </c>
      <c r="AE73" s="12"/>
      <c r="AF73" s="37">
        <f t="shared" ref="AF73:AF135" si="91">AE73*D73</f>
        <v>0</v>
      </c>
      <c r="AG73" s="14">
        <f t="shared" ref="AG73:AG135" si="92">AF73/$AE$2</f>
        <v>0</v>
      </c>
      <c r="AH73" s="12"/>
      <c r="AI73" s="12">
        <f t="shared" ref="AI73:AI135" si="93">AH73*D73</f>
        <v>0</v>
      </c>
      <c r="AJ73" s="32">
        <f t="shared" ref="AJ73:AJ135" si="94">AI73/$AH$2</f>
        <v>0</v>
      </c>
      <c r="AK73" s="12">
        <v>0.1</v>
      </c>
      <c r="AL73" s="12">
        <f t="shared" ref="AL73:AL135" si="95">AK73*D73</f>
        <v>0.625</v>
      </c>
      <c r="AM73" s="32">
        <f t="shared" ref="AM73:AM135" si="96">AL73/$AK$2</f>
        <v>0.25491279270030875</v>
      </c>
      <c r="AN73" s="12"/>
      <c r="AO73" s="12">
        <f t="shared" ref="AO73:AO135" si="97">AN73*D73</f>
        <v>0</v>
      </c>
      <c r="AP73" s="32">
        <f t="shared" ref="AP73:AP135" si="98">AO73/$AN$2</f>
        <v>0</v>
      </c>
      <c r="AQ73" s="12"/>
      <c r="AR73" s="12">
        <f t="shared" ref="AR73:AR135" si="99">AQ73*D73</f>
        <v>0</v>
      </c>
      <c r="AS73" s="32">
        <f t="shared" ref="AS73:AS135" si="100">AR73/$AQ$2</f>
        <v>0</v>
      </c>
      <c r="AT73" s="12"/>
      <c r="AU73" s="12">
        <f t="shared" ref="AU73:AU135" si="101">D73*AT73</f>
        <v>0</v>
      </c>
      <c r="AV73" s="32">
        <f t="shared" ref="AV73:AV135" si="102">AU73/$AT$2</f>
        <v>0</v>
      </c>
      <c r="AW73" s="12"/>
      <c r="AX73" s="12">
        <f t="shared" ref="AX73:AX135" si="103">D73*AW73</f>
        <v>0</v>
      </c>
      <c r="AY73" s="32">
        <f t="shared" ref="AY73:AY135" si="104">AX73/$AW$2</f>
        <v>0</v>
      </c>
      <c r="AZ73" s="12"/>
      <c r="BA73" s="12">
        <f t="shared" ref="BA73:BA135" si="105">AZ73*D73</f>
        <v>0</v>
      </c>
      <c r="BB73" s="32">
        <f t="shared" ref="BB73:BB135" si="106">BA73/$AZ$2</f>
        <v>0</v>
      </c>
      <c r="BC73" s="12"/>
      <c r="BD73" s="12">
        <f t="shared" ref="BD73:BD135" si="107">D73*BC73</f>
        <v>0</v>
      </c>
      <c r="BE73" s="32">
        <f t="shared" ref="BE73:BE135" si="108">BD73/$BC$2</f>
        <v>0</v>
      </c>
      <c r="BF73" s="12"/>
      <c r="BG73" s="12">
        <f t="shared" ref="BG73:BG135" si="109">D73*BF73</f>
        <v>0</v>
      </c>
      <c r="BH73" s="32">
        <f t="shared" ref="BH73:BH135" si="110">BG73/$BF$2</f>
        <v>0</v>
      </c>
      <c r="BI73" s="12"/>
      <c r="BJ73" s="12">
        <f t="shared" ref="BJ73:BJ135" si="111">BI73*D73</f>
        <v>0</v>
      </c>
      <c r="BK73" s="32">
        <f t="shared" ref="BK73:BK135" si="112">BJ73/$BI$2</f>
        <v>0</v>
      </c>
      <c r="BL73" s="12"/>
      <c r="BM73" s="12">
        <f t="shared" ref="BM73:BM135" si="113">BL73*D73</f>
        <v>0</v>
      </c>
      <c r="BN73" s="32">
        <f t="shared" ref="BN73:BN135" si="114">BM73/$BL$2</f>
        <v>0</v>
      </c>
      <c r="BO73" s="12"/>
      <c r="BP73" s="12">
        <f t="shared" ref="BP73:BP135" si="115">BO73*D73</f>
        <v>0</v>
      </c>
      <c r="BQ73" s="32">
        <f t="shared" ref="BQ73:BQ135" si="116">BP73/$BO$2</f>
        <v>0</v>
      </c>
      <c r="BR73" s="12"/>
      <c r="BS73" s="12">
        <f t="shared" ref="BS73:BS135" si="117">D73*BR73</f>
        <v>0</v>
      </c>
      <c r="BT73" s="32">
        <f t="shared" ref="BT73:BT135" si="118">BS73/$BR$2</f>
        <v>0</v>
      </c>
      <c r="BU73" s="12"/>
      <c r="BV73" s="12">
        <f t="shared" ref="BV73:BV135" si="119">BU73*D73</f>
        <v>0</v>
      </c>
      <c r="BW73" s="32">
        <f t="shared" ref="BW73:BW135" si="120">BV73/$BU$2</f>
        <v>0</v>
      </c>
      <c r="BX73" s="12"/>
      <c r="BY73" s="12">
        <f t="shared" ref="BY73:BY135" si="121">D73*BX73</f>
        <v>0</v>
      </c>
      <c r="BZ73" s="32">
        <f t="shared" ref="BZ73:BZ135" si="122">BY73/$BX$2</f>
        <v>0</v>
      </c>
      <c r="CA73" s="12"/>
      <c r="CB73" s="12">
        <f t="shared" ref="CB73:CB135" si="123">CA73*D73</f>
        <v>0</v>
      </c>
      <c r="CC73" s="32">
        <f t="shared" ref="CC73:CC135" si="124">CB73/$CA$2</f>
        <v>0</v>
      </c>
      <c r="CD73" s="12"/>
      <c r="CE73" s="12">
        <f t="shared" ref="CE73:CE135" si="125">D73*CD73</f>
        <v>0</v>
      </c>
      <c r="CF73" s="32">
        <f t="shared" ref="CF73:CF135" si="126">CE73/$CD$2</f>
        <v>0</v>
      </c>
      <c r="CG73" s="12"/>
      <c r="CH73" s="12">
        <f t="shared" ref="CH73:CH135" si="127">D73*CG73</f>
        <v>0</v>
      </c>
      <c r="CI73" s="32">
        <f t="shared" ref="CI73:CI135" si="128">CH73/$CG$2</f>
        <v>0</v>
      </c>
      <c r="CJ73" s="12"/>
      <c r="CK73" s="12">
        <f t="shared" ref="CK73:CK135" si="129">D73*CJ73</f>
        <v>0</v>
      </c>
      <c r="CL73" s="32">
        <f t="shared" ref="CL73:CL135" si="130">CK73/$CJ$2</f>
        <v>0</v>
      </c>
      <c r="CM73" s="12"/>
      <c r="CN73" s="12">
        <f t="shared" ref="CN73:CN135" si="131">D73*CM73</f>
        <v>0</v>
      </c>
      <c r="CO73" s="32">
        <f t="shared" ref="CO73:CO135" si="132">CN73/$CM$2</f>
        <v>0</v>
      </c>
      <c r="CP73" s="12"/>
      <c r="CQ73" s="12">
        <f t="shared" ref="CQ73:CQ135" si="133">CP73*D73</f>
        <v>0</v>
      </c>
      <c r="CR73" s="32">
        <f t="shared" ref="CR73:CR135" si="134">CQ73/$CP$2</f>
        <v>0</v>
      </c>
      <c r="CS73" s="12"/>
      <c r="CT73" s="12">
        <f t="shared" si="60"/>
        <v>0</v>
      </c>
      <c r="CU73" s="32">
        <f t="shared" si="61"/>
        <v>0</v>
      </c>
      <c r="CV73" s="12"/>
      <c r="CW73" s="12">
        <f t="shared" si="62"/>
        <v>0</v>
      </c>
      <c r="CX73" s="32">
        <f t="shared" si="63"/>
        <v>0</v>
      </c>
      <c r="CY73" s="12"/>
      <c r="CZ73" s="12">
        <f t="shared" si="64"/>
        <v>0</v>
      </c>
      <c r="DA73" s="32">
        <f t="shared" si="65"/>
        <v>0</v>
      </c>
      <c r="DB73" s="12"/>
      <c r="DC73" s="12">
        <f t="shared" si="66"/>
        <v>0</v>
      </c>
      <c r="DD73" s="32">
        <f t="shared" si="67"/>
        <v>0</v>
      </c>
      <c r="DE73" s="12"/>
      <c r="DF73" s="12">
        <f t="shared" si="68"/>
        <v>0</v>
      </c>
      <c r="DG73" s="32">
        <f t="shared" si="69"/>
        <v>0</v>
      </c>
      <c r="DH73" s="12"/>
      <c r="DI73" s="12">
        <f t="shared" si="77"/>
        <v>0</v>
      </c>
      <c r="DJ73" s="32">
        <f t="shared" si="70"/>
        <v>0</v>
      </c>
      <c r="DK73" s="12"/>
      <c r="DL73" s="12">
        <f t="shared" si="71"/>
        <v>0</v>
      </c>
      <c r="DM73" s="32">
        <f t="shared" si="72"/>
        <v>0</v>
      </c>
    </row>
    <row r="74" spans="1:117" s="6" customFormat="1" ht="22.25" customHeight="1" x14ac:dyDescent="0.35">
      <c r="A74" s="4">
        <v>67</v>
      </c>
      <c r="B74" s="4" t="s">
        <v>180</v>
      </c>
      <c r="C74" s="4" t="s">
        <v>181</v>
      </c>
      <c r="D74" s="7">
        <f t="shared" si="2"/>
        <v>12.432432432432433</v>
      </c>
      <c r="E74" s="7">
        <f>138/(4*2.775)</f>
        <v>12.432432432432433</v>
      </c>
      <c r="F74" s="7">
        <v>1</v>
      </c>
      <c r="G74" s="7">
        <v>1</v>
      </c>
      <c r="H74" s="7">
        <f t="shared" si="74"/>
        <v>1.8648648648648649</v>
      </c>
      <c r="I74" s="9">
        <f t="shared" si="75"/>
        <v>14.297297297297298</v>
      </c>
      <c r="J74" s="13"/>
      <c r="K74" s="12">
        <f t="shared" si="78"/>
        <v>0</v>
      </c>
      <c r="L74" s="32">
        <f t="shared" si="79"/>
        <v>0</v>
      </c>
      <c r="M74" s="12"/>
      <c r="N74" s="12">
        <f t="shared" si="80"/>
        <v>0</v>
      </c>
      <c r="O74" s="32">
        <f t="shared" si="81"/>
        <v>0</v>
      </c>
      <c r="P74" s="12"/>
      <c r="Q74" s="12">
        <f t="shared" si="76"/>
        <v>0</v>
      </c>
      <c r="R74" s="32">
        <f t="shared" si="82"/>
        <v>0</v>
      </c>
      <c r="S74" s="12"/>
      <c r="T74" s="12">
        <f t="shared" si="83"/>
        <v>0</v>
      </c>
      <c r="U74" s="32">
        <f t="shared" si="84"/>
        <v>0</v>
      </c>
      <c r="V74" s="12"/>
      <c r="W74" s="12">
        <f t="shared" si="85"/>
        <v>0</v>
      </c>
      <c r="X74" s="32">
        <f t="shared" si="86"/>
        <v>0</v>
      </c>
      <c r="Y74" s="12"/>
      <c r="Z74" s="12">
        <f t="shared" si="87"/>
        <v>0</v>
      </c>
      <c r="AA74" s="32">
        <f t="shared" si="88"/>
        <v>0</v>
      </c>
      <c r="AB74" s="12">
        <v>0.08</v>
      </c>
      <c r="AC74" s="12">
        <f t="shared" si="89"/>
        <v>0.99459459459459465</v>
      </c>
      <c r="AD74" s="32">
        <f t="shared" si="90"/>
        <v>0.26961677482571633</v>
      </c>
      <c r="AE74" s="12"/>
      <c r="AF74" s="37">
        <f t="shared" si="91"/>
        <v>0</v>
      </c>
      <c r="AG74" s="14">
        <f t="shared" si="92"/>
        <v>0</v>
      </c>
      <c r="AH74" s="12"/>
      <c r="AI74" s="12">
        <f t="shared" si="93"/>
        <v>0</v>
      </c>
      <c r="AJ74" s="32">
        <f t="shared" si="94"/>
        <v>0</v>
      </c>
      <c r="AK74" s="12"/>
      <c r="AL74" s="12">
        <f t="shared" si="95"/>
        <v>0</v>
      </c>
      <c r="AM74" s="32">
        <f t="shared" si="96"/>
        <v>0</v>
      </c>
      <c r="AN74" s="12"/>
      <c r="AO74" s="12">
        <f t="shared" si="97"/>
        <v>0</v>
      </c>
      <c r="AP74" s="32">
        <f t="shared" si="98"/>
        <v>0</v>
      </c>
      <c r="AQ74" s="12"/>
      <c r="AR74" s="12">
        <f t="shared" si="99"/>
        <v>0</v>
      </c>
      <c r="AS74" s="32">
        <f t="shared" si="100"/>
        <v>0</v>
      </c>
      <c r="AT74" s="12"/>
      <c r="AU74" s="12">
        <f t="shared" si="101"/>
        <v>0</v>
      </c>
      <c r="AV74" s="32">
        <f t="shared" si="102"/>
        <v>0</v>
      </c>
      <c r="AW74" s="12"/>
      <c r="AX74" s="12">
        <f t="shared" si="103"/>
        <v>0</v>
      </c>
      <c r="AY74" s="32">
        <f t="shared" si="104"/>
        <v>0</v>
      </c>
      <c r="AZ74" s="12"/>
      <c r="BA74" s="12">
        <f t="shared" si="105"/>
        <v>0</v>
      </c>
      <c r="BB74" s="32">
        <f t="shared" si="106"/>
        <v>0</v>
      </c>
      <c r="BC74" s="12"/>
      <c r="BD74" s="12">
        <f t="shared" si="107"/>
        <v>0</v>
      </c>
      <c r="BE74" s="32">
        <f t="shared" si="108"/>
        <v>0</v>
      </c>
      <c r="BF74" s="12"/>
      <c r="BG74" s="12">
        <f t="shared" si="109"/>
        <v>0</v>
      </c>
      <c r="BH74" s="32">
        <f t="shared" si="110"/>
        <v>0</v>
      </c>
      <c r="BI74" s="12"/>
      <c r="BJ74" s="12">
        <f t="shared" si="111"/>
        <v>0</v>
      </c>
      <c r="BK74" s="32">
        <f t="shared" si="112"/>
        <v>0</v>
      </c>
      <c r="BL74" s="12"/>
      <c r="BM74" s="12">
        <f t="shared" si="113"/>
        <v>0</v>
      </c>
      <c r="BN74" s="32">
        <f t="shared" si="114"/>
        <v>0</v>
      </c>
      <c r="BO74" s="12"/>
      <c r="BP74" s="12">
        <f t="shared" si="115"/>
        <v>0</v>
      </c>
      <c r="BQ74" s="32">
        <f t="shared" si="116"/>
        <v>0</v>
      </c>
      <c r="BR74" s="12"/>
      <c r="BS74" s="12">
        <f t="shared" si="117"/>
        <v>0</v>
      </c>
      <c r="BT74" s="32">
        <f t="shared" si="118"/>
        <v>0</v>
      </c>
      <c r="BU74" s="12"/>
      <c r="BV74" s="12">
        <f t="shared" si="119"/>
        <v>0</v>
      </c>
      <c r="BW74" s="32">
        <f t="shared" si="120"/>
        <v>0</v>
      </c>
      <c r="BX74" s="12"/>
      <c r="BY74" s="12">
        <f t="shared" si="121"/>
        <v>0</v>
      </c>
      <c r="BZ74" s="32">
        <f t="shared" si="122"/>
        <v>0</v>
      </c>
      <c r="CA74" s="12"/>
      <c r="CB74" s="12">
        <f t="shared" si="123"/>
        <v>0</v>
      </c>
      <c r="CC74" s="32">
        <f t="shared" si="124"/>
        <v>0</v>
      </c>
      <c r="CD74" s="12"/>
      <c r="CE74" s="12">
        <f t="shared" si="125"/>
        <v>0</v>
      </c>
      <c r="CF74" s="32">
        <f t="shared" si="126"/>
        <v>0</v>
      </c>
      <c r="CG74" s="12"/>
      <c r="CH74" s="12">
        <f t="shared" si="127"/>
        <v>0</v>
      </c>
      <c r="CI74" s="32">
        <f t="shared" si="128"/>
        <v>0</v>
      </c>
      <c r="CJ74" s="12"/>
      <c r="CK74" s="12">
        <f t="shared" si="129"/>
        <v>0</v>
      </c>
      <c r="CL74" s="32">
        <f t="shared" si="130"/>
        <v>0</v>
      </c>
      <c r="CM74" s="12"/>
      <c r="CN74" s="12">
        <f t="shared" si="131"/>
        <v>0</v>
      </c>
      <c r="CO74" s="32">
        <f t="shared" si="132"/>
        <v>0</v>
      </c>
      <c r="CP74" s="12"/>
      <c r="CQ74" s="12">
        <f t="shared" si="133"/>
        <v>0</v>
      </c>
      <c r="CR74" s="32">
        <f t="shared" si="134"/>
        <v>0</v>
      </c>
      <c r="CS74" s="12"/>
      <c r="CT74" s="12">
        <f t="shared" si="60"/>
        <v>0</v>
      </c>
      <c r="CU74" s="32">
        <f t="shared" si="61"/>
        <v>0</v>
      </c>
      <c r="CV74" s="12"/>
      <c r="CW74" s="12">
        <f t="shared" si="62"/>
        <v>0</v>
      </c>
      <c r="CX74" s="32">
        <f t="shared" si="63"/>
        <v>0</v>
      </c>
      <c r="CY74" s="12"/>
      <c r="CZ74" s="12">
        <f t="shared" si="64"/>
        <v>0</v>
      </c>
      <c r="DA74" s="32">
        <f t="shared" si="65"/>
        <v>0</v>
      </c>
      <c r="DB74" s="12"/>
      <c r="DC74" s="12">
        <f t="shared" si="66"/>
        <v>0</v>
      </c>
      <c r="DD74" s="32">
        <f t="shared" si="67"/>
        <v>0</v>
      </c>
      <c r="DE74" s="12"/>
      <c r="DF74" s="12">
        <f t="shared" si="68"/>
        <v>0</v>
      </c>
      <c r="DG74" s="32">
        <f t="shared" si="69"/>
        <v>0</v>
      </c>
      <c r="DH74" s="12"/>
      <c r="DI74" s="12">
        <f t="shared" ref="DI74:DI105" si="135">DH74*D74</f>
        <v>0</v>
      </c>
      <c r="DJ74" s="32">
        <f t="shared" si="70"/>
        <v>0</v>
      </c>
      <c r="DK74" s="12"/>
      <c r="DL74" s="12">
        <f t="shared" si="71"/>
        <v>0</v>
      </c>
      <c r="DM74" s="32">
        <f t="shared" si="72"/>
        <v>0</v>
      </c>
    </row>
    <row r="75" spans="1:117" s="6" customFormat="1" ht="22.25" customHeight="1" x14ac:dyDescent="0.35">
      <c r="A75" s="4">
        <v>68</v>
      </c>
      <c r="B75" s="4" t="s">
        <v>182</v>
      </c>
      <c r="C75" s="4" t="s">
        <v>183</v>
      </c>
      <c r="D75" s="7">
        <f t="shared" ref="D75:D135" si="136">E75/G75</f>
        <v>5.4216867469879517</v>
      </c>
      <c r="E75" s="7">
        <f>45/10</f>
        <v>4.5</v>
      </c>
      <c r="F75" s="7">
        <v>1</v>
      </c>
      <c r="G75" s="7">
        <v>0.83</v>
      </c>
      <c r="H75" s="7">
        <f t="shared" ref="H75:H135" si="137">D75*15%</f>
        <v>0.81325301204819278</v>
      </c>
      <c r="I75" s="9">
        <f t="shared" ref="I75:I135" si="138">H75+D75</f>
        <v>6.2349397590361448</v>
      </c>
      <c r="J75" s="13"/>
      <c r="K75" s="12">
        <f t="shared" si="78"/>
        <v>0</v>
      </c>
      <c r="L75" s="32">
        <f t="shared" si="79"/>
        <v>0</v>
      </c>
      <c r="M75" s="12"/>
      <c r="N75" s="12">
        <f t="shared" si="80"/>
        <v>0</v>
      </c>
      <c r="O75" s="32">
        <f t="shared" si="81"/>
        <v>0</v>
      </c>
      <c r="P75" s="12"/>
      <c r="Q75" s="12">
        <f t="shared" si="76"/>
        <v>0</v>
      </c>
      <c r="R75" s="32">
        <f t="shared" si="82"/>
        <v>0</v>
      </c>
      <c r="S75" s="12"/>
      <c r="T75" s="12">
        <f t="shared" si="83"/>
        <v>0</v>
      </c>
      <c r="U75" s="32">
        <f t="shared" si="84"/>
        <v>0</v>
      </c>
      <c r="V75" s="12"/>
      <c r="W75" s="12">
        <f t="shared" si="85"/>
        <v>0</v>
      </c>
      <c r="X75" s="32">
        <f t="shared" si="86"/>
        <v>0</v>
      </c>
      <c r="Y75" s="12"/>
      <c r="Z75" s="12">
        <f t="shared" si="87"/>
        <v>0</v>
      </c>
      <c r="AA75" s="32">
        <f t="shared" si="88"/>
        <v>0</v>
      </c>
      <c r="AB75" s="12"/>
      <c r="AC75" s="12">
        <f t="shared" si="89"/>
        <v>0</v>
      </c>
      <c r="AD75" s="32">
        <f t="shared" si="90"/>
        <v>0</v>
      </c>
      <c r="AE75" s="12"/>
      <c r="AF75" s="37">
        <f t="shared" si="91"/>
        <v>0</v>
      </c>
      <c r="AG75" s="14">
        <f t="shared" si="92"/>
        <v>0</v>
      </c>
      <c r="AH75" s="12"/>
      <c r="AI75" s="12">
        <f t="shared" si="93"/>
        <v>0</v>
      </c>
      <c r="AJ75" s="32">
        <f t="shared" si="94"/>
        <v>0</v>
      </c>
      <c r="AK75" s="12"/>
      <c r="AL75" s="12">
        <f t="shared" si="95"/>
        <v>0</v>
      </c>
      <c r="AM75" s="32">
        <f t="shared" si="96"/>
        <v>0</v>
      </c>
      <c r="AN75" s="12"/>
      <c r="AO75" s="12">
        <f t="shared" si="97"/>
        <v>0</v>
      </c>
      <c r="AP75" s="32">
        <f t="shared" si="98"/>
        <v>0</v>
      </c>
      <c r="AQ75" s="12"/>
      <c r="AR75" s="12">
        <f t="shared" si="99"/>
        <v>0</v>
      </c>
      <c r="AS75" s="32">
        <f t="shared" si="100"/>
        <v>0</v>
      </c>
      <c r="AT75" s="12"/>
      <c r="AU75" s="12">
        <f t="shared" si="101"/>
        <v>0</v>
      </c>
      <c r="AV75" s="32">
        <f t="shared" si="102"/>
        <v>0</v>
      </c>
      <c r="AW75" s="12"/>
      <c r="AX75" s="12">
        <f t="shared" si="103"/>
        <v>0</v>
      </c>
      <c r="AY75" s="32">
        <f t="shared" si="104"/>
        <v>0</v>
      </c>
      <c r="AZ75" s="12"/>
      <c r="BA75" s="12">
        <f t="shared" si="105"/>
        <v>0</v>
      </c>
      <c r="BB75" s="32">
        <f t="shared" si="106"/>
        <v>0</v>
      </c>
      <c r="BC75" s="12"/>
      <c r="BD75" s="12">
        <f t="shared" si="107"/>
        <v>0</v>
      </c>
      <c r="BE75" s="32">
        <f t="shared" si="108"/>
        <v>0</v>
      </c>
      <c r="BF75" s="12"/>
      <c r="BG75" s="12">
        <f t="shared" si="109"/>
        <v>0</v>
      </c>
      <c r="BH75" s="32">
        <f t="shared" si="110"/>
        <v>0</v>
      </c>
      <c r="BI75" s="12"/>
      <c r="BJ75" s="12">
        <f t="shared" si="111"/>
        <v>0</v>
      </c>
      <c r="BK75" s="32">
        <f t="shared" si="112"/>
        <v>0</v>
      </c>
      <c r="BL75" s="12"/>
      <c r="BM75" s="12">
        <f t="shared" si="113"/>
        <v>0</v>
      </c>
      <c r="BN75" s="32">
        <f t="shared" si="114"/>
        <v>0</v>
      </c>
      <c r="BO75" s="12"/>
      <c r="BP75" s="12">
        <f t="shared" si="115"/>
        <v>0</v>
      </c>
      <c r="BQ75" s="32">
        <f t="shared" si="116"/>
        <v>0</v>
      </c>
      <c r="BR75" s="12"/>
      <c r="BS75" s="12">
        <f t="shared" si="117"/>
        <v>0</v>
      </c>
      <c r="BT75" s="32">
        <f t="shared" si="118"/>
        <v>0</v>
      </c>
      <c r="BU75" s="12"/>
      <c r="BV75" s="12">
        <f t="shared" si="119"/>
        <v>0</v>
      </c>
      <c r="BW75" s="32">
        <f t="shared" si="120"/>
        <v>0</v>
      </c>
      <c r="BX75" s="12"/>
      <c r="BY75" s="12">
        <f t="shared" si="121"/>
        <v>0</v>
      </c>
      <c r="BZ75" s="32">
        <f t="shared" si="122"/>
        <v>0</v>
      </c>
      <c r="CA75" s="12"/>
      <c r="CB75" s="12">
        <f t="shared" si="123"/>
        <v>0</v>
      </c>
      <c r="CC75" s="32">
        <f t="shared" si="124"/>
        <v>0</v>
      </c>
      <c r="CD75" s="12"/>
      <c r="CE75" s="12">
        <f t="shared" si="125"/>
        <v>0</v>
      </c>
      <c r="CF75" s="32">
        <f t="shared" si="126"/>
        <v>0</v>
      </c>
      <c r="CG75" s="12"/>
      <c r="CH75" s="12">
        <f t="shared" si="127"/>
        <v>0</v>
      </c>
      <c r="CI75" s="32">
        <f t="shared" si="128"/>
        <v>0</v>
      </c>
      <c r="CJ75" s="12"/>
      <c r="CK75" s="12">
        <f t="shared" si="129"/>
        <v>0</v>
      </c>
      <c r="CL75" s="32">
        <f t="shared" si="130"/>
        <v>0</v>
      </c>
      <c r="CM75" s="12"/>
      <c r="CN75" s="12">
        <f t="shared" si="131"/>
        <v>0</v>
      </c>
      <c r="CO75" s="32">
        <f t="shared" si="132"/>
        <v>0</v>
      </c>
      <c r="CP75" s="12"/>
      <c r="CQ75" s="12">
        <f t="shared" si="133"/>
        <v>0</v>
      </c>
      <c r="CR75" s="32">
        <f t="shared" si="134"/>
        <v>0</v>
      </c>
      <c r="CS75" s="12"/>
      <c r="CT75" s="12">
        <f t="shared" ref="CT75:CT137" si="139">CS75*G75</f>
        <v>0</v>
      </c>
      <c r="CU75" s="32">
        <f t="shared" ref="CU75:CU137" si="140">CT75/$CP$2</f>
        <v>0</v>
      </c>
      <c r="CV75" s="12"/>
      <c r="CW75" s="12">
        <f t="shared" ref="CW75:CW137" si="141">CV75*D75</f>
        <v>0</v>
      </c>
      <c r="CX75" s="32">
        <f t="shared" ref="CX75:CX137" si="142">CW75/$CP$2</f>
        <v>0</v>
      </c>
      <c r="CY75" s="12"/>
      <c r="CZ75" s="12">
        <f t="shared" ref="CZ75:CZ137" si="143">CY75*M75</f>
        <v>0</v>
      </c>
      <c r="DA75" s="32">
        <f t="shared" ref="DA75:DA137" si="144">CZ75/$CP$2</f>
        <v>0</v>
      </c>
      <c r="DB75" s="12"/>
      <c r="DC75" s="12">
        <f t="shared" ref="DC75:DC137" si="145">DB75*P75</f>
        <v>0</v>
      </c>
      <c r="DD75" s="32">
        <f t="shared" ref="DD75:DD137" si="146">DC75/$CP$2</f>
        <v>0</v>
      </c>
      <c r="DE75" s="12"/>
      <c r="DF75" s="12">
        <f t="shared" ref="DF75:DF137" si="147">DE75*D75</f>
        <v>0</v>
      </c>
      <c r="DG75" s="32">
        <f t="shared" ref="DG75:DG137" si="148">DF75/$CP$2</f>
        <v>0</v>
      </c>
      <c r="DH75" s="12"/>
      <c r="DI75" s="12">
        <f t="shared" si="135"/>
        <v>0</v>
      </c>
      <c r="DJ75" s="32">
        <f t="shared" ref="DJ75:DJ137" si="149">DI75/$CP$2</f>
        <v>0</v>
      </c>
      <c r="DK75" s="12"/>
      <c r="DL75" s="12">
        <f t="shared" ref="DL75:DL138" si="150">DK75*D75</f>
        <v>0</v>
      </c>
      <c r="DM75" s="32">
        <f t="shared" ref="DM75:DM137" si="151">DL75/$CP$2</f>
        <v>0</v>
      </c>
    </row>
    <row r="76" spans="1:117" s="6" customFormat="1" ht="22.25" customHeight="1" x14ac:dyDescent="0.35">
      <c r="A76" s="4">
        <v>69</v>
      </c>
      <c r="B76" s="4" t="s">
        <v>184</v>
      </c>
      <c r="C76" s="4" t="s">
        <v>185</v>
      </c>
      <c r="D76" s="7">
        <f t="shared" si="136"/>
        <v>7.8096288129364204</v>
      </c>
      <c r="E76" s="7">
        <f>85/(12*907)*1000</f>
        <v>7.8096288129364204</v>
      </c>
      <c r="F76" s="7">
        <v>1</v>
      </c>
      <c r="G76" s="7">
        <v>1</v>
      </c>
      <c r="H76" s="7">
        <f t="shared" si="137"/>
        <v>1.1714443219404631</v>
      </c>
      <c r="I76" s="9">
        <f t="shared" si="138"/>
        <v>8.9810731348768833</v>
      </c>
      <c r="J76" s="13">
        <v>0.01</v>
      </c>
      <c r="K76" s="12">
        <f t="shared" si="78"/>
        <v>7.80962881293642E-2</v>
      </c>
      <c r="L76" s="32">
        <f t="shared" si="79"/>
        <v>8.0574475854886893E-3</v>
      </c>
      <c r="M76" s="12"/>
      <c r="N76" s="12">
        <f t="shared" si="80"/>
        <v>0</v>
      </c>
      <c r="O76" s="32">
        <f t="shared" si="81"/>
        <v>0</v>
      </c>
      <c r="P76" s="12"/>
      <c r="Q76" s="12">
        <f t="shared" si="76"/>
        <v>0</v>
      </c>
      <c r="R76" s="32">
        <f t="shared" si="82"/>
        <v>0</v>
      </c>
      <c r="S76" s="12"/>
      <c r="T76" s="12">
        <f t="shared" si="83"/>
        <v>0</v>
      </c>
      <c r="U76" s="32">
        <f t="shared" si="84"/>
        <v>0</v>
      </c>
      <c r="V76" s="12"/>
      <c r="W76" s="12">
        <f t="shared" si="85"/>
        <v>0</v>
      </c>
      <c r="X76" s="32">
        <f t="shared" si="86"/>
        <v>0</v>
      </c>
      <c r="Y76" s="12">
        <v>5.0000000000000001E-3</v>
      </c>
      <c r="Z76" s="12">
        <f t="shared" si="87"/>
        <v>3.90481440646821E-2</v>
      </c>
      <c r="AA76" s="32">
        <f t="shared" si="88"/>
        <v>9.0897540975647707E-3</v>
      </c>
      <c r="AB76" s="12"/>
      <c r="AC76" s="12">
        <f t="shared" si="89"/>
        <v>0</v>
      </c>
      <c r="AD76" s="32">
        <f t="shared" si="90"/>
        <v>0</v>
      </c>
      <c r="AE76" s="12"/>
      <c r="AF76" s="37">
        <f t="shared" si="91"/>
        <v>0</v>
      </c>
      <c r="AG76" s="14">
        <f t="shared" si="92"/>
        <v>0</v>
      </c>
      <c r="AH76" s="12"/>
      <c r="AI76" s="12">
        <f t="shared" si="93"/>
        <v>0</v>
      </c>
      <c r="AJ76" s="32">
        <f t="shared" si="94"/>
        <v>0</v>
      </c>
      <c r="AK76" s="12"/>
      <c r="AL76" s="12">
        <f t="shared" si="95"/>
        <v>0</v>
      </c>
      <c r="AM76" s="32">
        <f t="shared" si="96"/>
        <v>0</v>
      </c>
      <c r="AN76" s="12">
        <v>0.05</v>
      </c>
      <c r="AO76" s="12">
        <f t="shared" si="97"/>
        <v>0.39048144064682105</v>
      </c>
      <c r="AP76" s="32">
        <f t="shared" si="98"/>
        <v>9.5466635064667169E-2</v>
      </c>
      <c r="AQ76" s="12"/>
      <c r="AR76" s="12">
        <f t="shared" si="99"/>
        <v>0</v>
      </c>
      <c r="AS76" s="32">
        <f t="shared" si="100"/>
        <v>0</v>
      </c>
      <c r="AT76" s="12">
        <v>2E-3</v>
      </c>
      <c r="AU76" s="12">
        <f t="shared" si="101"/>
        <v>1.5619257625872841E-2</v>
      </c>
      <c r="AV76" s="32">
        <f t="shared" si="102"/>
        <v>1.1545095678665056E-2</v>
      </c>
      <c r="AW76" s="12"/>
      <c r="AX76" s="12">
        <f t="shared" si="103"/>
        <v>0</v>
      </c>
      <c r="AY76" s="32">
        <f t="shared" si="104"/>
        <v>0</v>
      </c>
      <c r="AZ76" s="12"/>
      <c r="BA76" s="12">
        <f t="shared" si="105"/>
        <v>0</v>
      </c>
      <c r="BB76" s="32">
        <f t="shared" si="106"/>
        <v>0</v>
      </c>
      <c r="BC76" s="12"/>
      <c r="BD76" s="12">
        <f t="shared" si="107"/>
        <v>0</v>
      </c>
      <c r="BE76" s="32">
        <f t="shared" si="108"/>
        <v>0</v>
      </c>
      <c r="BF76" s="12"/>
      <c r="BG76" s="12">
        <f t="shared" si="109"/>
        <v>0</v>
      </c>
      <c r="BH76" s="32">
        <f t="shared" si="110"/>
        <v>0</v>
      </c>
      <c r="BI76" s="12"/>
      <c r="BJ76" s="12">
        <f t="shared" si="111"/>
        <v>0</v>
      </c>
      <c r="BK76" s="32">
        <f t="shared" si="112"/>
        <v>0</v>
      </c>
      <c r="BL76" s="12"/>
      <c r="BM76" s="12">
        <f t="shared" si="113"/>
        <v>0</v>
      </c>
      <c r="BN76" s="32">
        <f t="shared" si="114"/>
        <v>0</v>
      </c>
      <c r="BO76" s="12"/>
      <c r="BP76" s="12">
        <f t="shared" si="115"/>
        <v>0</v>
      </c>
      <c r="BQ76" s="32">
        <f t="shared" si="116"/>
        <v>0</v>
      </c>
      <c r="BR76" s="12"/>
      <c r="BS76" s="12">
        <f t="shared" si="117"/>
        <v>0</v>
      </c>
      <c r="BT76" s="32">
        <f t="shared" si="118"/>
        <v>0</v>
      </c>
      <c r="BU76" s="12">
        <v>6.2500000000000003E-3</v>
      </c>
      <c r="BV76" s="12">
        <f t="shared" si="119"/>
        <v>4.8810180080852632E-2</v>
      </c>
      <c r="BW76" s="32">
        <f t="shared" si="120"/>
        <v>1.4560301391543694E-2</v>
      </c>
      <c r="BX76" s="12"/>
      <c r="BY76" s="12">
        <f t="shared" si="121"/>
        <v>0</v>
      </c>
      <c r="BZ76" s="32">
        <f t="shared" si="122"/>
        <v>0</v>
      </c>
      <c r="CA76" s="12"/>
      <c r="CB76" s="12">
        <f t="shared" si="123"/>
        <v>0</v>
      </c>
      <c r="CC76" s="32">
        <f t="shared" si="124"/>
        <v>0</v>
      </c>
      <c r="CD76" s="12">
        <v>1E-3</v>
      </c>
      <c r="CE76" s="12">
        <f t="shared" si="125"/>
        <v>7.8096288129364203E-3</v>
      </c>
      <c r="CF76" s="32">
        <f t="shared" si="126"/>
        <v>2.9134019449908267E-2</v>
      </c>
      <c r="CG76" s="12">
        <v>3.0000000000000001E-3</v>
      </c>
      <c r="CH76" s="12">
        <f t="shared" si="127"/>
        <v>2.3428886438809263E-2</v>
      </c>
      <c r="CI76" s="32">
        <f t="shared" si="128"/>
        <v>0.11420973762648431</v>
      </c>
      <c r="CJ76" s="12"/>
      <c r="CK76" s="12">
        <f t="shared" si="129"/>
        <v>0</v>
      </c>
      <c r="CL76" s="32">
        <f t="shared" si="130"/>
        <v>0</v>
      </c>
      <c r="CM76" s="12">
        <v>1E-3</v>
      </c>
      <c r="CN76" s="12">
        <f t="shared" si="131"/>
        <v>7.8096288129364203E-3</v>
      </c>
      <c r="CO76" s="32">
        <f t="shared" si="132"/>
        <v>4.8906084626404278E-2</v>
      </c>
      <c r="CP76" s="12">
        <v>1E-3</v>
      </c>
      <c r="CQ76" s="12">
        <f t="shared" si="133"/>
        <v>7.8096288129364203E-3</v>
      </c>
      <c r="CR76" s="32">
        <f t="shared" si="134"/>
        <v>4.6044087829978798E-2</v>
      </c>
      <c r="CS76" s="12"/>
      <c r="CT76" s="12">
        <f t="shared" si="139"/>
        <v>0</v>
      </c>
      <c r="CU76" s="32">
        <f t="shared" si="140"/>
        <v>0</v>
      </c>
      <c r="CV76" s="12"/>
      <c r="CW76" s="12">
        <f t="shared" si="141"/>
        <v>0</v>
      </c>
      <c r="CX76" s="32">
        <f t="shared" si="142"/>
        <v>0</v>
      </c>
      <c r="CY76" s="12"/>
      <c r="CZ76" s="12">
        <f t="shared" si="143"/>
        <v>0</v>
      </c>
      <c r="DA76" s="32">
        <f t="shared" si="144"/>
        <v>0</v>
      </c>
      <c r="DB76" s="12"/>
      <c r="DC76" s="12">
        <f t="shared" si="145"/>
        <v>0</v>
      </c>
      <c r="DD76" s="32">
        <f t="shared" si="146"/>
        <v>0</v>
      </c>
      <c r="DE76" s="12">
        <f>0.2/50</f>
        <v>4.0000000000000001E-3</v>
      </c>
      <c r="DF76" s="12">
        <f t="shared" si="147"/>
        <v>3.1238515251745681E-2</v>
      </c>
      <c r="DG76" s="32">
        <f t="shared" si="148"/>
        <v>0.18417635131991519</v>
      </c>
      <c r="DH76" s="12"/>
      <c r="DI76" s="12">
        <f t="shared" si="135"/>
        <v>0</v>
      </c>
      <c r="DJ76" s="32">
        <f t="shared" si="149"/>
        <v>0</v>
      </c>
      <c r="DK76" s="12"/>
      <c r="DL76" s="12">
        <f t="shared" si="150"/>
        <v>0</v>
      </c>
      <c r="DM76" s="32">
        <f t="shared" si="151"/>
        <v>0</v>
      </c>
    </row>
    <row r="77" spans="1:117" s="6" customFormat="1" ht="22.25" customHeight="1" x14ac:dyDescent="0.35">
      <c r="A77" s="4">
        <v>70</v>
      </c>
      <c r="B77" s="4" t="s">
        <v>186</v>
      </c>
      <c r="C77" s="4" t="s">
        <v>187</v>
      </c>
      <c r="D77" s="7">
        <f t="shared" si="136"/>
        <v>0.12</v>
      </c>
      <c r="E77" s="7">
        <v>0.09</v>
      </c>
      <c r="F77" s="7">
        <v>1</v>
      </c>
      <c r="G77" s="7">
        <v>0.75</v>
      </c>
      <c r="H77" s="7">
        <f t="shared" si="137"/>
        <v>1.7999999999999999E-2</v>
      </c>
      <c r="I77" s="9">
        <f t="shared" si="138"/>
        <v>0.13799999999999998</v>
      </c>
      <c r="J77" s="13"/>
      <c r="K77" s="12">
        <f t="shared" si="78"/>
        <v>0</v>
      </c>
      <c r="L77" s="32">
        <f t="shared" si="79"/>
        <v>0</v>
      </c>
      <c r="M77" s="12"/>
      <c r="N77" s="12">
        <f t="shared" si="80"/>
        <v>0</v>
      </c>
      <c r="O77" s="32">
        <f t="shared" si="81"/>
        <v>0</v>
      </c>
      <c r="P77" s="12"/>
      <c r="Q77" s="12">
        <f t="shared" si="76"/>
        <v>0</v>
      </c>
      <c r="R77" s="32">
        <f t="shared" si="82"/>
        <v>0</v>
      </c>
      <c r="S77" s="12"/>
      <c r="T77" s="12">
        <f t="shared" si="83"/>
        <v>0</v>
      </c>
      <c r="U77" s="32">
        <f t="shared" si="84"/>
        <v>0</v>
      </c>
      <c r="V77" s="12"/>
      <c r="W77" s="12">
        <f t="shared" si="85"/>
        <v>0</v>
      </c>
      <c r="X77" s="32">
        <f t="shared" si="86"/>
        <v>0</v>
      </c>
      <c r="Y77" s="12"/>
      <c r="Z77" s="12">
        <f t="shared" si="87"/>
        <v>0</v>
      </c>
      <c r="AA77" s="32">
        <f t="shared" si="88"/>
        <v>0</v>
      </c>
      <c r="AB77" s="12"/>
      <c r="AC77" s="12">
        <f t="shared" si="89"/>
        <v>0</v>
      </c>
      <c r="AD77" s="32">
        <f t="shared" si="90"/>
        <v>0</v>
      </c>
      <c r="AE77" s="12"/>
      <c r="AF77" s="37">
        <f t="shared" si="91"/>
        <v>0</v>
      </c>
      <c r="AG77" s="14">
        <f t="shared" si="92"/>
        <v>0</v>
      </c>
      <c r="AH77" s="12"/>
      <c r="AI77" s="12">
        <f t="shared" si="93"/>
        <v>0</v>
      </c>
      <c r="AJ77" s="32">
        <f t="shared" si="94"/>
        <v>0</v>
      </c>
      <c r="AK77" s="12"/>
      <c r="AL77" s="12">
        <f t="shared" si="95"/>
        <v>0</v>
      </c>
      <c r="AM77" s="32">
        <f t="shared" si="96"/>
        <v>0</v>
      </c>
      <c r="AN77" s="12"/>
      <c r="AO77" s="12">
        <f t="shared" si="97"/>
        <v>0</v>
      </c>
      <c r="AP77" s="32">
        <f t="shared" si="98"/>
        <v>0</v>
      </c>
      <c r="AQ77" s="12">
        <v>3</v>
      </c>
      <c r="AR77" s="12">
        <f t="shared" si="99"/>
        <v>0.36</v>
      </c>
      <c r="AS77" s="32">
        <f t="shared" si="100"/>
        <v>8.2441025739920265E-2</v>
      </c>
      <c r="AT77" s="12"/>
      <c r="AU77" s="12">
        <f t="shared" si="101"/>
        <v>0</v>
      </c>
      <c r="AV77" s="32">
        <f t="shared" si="102"/>
        <v>0</v>
      </c>
      <c r="AW77" s="12"/>
      <c r="AX77" s="12">
        <f t="shared" si="103"/>
        <v>0</v>
      </c>
      <c r="AY77" s="32">
        <f t="shared" si="104"/>
        <v>0</v>
      </c>
      <c r="AZ77" s="12"/>
      <c r="BA77" s="12">
        <f t="shared" si="105"/>
        <v>0</v>
      </c>
      <c r="BB77" s="32">
        <f t="shared" si="106"/>
        <v>0</v>
      </c>
      <c r="BC77" s="12"/>
      <c r="BD77" s="12">
        <f t="shared" si="107"/>
        <v>0</v>
      </c>
      <c r="BE77" s="32">
        <f t="shared" si="108"/>
        <v>0</v>
      </c>
      <c r="BF77" s="12"/>
      <c r="BG77" s="12">
        <f t="shared" si="109"/>
        <v>0</v>
      </c>
      <c r="BH77" s="32">
        <f t="shared" si="110"/>
        <v>0</v>
      </c>
      <c r="BI77" s="12"/>
      <c r="BJ77" s="12">
        <f t="shared" si="111"/>
        <v>0</v>
      </c>
      <c r="BK77" s="32">
        <f t="shared" si="112"/>
        <v>0</v>
      </c>
      <c r="BL77" s="12">
        <v>1E-4</v>
      </c>
      <c r="BM77" s="12">
        <f t="shared" si="113"/>
        <v>1.2E-5</v>
      </c>
      <c r="BN77" s="32">
        <f t="shared" si="114"/>
        <v>8.8185304544452912E-6</v>
      </c>
      <c r="BO77" s="12"/>
      <c r="BP77" s="12">
        <f t="shared" si="115"/>
        <v>0</v>
      </c>
      <c r="BQ77" s="32">
        <f t="shared" si="116"/>
        <v>0</v>
      </c>
      <c r="BR77" s="12"/>
      <c r="BS77" s="12">
        <f t="shared" si="117"/>
        <v>0</v>
      </c>
      <c r="BT77" s="32">
        <f t="shared" si="118"/>
        <v>0</v>
      </c>
      <c r="BU77" s="12"/>
      <c r="BV77" s="12">
        <f t="shared" si="119"/>
        <v>0</v>
      </c>
      <c r="BW77" s="32">
        <f t="shared" si="120"/>
        <v>0</v>
      </c>
      <c r="BX77" s="12"/>
      <c r="BY77" s="12">
        <f t="shared" si="121"/>
        <v>0</v>
      </c>
      <c r="BZ77" s="32">
        <f t="shared" si="122"/>
        <v>0</v>
      </c>
      <c r="CA77" s="12"/>
      <c r="CB77" s="12">
        <f t="shared" si="123"/>
        <v>0</v>
      </c>
      <c r="CC77" s="32">
        <f t="shared" si="124"/>
        <v>0</v>
      </c>
      <c r="CD77" s="12"/>
      <c r="CE77" s="12">
        <f t="shared" si="125"/>
        <v>0</v>
      </c>
      <c r="CF77" s="32">
        <f t="shared" si="126"/>
        <v>0</v>
      </c>
      <c r="CG77" s="12"/>
      <c r="CH77" s="12">
        <f t="shared" si="127"/>
        <v>0</v>
      </c>
      <c r="CI77" s="32">
        <f t="shared" si="128"/>
        <v>0</v>
      </c>
      <c r="CJ77" s="12"/>
      <c r="CK77" s="12">
        <f t="shared" si="129"/>
        <v>0</v>
      </c>
      <c r="CL77" s="32">
        <f t="shared" si="130"/>
        <v>0</v>
      </c>
      <c r="CM77" s="12"/>
      <c r="CN77" s="12">
        <f t="shared" si="131"/>
        <v>0</v>
      </c>
      <c r="CO77" s="32">
        <f t="shared" si="132"/>
        <v>0</v>
      </c>
      <c r="CP77" s="12"/>
      <c r="CQ77" s="12">
        <f t="shared" si="133"/>
        <v>0</v>
      </c>
      <c r="CR77" s="32">
        <f t="shared" si="134"/>
        <v>0</v>
      </c>
      <c r="CS77" s="12"/>
      <c r="CT77" s="12">
        <f t="shared" si="139"/>
        <v>0</v>
      </c>
      <c r="CU77" s="32">
        <f t="shared" si="140"/>
        <v>0</v>
      </c>
      <c r="CV77" s="12"/>
      <c r="CW77" s="12">
        <f t="shared" si="141"/>
        <v>0</v>
      </c>
      <c r="CX77" s="32">
        <f t="shared" si="142"/>
        <v>0</v>
      </c>
      <c r="CY77" s="12"/>
      <c r="CZ77" s="12">
        <f t="shared" si="143"/>
        <v>0</v>
      </c>
      <c r="DA77" s="32">
        <f t="shared" si="144"/>
        <v>0</v>
      </c>
      <c r="DB77" s="12"/>
      <c r="DC77" s="12">
        <f t="shared" si="145"/>
        <v>0</v>
      </c>
      <c r="DD77" s="32">
        <f t="shared" si="146"/>
        <v>0</v>
      </c>
      <c r="DE77" s="12"/>
      <c r="DF77" s="12">
        <f t="shared" si="147"/>
        <v>0</v>
      </c>
      <c r="DG77" s="32">
        <f t="shared" si="148"/>
        <v>0</v>
      </c>
      <c r="DH77" s="12">
        <v>1</v>
      </c>
      <c r="DI77" s="12">
        <f t="shared" si="135"/>
        <v>0.12</v>
      </c>
      <c r="DJ77" s="32">
        <f t="shared" si="149"/>
        <v>0.70749720274092598</v>
      </c>
      <c r="DK77" s="12"/>
      <c r="DL77" s="12">
        <f t="shared" si="150"/>
        <v>0</v>
      </c>
      <c r="DM77" s="32">
        <f t="shared" si="151"/>
        <v>0</v>
      </c>
    </row>
    <row r="78" spans="1:117" s="6" customFormat="1" ht="22.25" customHeight="1" x14ac:dyDescent="0.35">
      <c r="A78" s="4">
        <v>71</v>
      </c>
      <c r="B78" s="4" t="s">
        <v>188</v>
      </c>
      <c r="C78" s="4" t="s">
        <v>189</v>
      </c>
      <c r="D78" s="7">
        <f t="shared" si="136"/>
        <v>4.9603174603174605</v>
      </c>
      <c r="E78" s="7">
        <f>75/(3.78*4)</f>
        <v>4.9603174603174605</v>
      </c>
      <c r="F78" s="7">
        <v>1</v>
      </c>
      <c r="G78" s="7">
        <v>1</v>
      </c>
      <c r="H78" s="7">
        <f t="shared" si="137"/>
        <v>0.74404761904761907</v>
      </c>
      <c r="I78" s="9">
        <f t="shared" si="138"/>
        <v>5.7043650793650791</v>
      </c>
      <c r="J78" s="13"/>
      <c r="K78" s="12">
        <f t="shared" si="78"/>
        <v>0</v>
      </c>
      <c r="L78" s="32">
        <f t="shared" si="79"/>
        <v>0</v>
      </c>
      <c r="M78" s="12"/>
      <c r="N78" s="12">
        <f t="shared" si="80"/>
        <v>0</v>
      </c>
      <c r="O78" s="32">
        <f t="shared" si="81"/>
        <v>0</v>
      </c>
      <c r="P78" s="12"/>
      <c r="Q78" s="12">
        <f t="shared" si="76"/>
        <v>0</v>
      </c>
      <c r="R78" s="32">
        <f t="shared" si="82"/>
        <v>0</v>
      </c>
      <c r="S78" s="12"/>
      <c r="T78" s="12">
        <f t="shared" si="83"/>
        <v>0</v>
      </c>
      <c r="U78" s="32">
        <f t="shared" si="84"/>
        <v>0</v>
      </c>
      <c r="V78" s="12"/>
      <c r="W78" s="12">
        <f t="shared" si="85"/>
        <v>0</v>
      </c>
      <c r="X78" s="32">
        <f t="shared" si="86"/>
        <v>0</v>
      </c>
      <c r="Y78" s="12"/>
      <c r="Z78" s="12">
        <f t="shared" si="87"/>
        <v>0</v>
      </c>
      <c r="AA78" s="32">
        <f t="shared" si="88"/>
        <v>0</v>
      </c>
      <c r="AB78" s="12"/>
      <c r="AC78" s="12">
        <f t="shared" si="89"/>
        <v>0</v>
      </c>
      <c r="AD78" s="32">
        <f t="shared" si="90"/>
        <v>0</v>
      </c>
      <c r="AE78" s="12"/>
      <c r="AF78" s="37">
        <f t="shared" si="91"/>
        <v>0</v>
      </c>
      <c r="AG78" s="14">
        <f t="shared" si="92"/>
        <v>0</v>
      </c>
      <c r="AH78" s="12"/>
      <c r="AI78" s="12">
        <f t="shared" si="93"/>
        <v>0</v>
      </c>
      <c r="AJ78" s="32">
        <f t="shared" si="94"/>
        <v>0</v>
      </c>
      <c r="AK78" s="12"/>
      <c r="AL78" s="12">
        <f t="shared" si="95"/>
        <v>0</v>
      </c>
      <c r="AM78" s="32">
        <f t="shared" si="96"/>
        <v>0</v>
      </c>
      <c r="AN78" s="12"/>
      <c r="AO78" s="12">
        <f t="shared" si="97"/>
        <v>0</v>
      </c>
      <c r="AP78" s="32">
        <f t="shared" si="98"/>
        <v>0</v>
      </c>
      <c r="AQ78" s="12"/>
      <c r="AR78" s="12">
        <f t="shared" si="99"/>
        <v>0</v>
      </c>
      <c r="AS78" s="32">
        <f t="shared" si="100"/>
        <v>0</v>
      </c>
      <c r="AT78" s="12"/>
      <c r="AU78" s="12">
        <f t="shared" si="101"/>
        <v>0</v>
      </c>
      <c r="AV78" s="32">
        <f t="shared" si="102"/>
        <v>0</v>
      </c>
      <c r="AW78" s="12"/>
      <c r="AX78" s="12">
        <f t="shared" si="103"/>
        <v>0</v>
      </c>
      <c r="AY78" s="32">
        <f t="shared" si="104"/>
        <v>0</v>
      </c>
      <c r="AZ78" s="12"/>
      <c r="BA78" s="12">
        <f t="shared" si="105"/>
        <v>0</v>
      </c>
      <c r="BB78" s="32">
        <f t="shared" si="106"/>
        <v>0</v>
      </c>
      <c r="BC78" s="12"/>
      <c r="BD78" s="12">
        <f t="shared" si="107"/>
        <v>0</v>
      </c>
      <c r="BE78" s="32">
        <f t="shared" si="108"/>
        <v>0</v>
      </c>
      <c r="BF78" s="12"/>
      <c r="BG78" s="12">
        <f t="shared" si="109"/>
        <v>0</v>
      </c>
      <c r="BH78" s="32">
        <f t="shared" si="110"/>
        <v>0</v>
      </c>
      <c r="BI78" s="12"/>
      <c r="BJ78" s="12">
        <f t="shared" si="111"/>
        <v>0</v>
      </c>
      <c r="BK78" s="32">
        <f t="shared" si="112"/>
        <v>0</v>
      </c>
      <c r="BL78" s="12"/>
      <c r="BM78" s="12">
        <f t="shared" si="113"/>
        <v>0</v>
      </c>
      <c r="BN78" s="32">
        <f t="shared" si="114"/>
        <v>0</v>
      </c>
      <c r="BO78" s="12"/>
      <c r="BP78" s="12">
        <f t="shared" si="115"/>
        <v>0</v>
      </c>
      <c r="BQ78" s="32">
        <f t="shared" si="116"/>
        <v>0</v>
      </c>
      <c r="BR78" s="12"/>
      <c r="BS78" s="12">
        <f t="shared" si="117"/>
        <v>0</v>
      </c>
      <c r="BT78" s="32">
        <f t="shared" si="118"/>
        <v>0</v>
      </c>
      <c r="BU78" s="12"/>
      <c r="BV78" s="12">
        <f t="shared" si="119"/>
        <v>0</v>
      </c>
      <c r="BW78" s="32">
        <f t="shared" si="120"/>
        <v>0</v>
      </c>
      <c r="BX78" s="12"/>
      <c r="BY78" s="12">
        <f t="shared" si="121"/>
        <v>0</v>
      </c>
      <c r="BZ78" s="32">
        <f t="shared" si="122"/>
        <v>0</v>
      </c>
      <c r="CA78" s="12"/>
      <c r="CB78" s="12">
        <f t="shared" si="123"/>
        <v>0</v>
      </c>
      <c r="CC78" s="32">
        <f t="shared" si="124"/>
        <v>0</v>
      </c>
      <c r="CD78" s="12"/>
      <c r="CE78" s="12">
        <f t="shared" si="125"/>
        <v>0</v>
      </c>
      <c r="CF78" s="32">
        <f t="shared" si="126"/>
        <v>0</v>
      </c>
      <c r="CG78" s="12"/>
      <c r="CH78" s="12">
        <f t="shared" si="127"/>
        <v>0</v>
      </c>
      <c r="CI78" s="32">
        <f t="shared" si="128"/>
        <v>0</v>
      </c>
      <c r="CJ78" s="12"/>
      <c r="CK78" s="12">
        <f t="shared" si="129"/>
        <v>0</v>
      </c>
      <c r="CL78" s="32">
        <f t="shared" si="130"/>
        <v>0</v>
      </c>
      <c r="CM78" s="12"/>
      <c r="CN78" s="12">
        <f t="shared" si="131"/>
        <v>0</v>
      </c>
      <c r="CO78" s="32">
        <f t="shared" si="132"/>
        <v>0</v>
      </c>
      <c r="CP78" s="12">
        <v>0.02</v>
      </c>
      <c r="CQ78" s="12">
        <f t="shared" si="133"/>
        <v>9.9206349206349215E-2</v>
      </c>
      <c r="CR78" s="32">
        <f t="shared" si="134"/>
        <v>0.58490178798026293</v>
      </c>
      <c r="CS78" s="12"/>
      <c r="CT78" s="12">
        <f t="shared" si="139"/>
        <v>0</v>
      </c>
      <c r="CU78" s="32">
        <f t="shared" si="140"/>
        <v>0</v>
      </c>
      <c r="CV78" s="12"/>
      <c r="CW78" s="12">
        <f t="shared" si="141"/>
        <v>0</v>
      </c>
      <c r="CX78" s="32">
        <f t="shared" si="142"/>
        <v>0</v>
      </c>
      <c r="CY78" s="12"/>
      <c r="CZ78" s="12">
        <f t="shared" si="143"/>
        <v>0</v>
      </c>
      <c r="DA78" s="32">
        <f t="shared" si="144"/>
        <v>0</v>
      </c>
      <c r="DB78" s="12"/>
      <c r="DC78" s="12">
        <f t="shared" si="145"/>
        <v>0</v>
      </c>
      <c r="DD78" s="32">
        <f t="shared" si="146"/>
        <v>0</v>
      </c>
      <c r="DE78" s="12"/>
      <c r="DF78" s="12">
        <f t="shared" si="147"/>
        <v>0</v>
      </c>
      <c r="DG78" s="32">
        <f t="shared" si="148"/>
        <v>0</v>
      </c>
      <c r="DH78" s="12"/>
      <c r="DI78" s="12">
        <f t="shared" si="135"/>
        <v>0</v>
      </c>
      <c r="DJ78" s="32">
        <f t="shared" si="149"/>
        <v>0</v>
      </c>
      <c r="DK78" s="12"/>
      <c r="DL78" s="12">
        <f t="shared" si="150"/>
        <v>0</v>
      </c>
      <c r="DM78" s="32">
        <f t="shared" si="151"/>
        <v>0</v>
      </c>
    </row>
    <row r="79" spans="1:117" s="6" customFormat="1" ht="22.25" customHeight="1" x14ac:dyDescent="0.35">
      <c r="A79" s="4">
        <v>72</v>
      </c>
      <c r="B79" s="4" t="s">
        <v>190</v>
      </c>
      <c r="C79" s="4" t="s">
        <v>191</v>
      </c>
      <c r="D79" s="7">
        <f t="shared" si="136"/>
        <v>3.4166666666666665</v>
      </c>
      <c r="E79" s="7">
        <f>41/12</f>
        <v>3.4166666666666665</v>
      </c>
      <c r="F79" s="7">
        <v>1</v>
      </c>
      <c r="G79" s="7">
        <v>1</v>
      </c>
      <c r="H79" s="7">
        <f t="shared" si="137"/>
        <v>0.51249999999999996</v>
      </c>
      <c r="I79" s="9">
        <f t="shared" si="138"/>
        <v>3.9291666666666663</v>
      </c>
      <c r="J79" s="13"/>
      <c r="K79" s="12">
        <f t="shared" si="78"/>
        <v>0</v>
      </c>
      <c r="L79" s="32">
        <f t="shared" si="79"/>
        <v>0</v>
      </c>
      <c r="M79" s="12"/>
      <c r="N79" s="12">
        <f t="shared" si="80"/>
        <v>0</v>
      </c>
      <c r="O79" s="32">
        <f t="shared" si="81"/>
        <v>0</v>
      </c>
      <c r="P79" s="12"/>
      <c r="Q79" s="12">
        <f t="shared" ref="Q79:Q139" si="152">P79*D79</f>
        <v>0</v>
      </c>
      <c r="R79" s="32">
        <f t="shared" si="82"/>
        <v>0</v>
      </c>
      <c r="S79" s="12"/>
      <c r="T79" s="12">
        <f t="shared" si="83"/>
        <v>0</v>
      </c>
      <c r="U79" s="32">
        <f t="shared" si="84"/>
        <v>0</v>
      </c>
      <c r="V79" s="12"/>
      <c r="W79" s="12">
        <f t="shared" si="85"/>
        <v>0</v>
      </c>
      <c r="X79" s="32">
        <f t="shared" si="86"/>
        <v>0</v>
      </c>
      <c r="Y79" s="12"/>
      <c r="Z79" s="12">
        <f t="shared" si="87"/>
        <v>0</v>
      </c>
      <c r="AA79" s="32">
        <f t="shared" si="88"/>
        <v>0</v>
      </c>
      <c r="AB79" s="12"/>
      <c r="AC79" s="12">
        <f t="shared" si="89"/>
        <v>0</v>
      </c>
      <c r="AD79" s="32">
        <f t="shared" si="90"/>
        <v>0</v>
      </c>
      <c r="AE79" s="12"/>
      <c r="AF79" s="37">
        <f t="shared" si="91"/>
        <v>0</v>
      </c>
      <c r="AG79" s="14">
        <f t="shared" si="92"/>
        <v>0</v>
      </c>
      <c r="AH79" s="12"/>
      <c r="AI79" s="12">
        <f t="shared" si="93"/>
        <v>0</v>
      </c>
      <c r="AJ79" s="32">
        <f t="shared" si="94"/>
        <v>0</v>
      </c>
      <c r="AK79" s="12"/>
      <c r="AL79" s="12">
        <f t="shared" si="95"/>
        <v>0</v>
      </c>
      <c r="AM79" s="32">
        <f t="shared" si="96"/>
        <v>0</v>
      </c>
      <c r="AN79" s="12"/>
      <c r="AO79" s="12">
        <f t="shared" si="97"/>
        <v>0</v>
      </c>
      <c r="AP79" s="32">
        <f t="shared" si="98"/>
        <v>0</v>
      </c>
      <c r="AQ79" s="12"/>
      <c r="AR79" s="12">
        <f t="shared" si="99"/>
        <v>0</v>
      </c>
      <c r="AS79" s="32">
        <f t="shared" si="100"/>
        <v>0</v>
      </c>
      <c r="AT79" s="12"/>
      <c r="AU79" s="12">
        <f t="shared" si="101"/>
        <v>0</v>
      </c>
      <c r="AV79" s="32">
        <f t="shared" si="102"/>
        <v>0</v>
      </c>
      <c r="AW79" s="12"/>
      <c r="AX79" s="12">
        <f t="shared" si="103"/>
        <v>0</v>
      </c>
      <c r="AY79" s="32">
        <f t="shared" si="104"/>
        <v>0</v>
      </c>
      <c r="AZ79" s="12"/>
      <c r="BA79" s="12">
        <f t="shared" si="105"/>
        <v>0</v>
      </c>
      <c r="BB79" s="32">
        <f t="shared" si="106"/>
        <v>0</v>
      </c>
      <c r="BC79" s="12"/>
      <c r="BD79" s="12">
        <f t="shared" si="107"/>
        <v>0</v>
      </c>
      <c r="BE79" s="32">
        <f t="shared" si="108"/>
        <v>0</v>
      </c>
      <c r="BF79" s="12"/>
      <c r="BG79" s="12">
        <f t="shared" si="109"/>
        <v>0</v>
      </c>
      <c r="BH79" s="32">
        <f t="shared" si="110"/>
        <v>0</v>
      </c>
      <c r="BI79" s="12"/>
      <c r="BJ79" s="12">
        <f t="shared" si="111"/>
        <v>0</v>
      </c>
      <c r="BK79" s="32">
        <f t="shared" si="112"/>
        <v>0</v>
      </c>
      <c r="BL79" s="12"/>
      <c r="BM79" s="12">
        <f t="shared" si="113"/>
        <v>0</v>
      </c>
      <c r="BN79" s="32">
        <f t="shared" si="114"/>
        <v>0</v>
      </c>
      <c r="BO79" s="12"/>
      <c r="BP79" s="12">
        <f t="shared" si="115"/>
        <v>0</v>
      </c>
      <c r="BQ79" s="32">
        <f t="shared" si="116"/>
        <v>0</v>
      </c>
      <c r="BR79" s="12"/>
      <c r="BS79" s="12">
        <f t="shared" si="117"/>
        <v>0</v>
      </c>
      <c r="BT79" s="32">
        <f t="shared" si="118"/>
        <v>0</v>
      </c>
      <c r="BU79" s="12"/>
      <c r="BV79" s="12">
        <f t="shared" si="119"/>
        <v>0</v>
      </c>
      <c r="BW79" s="32">
        <f t="shared" si="120"/>
        <v>0</v>
      </c>
      <c r="BX79" s="12"/>
      <c r="BY79" s="12">
        <f t="shared" si="121"/>
        <v>0</v>
      </c>
      <c r="BZ79" s="32">
        <f t="shared" si="122"/>
        <v>0</v>
      </c>
      <c r="CA79" s="12"/>
      <c r="CB79" s="12">
        <f t="shared" si="123"/>
        <v>0</v>
      </c>
      <c r="CC79" s="32">
        <f t="shared" si="124"/>
        <v>0</v>
      </c>
      <c r="CD79" s="12"/>
      <c r="CE79" s="12">
        <f t="shared" si="125"/>
        <v>0</v>
      </c>
      <c r="CF79" s="32">
        <f t="shared" si="126"/>
        <v>0</v>
      </c>
      <c r="CG79" s="12"/>
      <c r="CH79" s="12">
        <f t="shared" si="127"/>
        <v>0</v>
      </c>
      <c r="CI79" s="32">
        <f t="shared" si="128"/>
        <v>0</v>
      </c>
      <c r="CJ79" s="12">
        <v>6.0000000000000001E-3</v>
      </c>
      <c r="CK79" s="12">
        <f t="shared" si="129"/>
        <v>2.0500000000000001E-2</v>
      </c>
      <c r="CL79" s="32">
        <f t="shared" si="130"/>
        <v>5.3452231956612438E-2</v>
      </c>
      <c r="CM79" s="12"/>
      <c r="CN79" s="12">
        <f t="shared" si="131"/>
        <v>0</v>
      </c>
      <c r="CO79" s="32">
        <f t="shared" si="132"/>
        <v>0</v>
      </c>
      <c r="CP79" s="12"/>
      <c r="CQ79" s="12">
        <f t="shared" si="133"/>
        <v>0</v>
      </c>
      <c r="CR79" s="32">
        <f t="shared" si="134"/>
        <v>0</v>
      </c>
      <c r="CS79" s="12"/>
      <c r="CT79" s="12">
        <f t="shared" si="139"/>
        <v>0</v>
      </c>
      <c r="CU79" s="32">
        <f t="shared" si="140"/>
        <v>0</v>
      </c>
      <c r="CV79" s="12"/>
      <c r="CW79" s="12">
        <f t="shared" si="141"/>
        <v>0</v>
      </c>
      <c r="CX79" s="32">
        <f t="shared" si="142"/>
        <v>0</v>
      </c>
      <c r="CY79" s="12"/>
      <c r="CZ79" s="12">
        <f t="shared" si="143"/>
        <v>0</v>
      </c>
      <c r="DA79" s="32">
        <f t="shared" si="144"/>
        <v>0</v>
      </c>
      <c r="DB79" s="12"/>
      <c r="DC79" s="12">
        <f t="shared" si="145"/>
        <v>0</v>
      </c>
      <c r="DD79" s="32">
        <f t="shared" si="146"/>
        <v>0</v>
      </c>
      <c r="DE79" s="12"/>
      <c r="DF79" s="12">
        <f t="shared" si="147"/>
        <v>0</v>
      </c>
      <c r="DG79" s="32">
        <f t="shared" si="148"/>
        <v>0</v>
      </c>
      <c r="DH79" s="12"/>
      <c r="DI79" s="12">
        <f t="shared" si="135"/>
        <v>0</v>
      </c>
      <c r="DJ79" s="32">
        <f t="shared" si="149"/>
        <v>0</v>
      </c>
      <c r="DK79" s="12"/>
      <c r="DL79" s="12">
        <f t="shared" si="150"/>
        <v>0</v>
      </c>
      <c r="DM79" s="32">
        <f t="shared" si="151"/>
        <v>0</v>
      </c>
    </row>
    <row r="80" spans="1:117" s="6" customFormat="1" ht="22.25" customHeight="1" x14ac:dyDescent="0.35">
      <c r="A80" s="4">
        <v>73</v>
      </c>
      <c r="B80" s="4" t="s">
        <v>192</v>
      </c>
      <c r="C80" s="4" t="s">
        <v>193</v>
      </c>
      <c r="D80" s="7">
        <f t="shared" si="136"/>
        <v>1.6666666666666667</v>
      </c>
      <c r="E80" s="7">
        <f>10/6</f>
        <v>1.6666666666666667</v>
      </c>
      <c r="F80" s="7">
        <v>1</v>
      </c>
      <c r="G80" s="7">
        <v>1</v>
      </c>
      <c r="H80" s="7">
        <f t="shared" si="137"/>
        <v>0.25</v>
      </c>
      <c r="I80" s="9">
        <f t="shared" si="138"/>
        <v>1.9166666666666667</v>
      </c>
      <c r="J80" s="13"/>
      <c r="K80" s="12">
        <f t="shared" si="78"/>
        <v>0</v>
      </c>
      <c r="L80" s="32">
        <f t="shared" si="79"/>
        <v>0</v>
      </c>
      <c r="M80" s="12"/>
      <c r="N80" s="12">
        <f t="shared" si="80"/>
        <v>0</v>
      </c>
      <c r="O80" s="32">
        <f t="shared" si="81"/>
        <v>0</v>
      </c>
      <c r="P80" s="12"/>
      <c r="Q80" s="12">
        <f t="shared" si="152"/>
        <v>0</v>
      </c>
      <c r="R80" s="32">
        <f t="shared" si="82"/>
        <v>0</v>
      </c>
      <c r="S80" s="12"/>
      <c r="T80" s="12">
        <f t="shared" si="83"/>
        <v>0</v>
      </c>
      <c r="U80" s="32">
        <f t="shared" si="84"/>
        <v>0</v>
      </c>
      <c r="V80" s="12"/>
      <c r="W80" s="12">
        <f t="shared" si="85"/>
        <v>0</v>
      </c>
      <c r="X80" s="32">
        <f t="shared" si="86"/>
        <v>0</v>
      </c>
      <c r="Y80" s="12"/>
      <c r="Z80" s="12">
        <f t="shared" si="87"/>
        <v>0</v>
      </c>
      <c r="AA80" s="32">
        <f t="shared" si="88"/>
        <v>0</v>
      </c>
      <c r="AB80" s="12"/>
      <c r="AC80" s="12">
        <f t="shared" si="89"/>
        <v>0</v>
      </c>
      <c r="AD80" s="32">
        <f t="shared" si="90"/>
        <v>0</v>
      </c>
      <c r="AE80" s="12"/>
      <c r="AF80" s="37">
        <f t="shared" si="91"/>
        <v>0</v>
      </c>
      <c r="AG80" s="14">
        <f t="shared" si="92"/>
        <v>0</v>
      </c>
      <c r="AH80" s="12"/>
      <c r="AI80" s="12">
        <f t="shared" si="93"/>
        <v>0</v>
      </c>
      <c r="AJ80" s="32">
        <f t="shared" si="94"/>
        <v>0</v>
      </c>
      <c r="AK80" s="12">
        <v>0.01</v>
      </c>
      <c r="AL80" s="12">
        <f t="shared" si="95"/>
        <v>1.6666666666666666E-2</v>
      </c>
      <c r="AM80" s="32">
        <f t="shared" si="96"/>
        <v>6.7976744720082329E-3</v>
      </c>
      <c r="AN80" s="12"/>
      <c r="AO80" s="12">
        <f t="shared" si="97"/>
        <v>0</v>
      </c>
      <c r="AP80" s="32">
        <f t="shared" si="98"/>
        <v>0</v>
      </c>
      <c r="AQ80" s="12"/>
      <c r="AR80" s="12">
        <f t="shared" si="99"/>
        <v>0</v>
      </c>
      <c r="AS80" s="32">
        <f t="shared" si="100"/>
        <v>0</v>
      </c>
      <c r="AT80" s="12">
        <v>0.01</v>
      </c>
      <c r="AU80" s="12">
        <f t="shared" si="101"/>
        <v>1.6666666666666666E-2</v>
      </c>
      <c r="AV80" s="32">
        <f t="shared" si="102"/>
        <v>1.2319296212410832E-2</v>
      </c>
      <c r="AW80" s="12"/>
      <c r="AX80" s="12">
        <f t="shared" si="103"/>
        <v>0</v>
      </c>
      <c r="AY80" s="32">
        <f t="shared" si="104"/>
        <v>0</v>
      </c>
      <c r="AZ80" s="12"/>
      <c r="BA80" s="12">
        <f t="shared" si="105"/>
        <v>0</v>
      </c>
      <c r="BB80" s="32">
        <f t="shared" si="106"/>
        <v>0</v>
      </c>
      <c r="BC80" s="12"/>
      <c r="BD80" s="12">
        <f t="shared" si="107"/>
        <v>0</v>
      </c>
      <c r="BE80" s="32">
        <f t="shared" si="108"/>
        <v>0</v>
      </c>
      <c r="BF80" s="12">
        <v>1E-3</v>
      </c>
      <c r="BG80" s="12">
        <f t="shared" si="109"/>
        <v>1.6666666666666668E-3</v>
      </c>
      <c r="BH80" s="32">
        <f t="shared" si="110"/>
        <v>5.4579002692685386E-4</v>
      </c>
      <c r="BI80" s="12"/>
      <c r="BJ80" s="12">
        <f t="shared" si="111"/>
        <v>0</v>
      </c>
      <c r="BK80" s="32">
        <f t="shared" si="112"/>
        <v>0</v>
      </c>
      <c r="BL80" s="12"/>
      <c r="BM80" s="12">
        <f t="shared" si="113"/>
        <v>0</v>
      </c>
      <c r="BN80" s="32">
        <f t="shared" si="114"/>
        <v>0</v>
      </c>
      <c r="BO80" s="12"/>
      <c r="BP80" s="12">
        <f t="shared" si="115"/>
        <v>0</v>
      </c>
      <c r="BQ80" s="32">
        <f t="shared" si="116"/>
        <v>0</v>
      </c>
      <c r="BR80" s="12"/>
      <c r="BS80" s="12">
        <f t="shared" si="117"/>
        <v>0</v>
      </c>
      <c r="BT80" s="32">
        <f t="shared" si="118"/>
        <v>0</v>
      </c>
      <c r="BU80" s="12"/>
      <c r="BV80" s="12">
        <f t="shared" si="119"/>
        <v>0</v>
      </c>
      <c r="BW80" s="32">
        <f t="shared" si="120"/>
        <v>0</v>
      </c>
      <c r="BX80" s="12"/>
      <c r="BY80" s="12">
        <f t="shared" si="121"/>
        <v>0</v>
      </c>
      <c r="BZ80" s="32">
        <f t="shared" si="122"/>
        <v>0</v>
      </c>
      <c r="CA80" s="12"/>
      <c r="CB80" s="12">
        <f t="shared" si="123"/>
        <v>0</v>
      </c>
      <c r="CC80" s="32">
        <f t="shared" si="124"/>
        <v>0</v>
      </c>
      <c r="CD80" s="12"/>
      <c r="CE80" s="12">
        <f t="shared" si="125"/>
        <v>0</v>
      </c>
      <c r="CF80" s="32">
        <f t="shared" si="126"/>
        <v>0</v>
      </c>
      <c r="CG80" s="12"/>
      <c r="CH80" s="12">
        <f t="shared" si="127"/>
        <v>0</v>
      </c>
      <c r="CI80" s="32">
        <f t="shared" si="128"/>
        <v>0</v>
      </c>
      <c r="CJ80" s="12"/>
      <c r="CK80" s="12">
        <f t="shared" si="129"/>
        <v>0</v>
      </c>
      <c r="CL80" s="32">
        <f t="shared" si="130"/>
        <v>0</v>
      </c>
      <c r="CM80" s="12"/>
      <c r="CN80" s="12">
        <f t="shared" si="131"/>
        <v>0</v>
      </c>
      <c r="CO80" s="32">
        <f t="shared" si="132"/>
        <v>0</v>
      </c>
      <c r="CP80" s="12"/>
      <c r="CQ80" s="12">
        <f t="shared" si="133"/>
        <v>0</v>
      </c>
      <c r="CR80" s="32">
        <f t="shared" si="134"/>
        <v>0</v>
      </c>
      <c r="CS80" s="12"/>
      <c r="CT80" s="12">
        <f t="shared" si="139"/>
        <v>0</v>
      </c>
      <c r="CU80" s="32">
        <f t="shared" si="140"/>
        <v>0</v>
      </c>
      <c r="CV80" s="12"/>
      <c r="CW80" s="12">
        <f t="shared" si="141"/>
        <v>0</v>
      </c>
      <c r="CX80" s="32">
        <f t="shared" si="142"/>
        <v>0</v>
      </c>
      <c r="CY80" s="12"/>
      <c r="CZ80" s="12">
        <f t="shared" si="143"/>
        <v>0</v>
      </c>
      <c r="DA80" s="32">
        <f t="shared" si="144"/>
        <v>0</v>
      </c>
      <c r="DB80" s="12"/>
      <c r="DC80" s="12">
        <f t="shared" si="145"/>
        <v>0</v>
      </c>
      <c r="DD80" s="32">
        <f t="shared" si="146"/>
        <v>0</v>
      </c>
      <c r="DE80" s="12"/>
      <c r="DF80" s="12">
        <f t="shared" si="147"/>
        <v>0</v>
      </c>
      <c r="DG80" s="32">
        <f t="shared" si="148"/>
        <v>0</v>
      </c>
      <c r="DH80" s="12"/>
      <c r="DI80" s="12">
        <f t="shared" si="135"/>
        <v>0</v>
      </c>
      <c r="DJ80" s="32">
        <f t="shared" si="149"/>
        <v>0</v>
      </c>
      <c r="DK80" s="12"/>
      <c r="DL80" s="12">
        <f t="shared" si="150"/>
        <v>0</v>
      </c>
      <c r="DM80" s="32">
        <f t="shared" si="151"/>
        <v>0</v>
      </c>
    </row>
    <row r="81" spans="1:117" s="6" customFormat="1" ht="22.25" customHeight="1" x14ac:dyDescent="0.35">
      <c r="A81" s="4">
        <v>74</v>
      </c>
      <c r="B81" s="4" t="s">
        <v>194</v>
      </c>
      <c r="C81" s="4" t="s">
        <v>195</v>
      </c>
      <c r="D81" s="7">
        <f t="shared" si="136"/>
        <v>5.416666666666667</v>
      </c>
      <c r="E81" s="7">
        <f>65/(4*3)</f>
        <v>5.416666666666667</v>
      </c>
      <c r="F81" s="7">
        <v>1</v>
      </c>
      <c r="G81" s="7">
        <v>1</v>
      </c>
      <c r="H81" s="7">
        <f t="shared" si="137"/>
        <v>0.8125</v>
      </c>
      <c r="I81" s="9">
        <f t="shared" si="138"/>
        <v>6.229166666666667</v>
      </c>
      <c r="J81" s="13"/>
      <c r="K81" s="12">
        <f t="shared" si="78"/>
        <v>0</v>
      </c>
      <c r="L81" s="32">
        <f t="shared" si="79"/>
        <v>0</v>
      </c>
      <c r="M81" s="12"/>
      <c r="N81" s="12">
        <f t="shared" si="80"/>
        <v>0</v>
      </c>
      <c r="O81" s="32">
        <f t="shared" si="81"/>
        <v>0</v>
      </c>
      <c r="P81" s="12"/>
      <c r="Q81" s="12">
        <f t="shared" si="152"/>
        <v>0</v>
      </c>
      <c r="R81" s="32">
        <f t="shared" si="82"/>
        <v>0</v>
      </c>
      <c r="S81" s="12"/>
      <c r="T81" s="12">
        <f t="shared" si="83"/>
        <v>0</v>
      </c>
      <c r="U81" s="32">
        <f t="shared" si="84"/>
        <v>0</v>
      </c>
      <c r="V81" s="12"/>
      <c r="W81" s="12">
        <f t="shared" si="85"/>
        <v>0</v>
      </c>
      <c r="X81" s="32">
        <f t="shared" si="86"/>
        <v>0</v>
      </c>
      <c r="Y81" s="12"/>
      <c r="Z81" s="12">
        <f t="shared" si="87"/>
        <v>0</v>
      </c>
      <c r="AA81" s="32">
        <f t="shared" si="88"/>
        <v>0</v>
      </c>
      <c r="AB81" s="12"/>
      <c r="AC81" s="12">
        <f t="shared" si="89"/>
        <v>0</v>
      </c>
      <c r="AD81" s="32">
        <f t="shared" si="90"/>
        <v>0</v>
      </c>
      <c r="AE81" s="12"/>
      <c r="AF81" s="37">
        <f t="shared" si="91"/>
        <v>0</v>
      </c>
      <c r="AG81" s="14">
        <f t="shared" si="92"/>
        <v>0</v>
      </c>
      <c r="AH81" s="12"/>
      <c r="AI81" s="12">
        <f t="shared" si="93"/>
        <v>0</v>
      </c>
      <c r="AJ81" s="32">
        <f t="shared" si="94"/>
        <v>0</v>
      </c>
      <c r="AK81" s="12"/>
      <c r="AL81" s="12">
        <f t="shared" si="95"/>
        <v>0</v>
      </c>
      <c r="AM81" s="32">
        <f t="shared" si="96"/>
        <v>0</v>
      </c>
      <c r="AN81" s="12">
        <v>0.05</v>
      </c>
      <c r="AO81" s="12">
        <f t="shared" si="97"/>
        <v>0.27083333333333337</v>
      </c>
      <c r="AP81" s="32">
        <f t="shared" si="98"/>
        <v>6.6214534943970046E-2</v>
      </c>
      <c r="AQ81" s="12"/>
      <c r="AR81" s="12">
        <f t="shared" si="99"/>
        <v>0</v>
      </c>
      <c r="AS81" s="32">
        <f t="shared" si="100"/>
        <v>0</v>
      </c>
      <c r="AT81" s="12"/>
      <c r="AU81" s="12">
        <f t="shared" si="101"/>
        <v>0</v>
      </c>
      <c r="AV81" s="32">
        <f t="shared" si="102"/>
        <v>0</v>
      </c>
      <c r="AW81" s="12"/>
      <c r="AX81" s="12">
        <f t="shared" si="103"/>
        <v>0</v>
      </c>
      <c r="AY81" s="32">
        <f t="shared" si="104"/>
        <v>0</v>
      </c>
      <c r="AZ81" s="12"/>
      <c r="BA81" s="12">
        <f t="shared" si="105"/>
        <v>0</v>
      </c>
      <c r="BB81" s="32">
        <f t="shared" si="106"/>
        <v>0</v>
      </c>
      <c r="BC81" s="12"/>
      <c r="BD81" s="12">
        <f t="shared" si="107"/>
        <v>0</v>
      </c>
      <c r="BE81" s="32">
        <f t="shared" si="108"/>
        <v>0</v>
      </c>
      <c r="BF81" s="12">
        <v>0.01</v>
      </c>
      <c r="BG81" s="12">
        <f t="shared" si="109"/>
        <v>5.4166666666666669E-2</v>
      </c>
      <c r="BH81" s="32">
        <f t="shared" si="110"/>
        <v>1.773817587512275E-2</v>
      </c>
      <c r="BI81" s="12"/>
      <c r="BJ81" s="12">
        <f t="shared" si="111"/>
        <v>0</v>
      </c>
      <c r="BK81" s="32">
        <f t="shared" si="112"/>
        <v>0</v>
      </c>
      <c r="BL81" s="12"/>
      <c r="BM81" s="12">
        <f t="shared" si="113"/>
        <v>0</v>
      </c>
      <c r="BN81" s="32">
        <f t="shared" si="114"/>
        <v>0</v>
      </c>
      <c r="BO81" s="12"/>
      <c r="BP81" s="12">
        <f t="shared" si="115"/>
        <v>0</v>
      </c>
      <c r="BQ81" s="32">
        <f t="shared" si="116"/>
        <v>0</v>
      </c>
      <c r="BR81" s="12"/>
      <c r="BS81" s="12">
        <f t="shared" si="117"/>
        <v>0</v>
      </c>
      <c r="BT81" s="32">
        <f t="shared" si="118"/>
        <v>0</v>
      </c>
      <c r="BU81" s="12"/>
      <c r="BV81" s="12">
        <f t="shared" si="119"/>
        <v>0</v>
      </c>
      <c r="BW81" s="32">
        <f t="shared" si="120"/>
        <v>0</v>
      </c>
      <c r="BX81" s="12"/>
      <c r="BY81" s="12">
        <f t="shared" si="121"/>
        <v>0</v>
      </c>
      <c r="BZ81" s="32">
        <f t="shared" si="122"/>
        <v>0</v>
      </c>
      <c r="CA81" s="12"/>
      <c r="CB81" s="12">
        <f t="shared" si="123"/>
        <v>0</v>
      </c>
      <c r="CC81" s="32">
        <f t="shared" si="124"/>
        <v>0</v>
      </c>
      <c r="CD81" s="12"/>
      <c r="CE81" s="12">
        <f t="shared" si="125"/>
        <v>0</v>
      </c>
      <c r="CF81" s="32">
        <f t="shared" si="126"/>
        <v>0</v>
      </c>
      <c r="CG81" s="12"/>
      <c r="CH81" s="12">
        <f t="shared" si="127"/>
        <v>0</v>
      </c>
      <c r="CI81" s="32">
        <f t="shared" si="128"/>
        <v>0</v>
      </c>
      <c r="CJ81" s="12"/>
      <c r="CK81" s="12">
        <f t="shared" si="129"/>
        <v>0</v>
      </c>
      <c r="CL81" s="32">
        <f t="shared" si="130"/>
        <v>0</v>
      </c>
      <c r="CM81" s="12"/>
      <c r="CN81" s="12">
        <f t="shared" si="131"/>
        <v>0</v>
      </c>
      <c r="CO81" s="32">
        <f t="shared" si="132"/>
        <v>0</v>
      </c>
      <c r="CP81" s="12"/>
      <c r="CQ81" s="12">
        <f t="shared" si="133"/>
        <v>0</v>
      </c>
      <c r="CR81" s="32">
        <f t="shared" si="134"/>
        <v>0</v>
      </c>
      <c r="CS81" s="12"/>
      <c r="CT81" s="12">
        <f t="shared" si="139"/>
        <v>0</v>
      </c>
      <c r="CU81" s="32">
        <f t="shared" si="140"/>
        <v>0</v>
      </c>
      <c r="CV81" s="12"/>
      <c r="CW81" s="12">
        <f t="shared" si="141"/>
        <v>0</v>
      </c>
      <c r="CX81" s="32">
        <f t="shared" si="142"/>
        <v>0</v>
      </c>
      <c r="CY81" s="12"/>
      <c r="CZ81" s="12">
        <f t="shared" si="143"/>
        <v>0</v>
      </c>
      <c r="DA81" s="32">
        <f t="shared" si="144"/>
        <v>0</v>
      </c>
      <c r="DB81" s="12">
        <v>0.02</v>
      </c>
      <c r="DC81" s="12">
        <f t="shared" si="145"/>
        <v>0</v>
      </c>
      <c r="DD81" s="32">
        <f t="shared" si="146"/>
        <v>0</v>
      </c>
      <c r="DE81" s="12">
        <f>0.3/50</f>
        <v>6.0000000000000001E-3</v>
      </c>
      <c r="DF81" s="12">
        <f t="shared" si="147"/>
        <v>3.2500000000000001E-2</v>
      </c>
      <c r="DG81" s="32">
        <f t="shared" si="148"/>
        <v>0.19161382574233413</v>
      </c>
      <c r="DH81" s="12"/>
      <c r="DI81" s="12">
        <f t="shared" si="135"/>
        <v>0</v>
      </c>
      <c r="DJ81" s="32">
        <f t="shared" si="149"/>
        <v>0</v>
      </c>
      <c r="DK81" s="12"/>
      <c r="DL81" s="12">
        <f t="shared" si="150"/>
        <v>0</v>
      </c>
      <c r="DM81" s="32">
        <f t="shared" si="151"/>
        <v>0</v>
      </c>
    </row>
    <row r="82" spans="1:117" s="6" customFormat="1" ht="22.25" customHeight="1" x14ac:dyDescent="0.35">
      <c r="A82" s="4">
        <v>75</v>
      </c>
      <c r="B82" s="4" t="s">
        <v>196</v>
      </c>
      <c r="C82" s="4" t="s">
        <v>197</v>
      </c>
      <c r="D82" s="7">
        <f t="shared" si="136"/>
        <v>52.5</v>
      </c>
      <c r="E82" s="7">
        <v>42</v>
      </c>
      <c r="F82" s="7">
        <v>1</v>
      </c>
      <c r="G82" s="7">
        <v>0.8</v>
      </c>
      <c r="H82" s="7">
        <f t="shared" si="137"/>
        <v>7.875</v>
      </c>
      <c r="I82" s="9">
        <f t="shared" si="138"/>
        <v>60.375</v>
      </c>
      <c r="J82" s="13"/>
      <c r="K82" s="12">
        <f t="shared" si="78"/>
        <v>0</v>
      </c>
      <c r="L82" s="32">
        <f t="shared" si="79"/>
        <v>0</v>
      </c>
      <c r="M82" s="12"/>
      <c r="N82" s="12">
        <f t="shared" si="80"/>
        <v>0</v>
      </c>
      <c r="O82" s="32">
        <f t="shared" si="81"/>
        <v>0</v>
      </c>
      <c r="P82" s="12"/>
      <c r="Q82" s="12">
        <f t="shared" si="152"/>
        <v>0</v>
      </c>
      <c r="R82" s="32">
        <f t="shared" si="82"/>
        <v>0</v>
      </c>
      <c r="S82" s="12"/>
      <c r="T82" s="12">
        <f t="shared" si="83"/>
        <v>0</v>
      </c>
      <c r="U82" s="32">
        <f t="shared" si="84"/>
        <v>0</v>
      </c>
      <c r="V82" s="12"/>
      <c r="W82" s="12">
        <f t="shared" si="85"/>
        <v>0</v>
      </c>
      <c r="X82" s="32">
        <f t="shared" si="86"/>
        <v>0</v>
      </c>
      <c r="Y82" s="12"/>
      <c r="Z82" s="12">
        <f t="shared" si="87"/>
        <v>0</v>
      </c>
      <c r="AA82" s="32">
        <f t="shared" si="88"/>
        <v>0</v>
      </c>
      <c r="AB82" s="12"/>
      <c r="AC82" s="12">
        <f t="shared" si="89"/>
        <v>0</v>
      </c>
      <c r="AD82" s="32">
        <f t="shared" si="90"/>
        <v>0</v>
      </c>
      <c r="AE82" s="12"/>
      <c r="AF82" s="37">
        <f t="shared" si="91"/>
        <v>0</v>
      </c>
      <c r="AG82" s="14">
        <f t="shared" si="92"/>
        <v>0</v>
      </c>
      <c r="AH82" s="12"/>
      <c r="AI82" s="12">
        <f t="shared" si="93"/>
        <v>0</v>
      </c>
      <c r="AJ82" s="32">
        <f t="shared" si="94"/>
        <v>0</v>
      </c>
      <c r="AK82" s="12"/>
      <c r="AL82" s="12">
        <f t="shared" si="95"/>
        <v>0</v>
      </c>
      <c r="AM82" s="32">
        <f t="shared" si="96"/>
        <v>0</v>
      </c>
      <c r="AN82" s="12"/>
      <c r="AO82" s="12">
        <f t="shared" si="97"/>
        <v>0</v>
      </c>
      <c r="AP82" s="32">
        <f t="shared" si="98"/>
        <v>0</v>
      </c>
      <c r="AQ82" s="12"/>
      <c r="AR82" s="12">
        <f t="shared" si="99"/>
        <v>0</v>
      </c>
      <c r="AS82" s="32">
        <f t="shared" si="100"/>
        <v>0</v>
      </c>
      <c r="AT82" s="12"/>
      <c r="AU82" s="12">
        <f t="shared" si="101"/>
        <v>0</v>
      </c>
      <c r="AV82" s="32">
        <f t="shared" si="102"/>
        <v>0</v>
      </c>
      <c r="AW82" s="12"/>
      <c r="AX82" s="12">
        <f t="shared" si="103"/>
        <v>0</v>
      </c>
      <c r="AY82" s="32">
        <f t="shared" si="104"/>
        <v>0</v>
      </c>
      <c r="AZ82" s="12"/>
      <c r="BA82" s="12">
        <f t="shared" si="105"/>
        <v>0</v>
      </c>
      <c r="BB82" s="32">
        <f t="shared" si="106"/>
        <v>0</v>
      </c>
      <c r="BC82" s="12"/>
      <c r="BD82" s="12">
        <f t="shared" si="107"/>
        <v>0</v>
      </c>
      <c r="BE82" s="32">
        <f t="shared" si="108"/>
        <v>0</v>
      </c>
      <c r="BF82" s="12"/>
      <c r="BG82" s="12">
        <f t="shared" si="109"/>
        <v>0</v>
      </c>
      <c r="BH82" s="32">
        <f t="shared" si="110"/>
        <v>0</v>
      </c>
      <c r="BI82" s="12"/>
      <c r="BJ82" s="12">
        <f t="shared" si="111"/>
        <v>0</v>
      </c>
      <c r="BK82" s="32">
        <f t="shared" si="112"/>
        <v>0</v>
      </c>
      <c r="BL82" s="12"/>
      <c r="BM82" s="12">
        <f t="shared" si="113"/>
        <v>0</v>
      </c>
      <c r="BN82" s="32">
        <f t="shared" si="114"/>
        <v>0</v>
      </c>
      <c r="BO82" s="12"/>
      <c r="BP82" s="12">
        <f t="shared" si="115"/>
        <v>0</v>
      </c>
      <c r="BQ82" s="32">
        <f t="shared" si="116"/>
        <v>0</v>
      </c>
      <c r="BR82" s="12"/>
      <c r="BS82" s="12">
        <f t="shared" si="117"/>
        <v>0</v>
      </c>
      <c r="BT82" s="32">
        <f t="shared" si="118"/>
        <v>0</v>
      </c>
      <c r="BU82" s="12"/>
      <c r="BV82" s="12">
        <f t="shared" si="119"/>
        <v>0</v>
      </c>
      <c r="BW82" s="32">
        <f t="shared" si="120"/>
        <v>0</v>
      </c>
      <c r="BX82" s="12"/>
      <c r="BY82" s="12">
        <f t="shared" si="121"/>
        <v>0</v>
      </c>
      <c r="BZ82" s="32">
        <f t="shared" si="122"/>
        <v>0</v>
      </c>
      <c r="CA82" s="12"/>
      <c r="CB82" s="12">
        <f t="shared" si="123"/>
        <v>0</v>
      </c>
      <c r="CC82" s="32">
        <f t="shared" si="124"/>
        <v>0</v>
      </c>
      <c r="CD82" s="12"/>
      <c r="CE82" s="12">
        <f t="shared" si="125"/>
        <v>0</v>
      </c>
      <c r="CF82" s="32">
        <f t="shared" si="126"/>
        <v>0</v>
      </c>
      <c r="CG82" s="12"/>
      <c r="CH82" s="12">
        <f t="shared" si="127"/>
        <v>0</v>
      </c>
      <c r="CI82" s="32">
        <f t="shared" si="128"/>
        <v>0</v>
      </c>
      <c r="CJ82" s="12"/>
      <c r="CK82" s="12">
        <f t="shared" si="129"/>
        <v>0</v>
      </c>
      <c r="CL82" s="32">
        <f t="shared" si="130"/>
        <v>0</v>
      </c>
      <c r="CM82" s="12"/>
      <c r="CN82" s="12">
        <f t="shared" si="131"/>
        <v>0</v>
      </c>
      <c r="CO82" s="32">
        <f t="shared" si="132"/>
        <v>0</v>
      </c>
      <c r="CP82" s="12"/>
      <c r="CQ82" s="12">
        <f t="shared" si="133"/>
        <v>0</v>
      </c>
      <c r="CR82" s="32">
        <f t="shared" si="134"/>
        <v>0</v>
      </c>
      <c r="CS82" s="12"/>
      <c r="CT82" s="12">
        <f t="shared" si="139"/>
        <v>0</v>
      </c>
      <c r="CU82" s="32">
        <f t="shared" si="140"/>
        <v>0</v>
      </c>
      <c r="CV82" s="12"/>
      <c r="CW82" s="12">
        <f t="shared" si="141"/>
        <v>0</v>
      </c>
      <c r="CX82" s="32">
        <f t="shared" si="142"/>
        <v>0</v>
      </c>
      <c r="CY82" s="12"/>
      <c r="CZ82" s="12">
        <f t="shared" si="143"/>
        <v>0</v>
      </c>
      <c r="DA82" s="32">
        <f t="shared" si="144"/>
        <v>0</v>
      </c>
      <c r="DB82" s="12"/>
      <c r="DC82" s="12">
        <f t="shared" si="145"/>
        <v>0</v>
      </c>
      <c r="DD82" s="32">
        <f t="shared" si="146"/>
        <v>0</v>
      </c>
      <c r="DE82" s="12"/>
      <c r="DF82" s="12">
        <f t="shared" si="147"/>
        <v>0</v>
      </c>
      <c r="DG82" s="32">
        <f t="shared" si="148"/>
        <v>0</v>
      </c>
      <c r="DH82" s="12"/>
      <c r="DI82" s="12">
        <f t="shared" si="135"/>
        <v>0</v>
      </c>
      <c r="DJ82" s="32">
        <f t="shared" si="149"/>
        <v>0</v>
      </c>
      <c r="DK82" s="12"/>
      <c r="DL82" s="12">
        <f t="shared" si="150"/>
        <v>0</v>
      </c>
      <c r="DM82" s="32">
        <f t="shared" si="151"/>
        <v>0</v>
      </c>
    </row>
    <row r="83" spans="1:117" s="6" customFormat="1" ht="22.25" customHeight="1" x14ac:dyDescent="0.35">
      <c r="A83" s="4">
        <v>76</v>
      </c>
      <c r="B83" s="4" t="s">
        <v>198</v>
      </c>
      <c r="C83" s="4" t="s">
        <v>199</v>
      </c>
      <c r="D83" s="7">
        <f t="shared" si="136"/>
        <v>84</v>
      </c>
      <c r="E83" s="7">
        <f>84</f>
        <v>84</v>
      </c>
      <c r="F83" s="7">
        <v>1</v>
      </c>
      <c r="G83" s="7">
        <v>1</v>
      </c>
      <c r="H83" s="7">
        <f t="shared" si="137"/>
        <v>12.6</v>
      </c>
      <c r="I83" s="9">
        <f t="shared" si="138"/>
        <v>96.6</v>
      </c>
      <c r="J83" s="13"/>
      <c r="K83" s="12">
        <f t="shared" si="78"/>
        <v>0</v>
      </c>
      <c r="L83" s="32">
        <f t="shared" si="79"/>
        <v>0</v>
      </c>
      <c r="M83" s="12"/>
      <c r="N83" s="12">
        <f t="shared" si="80"/>
        <v>0</v>
      </c>
      <c r="O83" s="32">
        <f t="shared" si="81"/>
        <v>0</v>
      </c>
      <c r="P83" s="12"/>
      <c r="Q83" s="12">
        <f t="shared" si="152"/>
        <v>0</v>
      </c>
      <c r="R83" s="32">
        <f t="shared" si="82"/>
        <v>0</v>
      </c>
      <c r="S83" s="12"/>
      <c r="T83" s="12">
        <f t="shared" si="83"/>
        <v>0</v>
      </c>
      <c r="U83" s="32">
        <f t="shared" si="84"/>
        <v>0</v>
      </c>
      <c r="V83" s="12"/>
      <c r="W83" s="12">
        <f t="shared" si="85"/>
        <v>0</v>
      </c>
      <c r="X83" s="32">
        <f t="shared" si="86"/>
        <v>0</v>
      </c>
      <c r="Y83" s="12"/>
      <c r="Z83" s="12">
        <f t="shared" si="87"/>
        <v>0</v>
      </c>
      <c r="AA83" s="32">
        <f t="shared" si="88"/>
        <v>0</v>
      </c>
      <c r="AB83" s="12"/>
      <c r="AC83" s="12">
        <f t="shared" si="89"/>
        <v>0</v>
      </c>
      <c r="AD83" s="32">
        <f t="shared" si="90"/>
        <v>0</v>
      </c>
      <c r="AE83" s="12"/>
      <c r="AF83" s="37">
        <f t="shared" si="91"/>
        <v>0</v>
      </c>
      <c r="AG83" s="14">
        <f t="shared" si="92"/>
        <v>0</v>
      </c>
      <c r="AH83" s="12"/>
      <c r="AI83" s="12">
        <f t="shared" si="93"/>
        <v>0</v>
      </c>
      <c r="AJ83" s="32">
        <f t="shared" si="94"/>
        <v>0</v>
      </c>
      <c r="AK83" s="12"/>
      <c r="AL83" s="12">
        <f t="shared" si="95"/>
        <v>0</v>
      </c>
      <c r="AM83" s="32">
        <f t="shared" si="96"/>
        <v>0</v>
      </c>
      <c r="AN83" s="12"/>
      <c r="AO83" s="12">
        <f t="shared" si="97"/>
        <v>0</v>
      </c>
      <c r="AP83" s="32">
        <f t="shared" si="98"/>
        <v>0</v>
      </c>
      <c r="AQ83" s="12"/>
      <c r="AR83" s="12">
        <f t="shared" si="99"/>
        <v>0</v>
      </c>
      <c r="AS83" s="32">
        <f t="shared" si="100"/>
        <v>0</v>
      </c>
      <c r="AT83" s="12"/>
      <c r="AU83" s="12">
        <f t="shared" si="101"/>
        <v>0</v>
      </c>
      <c r="AV83" s="32">
        <f t="shared" si="102"/>
        <v>0</v>
      </c>
      <c r="AW83" s="12"/>
      <c r="AX83" s="12">
        <f t="shared" si="103"/>
        <v>0</v>
      </c>
      <c r="AY83" s="32">
        <f t="shared" si="104"/>
        <v>0</v>
      </c>
      <c r="AZ83" s="12"/>
      <c r="BA83" s="12">
        <f t="shared" si="105"/>
        <v>0</v>
      </c>
      <c r="BB83" s="32">
        <f t="shared" si="106"/>
        <v>0</v>
      </c>
      <c r="BC83" s="12"/>
      <c r="BD83" s="12">
        <f t="shared" si="107"/>
        <v>0</v>
      </c>
      <c r="BE83" s="32">
        <f t="shared" si="108"/>
        <v>0</v>
      </c>
      <c r="BF83" s="12"/>
      <c r="BG83" s="12">
        <f t="shared" si="109"/>
        <v>0</v>
      </c>
      <c r="BH83" s="32">
        <f t="shared" si="110"/>
        <v>0</v>
      </c>
      <c r="BI83" s="12"/>
      <c r="BJ83" s="12">
        <f t="shared" si="111"/>
        <v>0</v>
      </c>
      <c r="BK83" s="32">
        <f t="shared" si="112"/>
        <v>0</v>
      </c>
      <c r="BL83" s="12"/>
      <c r="BM83" s="12">
        <f t="shared" si="113"/>
        <v>0</v>
      </c>
      <c r="BN83" s="32">
        <f t="shared" si="114"/>
        <v>0</v>
      </c>
      <c r="BO83" s="12"/>
      <c r="BP83" s="12">
        <f t="shared" si="115"/>
        <v>0</v>
      </c>
      <c r="BQ83" s="32">
        <f t="shared" si="116"/>
        <v>0</v>
      </c>
      <c r="BR83" s="12"/>
      <c r="BS83" s="12">
        <f t="shared" si="117"/>
        <v>0</v>
      </c>
      <c r="BT83" s="32">
        <f t="shared" si="118"/>
        <v>0</v>
      </c>
      <c r="BU83" s="12"/>
      <c r="BV83" s="12">
        <f t="shared" si="119"/>
        <v>0</v>
      </c>
      <c r="BW83" s="32">
        <f t="shared" si="120"/>
        <v>0</v>
      </c>
      <c r="BX83" s="12"/>
      <c r="BY83" s="12">
        <f t="shared" si="121"/>
        <v>0</v>
      </c>
      <c r="BZ83" s="32">
        <f t="shared" si="122"/>
        <v>0</v>
      </c>
      <c r="CA83" s="12"/>
      <c r="CB83" s="12">
        <f t="shared" si="123"/>
        <v>0</v>
      </c>
      <c r="CC83" s="32">
        <f t="shared" si="124"/>
        <v>0</v>
      </c>
      <c r="CD83" s="12"/>
      <c r="CE83" s="12">
        <f t="shared" si="125"/>
        <v>0</v>
      </c>
      <c r="CF83" s="32">
        <f t="shared" si="126"/>
        <v>0</v>
      </c>
      <c r="CG83" s="12"/>
      <c r="CH83" s="12">
        <f t="shared" si="127"/>
        <v>0</v>
      </c>
      <c r="CI83" s="32">
        <f t="shared" si="128"/>
        <v>0</v>
      </c>
      <c r="CJ83" s="12"/>
      <c r="CK83" s="12">
        <f t="shared" si="129"/>
        <v>0</v>
      </c>
      <c r="CL83" s="32">
        <f t="shared" si="130"/>
        <v>0</v>
      </c>
      <c r="CM83" s="12"/>
      <c r="CN83" s="12">
        <f t="shared" si="131"/>
        <v>0</v>
      </c>
      <c r="CO83" s="32">
        <f t="shared" si="132"/>
        <v>0</v>
      </c>
      <c r="CP83" s="12"/>
      <c r="CQ83" s="12">
        <f t="shared" si="133"/>
        <v>0</v>
      </c>
      <c r="CR83" s="32">
        <f t="shared" si="134"/>
        <v>0</v>
      </c>
      <c r="CS83" s="12"/>
      <c r="CT83" s="12">
        <f t="shared" si="139"/>
        <v>0</v>
      </c>
      <c r="CU83" s="32">
        <f t="shared" si="140"/>
        <v>0</v>
      </c>
      <c r="CV83" s="12"/>
      <c r="CW83" s="12">
        <f t="shared" si="141"/>
        <v>0</v>
      </c>
      <c r="CX83" s="32">
        <f t="shared" si="142"/>
        <v>0</v>
      </c>
      <c r="CY83" s="12"/>
      <c r="CZ83" s="12">
        <f t="shared" si="143"/>
        <v>0</v>
      </c>
      <c r="DA83" s="32">
        <f t="shared" si="144"/>
        <v>0</v>
      </c>
      <c r="DB83" s="12"/>
      <c r="DC83" s="12">
        <f t="shared" si="145"/>
        <v>0</v>
      </c>
      <c r="DD83" s="32">
        <f t="shared" si="146"/>
        <v>0</v>
      </c>
      <c r="DE83" s="12"/>
      <c r="DF83" s="12">
        <f t="shared" si="147"/>
        <v>0</v>
      </c>
      <c r="DG83" s="32">
        <f t="shared" si="148"/>
        <v>0</v>
      </c>
      <c r="DH83" s="12"/>
      <c r="DI83" s="12">
        <f t="shared" si="135"/>
        <v>0</v>
      </c>
      <c r="DJ83" s="32">
        <f t="shared" si="149"/>
        <v>0</v>
      </c>
      <c r="DK83" s="12"/>
      <c r="DL83" s="12">
        <f t="shared" si="150"/>
        <v>0</v>
      </c>
      <c r="DM83" s="32">
        <f t="shared" si="151"/>
        <v>0</v>
      </c>
    </row>
    <row r="84" spans="1:117" s="6" customFormat="1" ht="22.25" customHeight="1" x14ac:dyDescent="0.35">
      <c r="A84" s="4">
        <v>77</v>
      </c>
      <c r="B84" s="4" t="s">
        <v>200</v>
      </c>
      <c r="C84" s="4" t="s">
        <v>201</v>
      </c>
      <c r="D84" s="7">
        <f t="shared" si="136"/>
        <v>13.6</v>
      </c>
      <c r="E84" s="7">
        <f>136/10</f>
        <v>13.6</v>
      </c>
      <c r="F84" s="7">
        <v>1</v>
      </c>
      <c r="G84" s="7">
        <v>1</v>
      </c>
      <c r="H84" s="7">
        <f t="shared" si="137"/>
        <v>2.04</v>
      </c>
      <c r="I84" s="9">
        <f t="shared" si="138"/>
        <v>15.64</v>
      </c>
      <c r="J84" s="13">
        <v>0.01</v>
      </c>
      <c r="K84" s="12">
        <f t="shared" si="78"/>
        <v>0.13600000000000001</v>
      </c>
      <c r="L84" s="32">
        <f t="shared" si="79"/>
        <v>1.4031561523273424E-2</v>
      </c>
      <c r="M84" s="12"/>
      <c r="N84" s="12">
        <f t="shared" si="80"/>
        <v>0</v>
      </c>
      <c r="O84" s="32">
        <f t="shared" si="81"/>
        <v>0</v>
      </c>
      <c r="P84" s="12">
        <v>5.0000000000000001E-3</v>
      </c>
      <c r="Q84" s="12">
        <f t="shared" si="152"/>
        <v>6.8000000000000005E-2</v>
      </c>
      <c r="R84" s="32">
        <f t="shared" si="82"/>
        <v>1.629692039259522E-2</v>
      </c>
      <c r="S84" s="12"/>
      <c r="T84" s="12">
        <f t="shared" si="83"/>
        <v>0</v>
      </c>
      <c r="U84" s="32">
        <f t="shared" si="84"/>
        <v>0</v>
      </c>
      <c r="V84" s="12"/>
      <c r="W84" s="12">
        <f t="shared" si="85"/>
        <v>0</v>
      </c>
      <c r="X84" s="32">
        <f t="shared" si="86"/>
        <v>0</v>
      </c>
      <c r="Y84" s="12">
        <v>0.01</v>
      </c>
      <c r="Z84" s="12">
        <f t="shared" si="87"/>
        <v>0.13600000000000001</v>
      </c>
      <c r="AA84" s="32">
        <f t="shared" si="88"/>
        <v>3.1658522751326391E-2</v>
      </c>
      <c r="AB84" s="12"/>
      <c r="AC84" s="12">
        <f t="shared" si="89"/>
        <v>0</v>
      </c>
      <c r="AD84" s="32">
        <f t="shared" si="90"/>
        <v>0</v>
      </c>
      <c r="AE84" s="12">
        <v>0.01</v>
      </c>
      <c r="AF84" s="37">
        <f t="shared" si="91"/>
        <v>0.13600000000000001</v>
      </c>
      <c r="AG84" s="14">
        <f t="shared" si="92"/>
        <v>4.726768491974586E-2</v>
      </c>
      <c r="AH84" s="12"/>
      <c r="AI84" s="12">
        <f t="shared" si="93"/>
        <v>0</v>
      </c>
      <c r="AJ84" s="32">
        <f t="shared" si="94"/>
        <v>0</v>
      </c>
      <c r="AK84" s="12"/>
      <c r="AL84" s="12">
        <f t="shared" si="95"/>
        <v>0</v>
      </c>
      <c r="AM84" s="32">
        <f t="shared" si="96"/>
        <v>0</v>
      </c>
      <c r="AN84" s="12">
        <v>0.01</v>
      </c>
      <c r="AO84" s="12">
        <f t="shared" si="97"/>
        <v>0.13600000000000001</v>
      </c>
      <c r="AP84" s="32">
        <f t="shared" si="98"/>
        <v>3.3249883393402797E-2</v>
      </c>
      <c r="AQ84" s="12"/>
      <c r="AR84" s="12">
        <f t="shared" si="99"/>
        <v>0</v>
      </c>
      <c r="AS84" s="32">
        <f t="shared" si="100"/>
        <v>0</v>
      </c>
      <c r="AT84" s="12">
        <v>1.2E-2</v>
      </c>
      <c r="AU84" s="12">
        <f t="shared" si="101"/>
        <v>0.16320000000000001</v>
      </c>
      <c r="AV84" s="32">
        <f t="shared" si="102"/>
        <v>0.12063054851192688</v>
      </c>
      <c r="AW84" s="12">
        <v>1.2500000000000001E-2</v>
      </c>
      <c r="AX84" s="12">
        <f t="shared" si="103"/>
        <v>0.17</v>
      </c>
      <c r="AY84" s="32">
        <f t="shared" si="104"/>
        <v>7.7656663972496071E-2</v>
      </c>
      <c r="AZ84" s="12">
        <v>2.5000000000000001E-2</v>
      </c>
      <c r="BA84" s="12">
        <f t="shared" si="105"/>
        <v>0.34</v>
      </c>
      <c r="BB84" s="32">
        <f t="shared" si="106"/>
        <v>8.6482819624002047E-2</v>
      </c>
      <c r="BC84" s="12">
        <v>0.01</v>
      </c>
      <c r="BD84" s="12">
        <f t="shared" si="107"/>
        <v>0.13600000000000001</v>
      </c>
      <c r="BE84" s="32">
        <f t="shared" si="108"/>
        <v>9.4188048187306556E-2</v>
      </c>
      <c r="BF84" s="12">
        <v>0.01</v>
      </c>
      <c r="BG84" s="12">
        <f t="shared" si="109"/>
        <v>0.13600000000000001</v>
      </c>
      <c r="BH84" s="32">
        <f t="shared" si="110"/>
        <v>4.4536466197231277E-2</v>
      </c>
      <c r="BI84" s="12"/>
      <c r="BJ84" s="12">
        <f t="shared" si="111"/>
        <v>0</v>
      </c>
      <c r="BK84" s="32">
        <f t="shared" si="112"/>
        <v>0</v>
      </c>
      <c r="BL84" s="12"/>
      <c r="BM84" s="12">
        <f t="shared" si="113"/>
        <v>0</v>
      </c>
      <c r="BN84" s="32">
        <f t="shared" si="114"/>
        <v>0</v>
      </c>
      <c r="BO84" s="12"/>
      <c r="BP84" s="12">
        <f t="shared" si="115"/>
        <v>0</v>
      </c>
      <c r="BQ84" s="32">
        <f t="shared" si="116"/>
        <v>0</v>
      </c>
      <c r="BR84" s="12"/>
      <c r="BS84" s="12">
        <f t="shared" si="117"/>
        <v>0</v>
      </c>
      <c r="BT84" s="32">
        <f t="shared" si="118"/>
        <v>0</v>
      </c>
      <c r="BU84" s="12"/>
      <c r="BV84" s="12">
        <f t="shared" si="119"/>
        <v>0</v>
      </c>
      <c r="BW84" s="32">
        <f t="shared" si="120"/>
        <v>0</v>
      </c>
      <c r="BX84" s="12">
        <v>0.01</v>
      </c>
      <c r="BY84" s="12">
        <f t="shared" si="121"/>
        <v>0.13600000000000001</v>
      </c>
      <c r="BZ84" s="32">
        <f t="shared" si="122"/>
        <v>7.2899311169513981E-2</v>
      </c>
      <c r="CA84" s="12">
        <v>0.01</v>
      </c>
      <c r="CB84" s="12">
        <f t="shared" si="123"/>
        <v>0.13600000000000001</v>
      </c>
      <c r="CC84" s="32">
        <f t="shared" si="124"/>
        <v>3.7915512461990174E-2</v>
      </c>
      <c r="CD84" s="12"/>
      <c r="CE84" s="12">
        <f t="shared" si="125"/>
        <v>0</v>
      </c>
      <c r="CF84" s="32">
        <f t="shared" si="126"/>
        <v>0</v>
      </c>
      <c r="CG84" s="12"/>
      <c r="CH84" s="12">
        <f t="shared" si="127"/>
        <v>0</v>
      </c>
      <c r="CI84" s="32">
        <f t="shared" si="128"/>
        <v>0</v>
      </c>
      <c r="CJ84" s="12"/>
      <c r="CK84" s="12">
        <f t="shared" si="129"/>
        <v>0</v>
      </c>
      <c r="CL84" s="32">
        <f t="shared" si="130"/>
        <v>0</v>
      </c>
      <c r="CM84" s="12"/>
      <c r="CN84" s="12">
        <f t="shared" si="131"/>
        <v>0</v>
      </c>
      <c r="CO84" s="32">
        <f t="shared" si="132"/>
        <v>0</v>
      </c>
      <c r="CP84" s="12"/>
      <c r="CQ84" s="12">
        <f t="shared" si="133"/>
        <v>0</v>
      </c>
      <c r="CR84" s="32">
        <f t="shared" si="134"/>
        <v>0</v>
      </c>
      <c r="CS84" s="12">
        <v>0.06</v>
      </c>
      <c r="CT84" s="12">
        <f>CS84*D84</f>
        <v>0.81599999999999995</v>
      </c>
      <c r="CU84" s="32">
        <f t="shared" si="140"/>
        <v>4.8109809786382964</v>
      </c>
      <c r="CV84" s="12">
        <v>0.3</v>
      </c>
      <c r="CW84" s="12">
        <f t="shared" si="141"/>
        <v>4.08</v>
      </c>
      <c r="CX84" s="32">
        <f t="shared" si="142"/>
        <v>24.054904893191484</v>
      </c>
      <c r="CY84" s="12">
        <v>0.05</v>
      </c>
      <c r="CZ84" s="12">
        <f>CY84*D84</f>
        <v>0.68</v>
      </c>
      <c r="DA84" s="32">
        <f t="shared" si="144"/>
        <v>4.009150815531914</v>
      </c>
      <c r="DB84" s="12">
        <v>0.05</v>
      </c>
      <c r="DC84" s="12">
        <f t="shared" si="145"/>
        <v>2.5000000000000001E-4</v>
      </c>
      <c r="DD84" s="32">
        <f t="shared" si="146"/>
        <v>1.4739525057102625E-3</v>
      </c>
      <c r="DE84" s="12">
        <f>0.5/50</f>
        <v>0.01</v>
      </c>
      <c r="DF84" s="12">
        <f t="shared" si="147"/>
        <v>0.13600000000000001</v>
      </c>
      <c r="DG84" s="32">
        <f t="shared" si="148"/>
        <v>0.80183016310638278</v>
      </c>
      <c r="DH84" s="12"/>
      <c r="DI84" s="12">
        <f t="shared" si="135"/>
        <v>0</v>
      </c>
      <c r="DJ84" s="32">
        <f t="shared" si="149"/>
        <v>0</v>
      </c>
      <c r="DK84" s="12">
        <v>0.02</v>
      </c>
      <c r="DL84" s="12">
        <f t="shared" si="150"/>
        <v>0.27200000000000002</v>
      </c>
      <c r="DM84" s="32">
        <f t="shared" si="151"/>
        <v>1.6036603262127656</v>
      </c>
    </row>
    <row r="85" spans="1:117" s="6" customFormat="1" ht="22.25" customHeight="1" x14ac:dyDescent="0.35">
      <c r="A85" s="4">
        <v>78</v>
      </c>
      <c r="B85" s="4" t="s">
        <v>202</v>
      </c>
      <c r="C85" s="4" t="s">
        <v>203</v>
      </c>
      <c r="D85" s="7">
        <f t="shared" si="136"/>
        <v>1.6666666666666665</v>
      </c>
      <c r="E85" s="7">
        <f>15/10</f>
        <v>1.5</v>
      </c>
      <c r="F85" s="7">
        <v>1</v>
      </c>
      <c r="G85" s="7">
        <v>0.9</v>
      </c>
      <c r="H85" s="7">
        <f t="shared" si="137"/>
        <v>0.24999999999999997</v>
      </c>
      <c r="I85" s="9">
        <f t="shared" si="138"/>
        <v>1.9166666666666665</v>
      </c>
      <c r="J85" s="13"/>
      <c r="K85" s="12">
        <f t="shared" si="78"/>
        <v>0</v>
      </c>
      <c r="L85" s="32">
        <f t="shared" si="79"/>
        <v>0</v>
      </c>
      <c r="M85" s="12"/>
      <c r="N85" s="12">
        <f t="shared" si="80"/>
        <v>0</v>
      </c>
      <c r="O85" s="32">
        <f t="shared" si="81"/>
        <v>0</v>
      </c>
      <c r="P85" s="12"/>
      <c r="Q85" s="12">
        <f t="shared" si="152"/>
        <v>0</v>
      </c>
      <c r="R85" s="32">
        <f t="shared" si="82"/>
        <v>0</v>
      </c>
      <c r="S85" s="12"/>
      <c r="T85" s="12">
        <f t="shared" si="83"/>
        <v>0</v>
      </c>
      <c r="U85" s="32">
        <f t="shared" si="84"/>
        <v>0</v>
      </c>
      <c r="V85" s="12"/>
      <c r="W85" s="12">
        <f t="shared" si="85"/>
        <v>0</v>
      </c>
      <c r="X85" s="32">
        <f t="shared" si="86"/>
        <v>0</v>
      </c>
      <c r="Y85" s="12">
        <v>0.02</v>
      </c>
      <c r="Z85" s="12">
        <f t="shared" si="87"/>
        <v>3.3333333333333333E-2</v>
      </c>
      <c r="AA85" s="32">
        <f t="shared" si="88"/>
        <v>7.7594418508152921E-3</v>
      </c>
      <c r="AB85" s="12"/>
      <c r="AC85" s="12">
        <f t="shared" si="89"/>
        <v>0</v>
      </c>
      <c r="AD85" s="32">
        <f t="shared" si="90"/>
        <v>0</v>
      </c>
      <c r="AE85" s="12"/>
      <c r="AF85" s="37">
        <f t="shared" si="91"/>
        <v>0</v>
      </c>
      <c r="AG85" s="14">
        <f t="shared" si="92"/>
        <v>0</v>
      </c>
      <c r="AH85" s="12"/>
      <c r="AI85" s="12">
        <f t="shared" si="93"/>
        <v>0</v>
      </c>
      <c r="AJ85" s="32">
        <f t="shared" si="94"/>
        <v>0</v>
      </c>
      <c r="AK85" s="12"/>
      <c r="AL85" s="12">
        <f t="shared" si="95"/>
        <v>0</v>
      </c>
      <c r="AM85" s="32">
        <f t="shared" si="96"/>
        <v>0</v>
      </c>
      <c r="AN85" s="12"/>
      <c r="AO85" s="12">
        <f t="shared" si="97"/>
        <v>0</v>
      </c>
      <c r="AP85" s="32">
        <f t="shared" si="98"/>
        <v>0</v>
      </c>
      <c r="AQ85" s="12"/>
      <c r="AR85" s="12">
        <f t="shared" si="99"/>
        <v>0</v>
      </c>
      <c r="AS85" s="32">
        <f t="shared" si="100"/>
        <v>0</v>
      </c>
      <c r="AT85" s="12"/>
      <c r="AU85" s="12">
        <f t="shared" si="101"/>
        <v>0</v>
      </c>
      <c r="AV85" s="32">
        <f t="shared" si="102"/>
        <v>0</v>
      </c>
      <c r="AW85" s="12"/>
      <c r="AX85" s="12">
        <f t="shared" si="103"/>
        <v>0</v>
      </c>
      <c r="AY85" s="32">
        <f t="shared" si="104"/>
        <v>0</v>
      </c>
      <c r="AZ85" s="12"/>
      <c r="BA85" s="12">
        <f t="shared" si="105"/>
        <v>0</v>
      </c>
      <c r="BB85" s="32">
        <f t="shared" si="106"/>
        <v>0</v>
      </c>
      <c r="BC85" s="12"/>
      <c r="BD85" s="12">
        <f t="shared" si="107"/>
        <v>0</v>
      </c>
      <c r="BE85" s="32">
        <f t="shared" si="108"/>
        <v>0</v>
      </c>
      <c r="BF85" s="12"/>
      <c r="BG85" s="12">
        <f t="shared" si="109"/>
        <v>0</v>
      </c>
      <c r="BH85" s="32">
        <f t="shared" si="110"/>
        <v>0</v>
      </c>
      <c r="BI85" s="12"/>
      <c r="BJ85" s="12">
        <f t="shared" si="111"/>
        <v>0</v>
      </c>
      <c r="BK85" s="32">
        <f t="shared" si="112"/>
        <v>0</v>
      </c>
      <c r="BL85" s="12"/>
      <c r="BM85" s="12">
        <f t="shared" si="113"/>
        <v>0</v>
      </c>
      <c r="BN85" s="32">
        <f t="shared" si="114"/>
        <v>0</v>
      </c>
      <c r="BO85" s="12"/>
      <c r="BP85" s="12">
        <f t="shared" si="115"/>
        <v>0</v>
      </c>
      <c r="BQ85" s="32">
        <f t="shared" si="116"/>
        <v>0</v>
      </c>
      <c r="BR85" s="12"/>
      <c r="BS85" s="12">
        <f t="shared" si="117"/>
        <v>0</v>
      </c>
      <c r="BT85" s="32">
        <f t="shared" si="118"/>
        <v>0</v>
      </c>
      <c r="BU85" s="12"/>
      <c r="BV85" s="12">
        <f t="shared" si="119"/>
        <v>0</v>
      </c>
      <c r="BW85" s="32">
        <f t="shared" si="120"/>
        <v>0</v>
      </c>
      <c r="BX85" s="12"/>
      <c r="BY85" s="12">
        <f t="shared" si="121"/>
        <v>0</v>
      </c>
      <c r="BZ85" s="32">
        <f t="shared" si="122"/>
        <v>0</v>
      </c>
      <c r="CA85" s="12"/>
      <c r="CB85" s="12">
        <f t="shared" si="123"/>
        <v>0</v>
      </c>
      <c r="CC85" s="32">
        <f t="shared" si="124"/>
        <v>0</v>
      </c>
      <c r="CD85" s="12"/>
      <c r="CE85" s="12">
        <f t="shared" si="125"/>
        <v>0</v>
      </c>
      <c r="CF85" s="32">
        <f t="shared" si="126"/>
        <v>0</v>
      </c>
      <c r="CG85" s="12"/>
      <c r="CH85" s="12">
        <f t="shared" si="127"/>
        <v>0</v>
      </c>
      <c r="CI85" s="32">
        <f t="shared" si="128"/>
        <v>0</v>
      </c>
      <c r="CJ85" s="12"/>
      <c r="CK85" s="12">
        <f t="shared" si="129"/>
        <v>0</v>
      </c>
      <c r="CL85" s="32">
        <f t="shared" si="130"/>
        <v>0</v>
      </c>
      <c r="CM85" s="12"/>
      <c r="CN85" s="12">
        <f t="shared" si="131"/>
        <v>0</v>
      </c>
      <c r="CO85" s="32">
        <f t="shared" si="132"/>
        <v>0</v>
      </c>
      <c r="CP85" s="12"/>
      <c r="CQ85" s="12">
        <f t="shared" si="133"/>
        <v>0</v>
      </c>
      <c r="CR85" s="32">
        <f t="shared" si="134"/>
        <v>0</v>
      </c>
      <c r="CS85" s="12"/>
      <c r="CT85" s="12">
        <f t="shared" si="139"/>
        <v>0</v>
      </c>
      <c r="CU85" s="32">
        <f t="shared" si="140"/>
        <v>0</v>
      </c>
      <c r="CV85" s="12"/>
      <c r="CW85" s="12">
        <f t="shared" si="141"/>
        <v>0</v>
      </c>
      <c r="CX85" s="32">
        <f t="shared" si="142"/>
        <v>0</v>
      </c>
      <c r="CY85" s="12"/>
      <c r="CZ85" s="12">
        <f t="shared" si="143"/>
        <v>0</v>
      </c>
      <c r="DA85" s="32">
        <f t="shared" si="144"/>
        <v>0</v>
      </c>
      <c r="DB85" s="12"/>
      <c r="DC85" s="12">
        <f t="shared" si="145"/>
        <v>0</v>
      </c>
      <c r="DD85" s="32">
        <f t="shared" si="146"/>
        <v>0</v>
      </c>
      <c r="DE85" s="12"/>
      <c r="DF85" s="12">
        <f t="shared" si="147"/>
        <v>0</v>
      </c>
      <c r="DG85" s="32">
        <f t="shared" si="148"/>
        <v>0</v>
      </c>
      <c r="DH85" s="12"/>
      <c r="DI85" s="12">
        <f t="shared" si="135"/>
        <v>0</v>
      </c>
      <c r="DJ85" s="32">
        <f t="shared" si="149"/>
        <v>0</v>
      </c>
      <c r="DK85" s="12"/>
      <c r="DL85" s="12">
        <f t="shared" si="150"/>
        <v>0</v>
      </c>
      <c r="DM85" s="32">
        <f t="shared" si="151"/>
        <v>0</v>
      </c>
    </row>
    <row r="86" spans="1:117" s="6" customFormat="1" ht="22.25" customHeight="1" x14ac:dyDescent="0.35">
      <c r="A86" s="4">
        <v>79</v>
      </c>
      <c r="B86" s="4" t="s">
        <v>204</v>
      </c>
      <c r="C86" s="4" t="s">
        <v>205</v>
      </c>
      <c r="D86" s="7">
        <f t="shared" si="136"/>
        <v>1.5789473684210527</v>
      </c>
      <c r="E86" s="7">
        <f>15/10</f>
        <v>1.5</v>
      </c>
      <c r="F86" s="7">
        <v>1</v>
      </c>
      <c r="G86" s="7">
        <v>0.95</v>
      </c>
      <c r="H86" s="7">
        <f t="shared" si="137"/>
        <v>0.23684210526315788</v>
      </c>
      <c r="I86" s="9">
        <f t="shared" si="138"/>
        <v>1.8157894736842106</v>
      </c>
      <c r="J86" s="13"/>
      <c r="K86" s="12">
        <f t="shared" si="78"/>
        <v>0</v>
      </c>
      <c r="L86" s="32">
        <f t="shared" si="79"/>
        <v>0</v>
      </c>
      <c r="M86" s="12"/>
      <c r="N86" s="12">
        <f t="shared" si="80"/>
        <v>0</v>
      </c>
      <c r="O86" s="32">
        <f t="shared" si="81"/>
        <v>0</v>
      </c>
      <c r="P86" s="12"/>
      <c r="Q86" s="12">
        <f t="shared" si="152"/>
        <v>0</v>
      </c>
      <c r="R86" s="32">
        <f t="shared" si="82"/>
        <v>0</v>
      </c>
      <c r="S86" s="12">
        <v>5.0000000000000001E-3</v>
      </c>
      <c r="T86" s="12">
        <f t="shared" si="83"/>
        <v>7.8947368421052634E-3</v>
      </c>
      <c r="U86" s="32">
        <f t="shared" si="84"/>
        <v>1.5683092714270058E-3</v>
      </c>
      <c r="V86" s="12">
        <v>0.02</v>
      </c>
      <c r="W86" s="12">
        <f t="shared" si="85"/>
        <v>3.1578947368421054E-2</v>
      </c>
      <c r="X86" s="32">
        <f t="shared" si="86"/>
        <v>4.7603204461156776E-3</v>
      </c>
      <c r="Y86" s="12"/>
      <c r="Z86" s="12">
        <f t="shared" si="87"/>
        <v>0</v>
      </c>
      <c r="AA86" s="32">
        <f t="shared" si="88"/>
        <v>0</v>
      </c>
      <c r="AB86" s="12">
        <v>0.01</v>
      </c>
      <c r="AC86" s="12">
        <f t="shared" si="89"/>
        <v>1.5789473684210527E-2</v>
      </c>
      <c r="AD86" s="32">
        <f t="shared" si="90"/>
        <v>4.2802434218613431E-3</v>
      </c>
      <c r="AE86" s="12"/>
      <c r="AF86" s="37">
        <f t="shared" si="91"/>
        <v>0</v>
      </c>
      <c r="AG86" s="14">
        <f t="shared" si="92"/>
        <v>0</v>
      </c>
      <c r="AH86" s="12">
        <v>0.01</v>
      </c>
      <c r="AI86" s="12">
        <f t="shared" si="93"/>
        <v>1.5789473684210527E-2</v>
      </c>
      <c r="AJ86" s="32">
        <f t="shared" si="94"/>
        <v>1.3881056113666404E-2</v>
      </c>
      <c r="AK86" s="12">
        <v>0.01</v>
      </c>
      <c r="AL86" s="12">
        <f t="shared" si="95"/>
        <v>1.5789473684210527E-2</v>
      </c>
      <c r="AM86" s="32">
        <f t="shared" si="96"/>
        <v>6.4399021313762215E-3</v>
      </c>
      <c r="AN86" s="12">
        <v>0.1</v>
      </c>
      <c r="AO86" s="12">
        <f t="shared" si="97"/>
        <v>0.15789473684210528</v>
      </c>
      <c r="AP86" s="32">
        <f t="shared" si="98"/>
        <v>3.8602805797294276E-2</v>
      </c>
      <c r="AQ86" s="12"/>
      <c r="AR86" s="12">
        <f t="shared" si="99"/>
        <v>0</v>
      </c>
      <c r="AS86" s="32">
        <f t="shared" si="100"/>
        <v>0</v>
      </c>
      <c r="AT86" s="12">
        <v>0.04</v>
      </c>
      <c r="AU86" s="12">
        <f t="shared" si="101"/>
        <v>6.3157894736842107E-2</v>
      </c>
      <c r="AV86" s="32">
        <f t="shared" si="102"/>
        <v>4.668364880492526E-2</v>
      </c>
      <c r="AW86" s="12"/>
      <c r="AX86" s="12">
        <f t="shared" si="103"/>
        <v>0</v>
      </c>
      <c r="AY86" s="32">
        <f t="shared" si="104"/>
        <v>0</v>
      </c>
      <c r="AZ86" s="12"/>
      <c r="BA86" s="12">
        <f t="shared" si="105"/>
        <v>0</v>
      </c>
      <c r="BB86" s="32">
        <f t="shared" si="106"/>
        <v>0</v>
      </c>
      <c r="BC86" s="12"/>
      <c r="BD86" s="12">
        <f t="shared" si="107"/>
        <v>0</v>
      </c>
      <c r="BE86" s="32">
        <f t="shared" si="108"/>
        <v>0</v>
      </c>
      <c r="BF86" s="12"/>
      <c r="BG86" s="12">
        <f t="shared" si="109"/>
        <v>0</v>
      </c>
      <c r="BH86" s="32">
        <f t="shared" si="110"/>
        <v>0</v>
      </c>
      <c r="BI86" s="12">
        <v>0.1</v>
      </c>
      <c r="BJ86" s="12">
        <f t="shared" si="111"/>
        <v>0.15789473684210528</v>
      </c>
      <c r="BK86" s="32">
        <f t="shared" si="112"/>
        <v>4.5824473285697574E-2</v>
      </c>
      <c r="BL86" s="12"/>
      <c r="BM86" s="12">
        <f t="shared" si="113"/>
        <v>0</v>
      </c>
      <c r="BN86" s="32">
        <f t="shared" si="114"/>
        <v>0</v>
      </c>
      <c r="BO86" s="12">
        <v>4.0000000000000001E-3</v>
      </c>
      <c r="BP86" s="12">
        <f t="shared" si="115"/>
        <v>6.3157894736842104E-3</v>
      </c>
      <c r="BQ86" s="32">
        <f t="shared" si="116"/>
        <v>2.74917036911186E-3</v>
      </c>
      <c r="BR86" s="12"/>
      <c r="BS86" s="12">
        <f t="shared" si="117"/>
        <v>0</v>
      </c>
      <c r="BT86" s="32">
        <f t="shared" si="118"/>
        <v>0</v>
      </c>
      <c r="BU86" s="12"/>
      <c r="BV86" s="12">
        <f t="shared" si="119"/>
        <v>0</v>
      </c>
      <c r="BW86" s="32">
        <f t="shared" si="120"/>
        <v>0</v>
      </c>
      <c r="BX86" s="12"/>
      <c r="BY86" s="12">
        <f t="shared" si="121"/>
        <v>0</v>
      </c>
      <c r="BZ86" s="32">
        <f t="shared" si="122"/>
        <v>0</v>
      </c>
      <c r="CA86" s="12"/>
      <c r="CB86" s="12">
        <f t="shared" si="123"/>
        <v>0</v>
      </c>
      <c r="CC86" s="32">
        <f t="shared" si="124"/>
        <v>0</v>
      </c>
      <c r="CD86" s="12"/>
      <c r="CE86" s="12">
        <f t="shared" si="125"/>
        <v>0</v>
      </c>
      <c r="CF86" s="32">
        <f t="shared" si="126"/>
        <v>0</v>
      </c>
      <c r="CG86" s="12"/>
      <c r="CH86" s="12">
        <f t="shared" si="127"/>
        <v>0</v>
      </c>
      <c r="CI86" s="32">
        <f t="shared" si="128"/>
        <v>0</v>
      </c>
      <c r="CJ86" s="12"/>
      <c r="CK86" s="12">
        <f t="shared" si="129"/>
        <v>0</v>
      </c>
      <c r="CL86" s="32">
        <f t="shared" si="130"/>
        <v>0</v>
      </c>
      <c r="CM86" s="12"/>
      <c r="CN86" s="12">
        <f t="shared" si="131"/>
        <v>0</v>
      </c>
      <c r="CO86" s="32">
        <f t="shared" si="132"/>
        <v>0</v>
      </c>
      <c r="CP86" s="12"/>
      <c r="CQ86" s="12">
        <f t="shared" si="133"/>
        <v>0</v>
      </c>
      <c r="CR86" s="32">
        <f t="shared" si="134"/>
        <v>0</v>
      </c>
      <c r="CS86" s="12"/>
      <c r="CT86" s="12">
        <f t="shared" si="139"/>
        <v>0</v>
      </c>
      <c r="CU86" s="32">
        <f t="shared" si="140"/>
        <v>0</v>
      </c>
      <c r="CV86" s="12"/>
      <c r="CW86" s="12">
        <f t="shared" si="141"/>
        <v>0</v>
      </c>
      <c r="CX86" s="32">
        <f t="shared" si="142"/>
        <v>0</v>
      </c>
      <c r="CY86" s="12"/>
      <c r="CZ86" s="12">
        <f t="shared" si="143"/>
        <v>0</v>
      </c>
      <c r="DA86" s="32">
        <f t="shared" si="144"/>
        <v>0</v>
      </c>
      <c r="DB86" s="12">
        <v>0.1</v>
      </c>
      <c r="DC86" s="12">
        <f>DB86*D86</f>
        <v>0.15789473684210528</v>
      </c>
      <c r="DD86" s="32">
        <f t="shared" si="146"/>
        <v>0.93091737202753433</v>
      </c>
      <c r="DE86" s="12"/>
      <c r="DF86" s="12">
        <f t="shared" si="147"/>
        <v>0</v>
      </c>
      <c r="DG86" s="32">
        <f t="shared" si="148"/>
        <v>0</v>
      </c>
      <c r="DH86" s="12">
        <f>0.5/15</f>
        <v>3.3333333333333333E-2</v>
      </c>
      <c r="DI86" s="12">
        <f t="shared" si="135"/>
        <v>5.2631578947368418E-2</v>
      </c>
      <c r="DJ86" s="32">
        <f t="shared" si="149"/>
        <v>0.31030579067584468</v>
      </c>
      <c r="DK86" s="12">
        <v>0.1</v>
      </c>
      <c r="DL86" s="12">
        <f t="shared" si="150"/>
        <v>0.15789473684210528</v>
      </c>
      <c r="DM86" s="32">
        <f t="shared" si="151"/>
        <v>0.93091737202753433</v>
      </c>
    </row>
    <row r="87" spans="1:117" s="6" customFormat="1" ht="22.25" customHeight="1" x14ac:dyDescent="0.35">
      <c r="A87" s="4">
        <v>80</v>
      </c>
      <c r="B87" s="4" t="s">
        <v>206</v>
      </c>
      <c r="C87" s="4" t="s">
        <v>207</v>
      </c>
      <c r="D87" s="7">
        <f t="shared" si="136"/>
        <v>44.014084507042249</v>
      </c>
      <c r="E87" s="7">
        <f>75/(12*142)*1000</f>
        <v>44.014084507042249</v>
      </c>
      <c r="F87" s="7">
        <v>1</v>
      </c>
      <c r="G87" s="7">
        <v>1</v>
      </c>
      <c r="H87" s="7">
        <f t="shared" si="137"/>
        <v>6.6021126760563371</v>
      </c>
      <c r="I87" s="9">
        <f t="shared" si="138"/>
        <v>50.616197183098585</v>
      </c>
      <c r="J87" s="13">
        <v>2E-3</v>
      </c>
      <c r="K87" s="12">
        <f t="shared" si="78"/>
        <v>8.8028169014084501E-2</v>
      </c>
      <c r="L87" s="32">
        <f t="shared" si="79"/>
        <v>9.082151980163513E-3</v>
      </c>
      <c r="M87" s="12"/>
      <c r="N87" s="12">
        <f t="shared" si="80"/>
        <v>0</v>
      </c>
      <c r="O87" s="32">
        <f t="shared" si="81"/>
        <v>0</v>
      </c>
      <c r="P87" s="12"/>
      <c r="Q87" s="12">
        <f t="shared" si="152"/>
        <v>0</v>
      </c>
      <c r="R87" s="32">
        <f t="shared" si="82"/>
        <v>0</v>
      </c>
      <c r="S87" s="12"/>
      <c r="T87" s="12">
        <f t="shared" si="83"/>
        <v>0</v>
      </c>
      <c r="U87" s="32">
        <f t="shared" si="84"/>
        <v>0</v>
      </c>
      <c r="V87" s="12"/>
      <c r="W87" s="12">
        <f t="shared" si="85"/>
        <v>0</v>
      </c>
      <c r="X87" s="32">
        <f t="shared" si="86"/>
        <v>0</v>
      </c>
      <c r="Y87" s="12">
        <v>1E-3</v>
      </c>
      <c r="Z87" s="12">
        <f t="shared" si="87"/>
        <v>4.401408450704225E-2</v>
      </c>
      <c r="AA87" s="32">
        <f t="shared" si="88"/>
        <v>1.0245741880477938E-2</v>
      </c>
      <c r="AB87" s="12"/>
      <c r="AC87" s="12">
        <f t="shared" si="89"/>
        <v>0</v>
      </c>
      <c r="AD87" s="32">
        <f t="shared" si="90"/>
        <v>0</v>
      </c>
      <c r="AE87" s="12"/>
      <c r="AF87" s="37">
        <f t="shared" si="91"/>
        <v>0</v>
      </c>
      <c r="AG87" s="14">
        <f t="shared" si="92"/>
        <v>0</v>
      </c>
      <c r="AH87" s="12"/>
      <c r="AI87" s="12">
        <f t="shared" si="93"/>
        <v>0</v>
      </c>
      <c r="AJ87" s="32">
        <f t="shared" si="94"/>
        <v>0</v>
      </c>
      <c r="AK87" s="12"/>
      <c r="AL87" s="12">
        <f t="shared" si="95"/>
        <v>0</v>
      </c>
      <c r="AM87" s="32">
        <f t="shared" si="96"/>
        <v>0</v>
      </c>
      <c r="AN87" s="12"/>
      <c r="AO87" s="12">
        <f t="shared" si="97"/>
        <v>0</v>
      </c>
      <c r="AP87" s="32">
        <f t="shared" si="98"/>
        <v>0</v>
      </c>
      <c r="AQ87" s="12"/>
      <c r="AR87" s="12">
        <f t="shared" si="99"/>
        <v>0</v>
      </c>
      <c r="AS87" s="32">
        <f t="shared" si="100"/>
        <v>0</v>
      </c>
      <c r="AT87" s="12"/>
      <c r="AU87" s="12">
        <f t="shared" si="101"/>
        <v>0</v>
      </c>
      <c r="AV87" s="32">
        <f t="shared" si="102"/>
        <v>0</v>
      </c>
      <c r="AW87" s="12"/>
      <c r="AX87" s="12">
        <f t="shared" si="103"/>
        <v>0</v>
      </c>
      <c r="AY87" s="32">
        <f t="shared" si="104"/>
        <v>0</v>
      </c>
      <c r="AZ87" s="12"/>
      <c r="BA87" s="12">
        <f t="shared" si="105"/>
        <v>0</v>
      </c>
      <c r="BB87" s="32">
        <f t="shared" si="106"/>
        <v>0</v>
      </c>
      <c r="BC87" s="12"/>
      <c r="BD87" s="12">
        <f t="shared" si="107"/>
        <v>0</v>
      </c>
      <c r="BE87" s="32">
        <f t="shared" si="108"/>
        <v>0</v>
      </c>
      <c r="BF87" s="12"/>
      <c r="BG87" s="12">
        <f t="shared" si="109"/>
        <v>0</v>
      </c>
      <c r="BH87" s="32">
        <f t="shared" si="110"/>
        <v>0</v>
      </c>
      <c r="BI87" s="12"/>
      <c r="BJ87" s="12">
        <f t="shared" si="111"/>
        <v>0</v>
      </c>
      <c r="BK87" s="32">
        <f t="shared" si="112"/>
        <v>0</v>
      </c>
      <c r="BL87" s="12"/>
      <c r="BM87" s="12">
        <f t="shared" si="113"/>
        <v>0</v>
      </c>
      <c r="BN87" s="32">
        <f t="shared" si="114"/>
        <v>0</v>
      </c>
      <c r="BO87" s="12"/>
      <c r="BP87" s="12">
        <f t="shared" si="115"/>
        <v>0</v>
      </c>
      <c r="BQ87" s="32">
        <f t="shared" si="116"/>
        <v>0</v>
      </c>
      <c r="BR87" s="12"/>
      <c r="BS87" s="12">
        <f t="shared" si="117"/>
        <v>0</v>
      </c>
      <c r="BT87" s="32">
        <f t="shared" si="118"/>
        <v>0</v>
      </c>
      <c r="BU87" s="12"/>
      <c r="BV87" s="12">
        <f t="shared" si="119"/>
        <v>0</v>
      </c>
      <c r="BW87" s="32">
        <f t="shared" si="120"/>
        <v>0</v>
      </c>
      <c r="BX87" s="12"/>
      <c r="BY87" s="12">
        <f t="shared" si="121"/>
        <v>0</v>
      </c>
      <c r="BZ87" s="32">
        <f t="shared" si="122"/>
        <v>0</v>
      </c>
      <c r="CA87" s="12"/>
      <c r="CB87" s="12">
        <f t="shared" si="123"/>
        <v>0</v>
      </c>
      <c r="CC87" s="32">
        <f t="shared" si="124"/>
        <v>0</v>
      </c>
      <c r="CD87" s="12"/>
      <c r="CE87" s="12">
        <f t="shared" si="125"/>
        <v>0</v>
      </c>
      <c r="CF87" s="32">
        <f t="shared" si="126"/>
        <v>0</v>
      </c>
      <c r="CG87" s="12"/>
      <c r="CH87" s="12">
        <f t="shared" si="127"/>
        <v>0</v>
      </c>
      <c r="CI87" s="32">
        <f t="shared" si="128"/>
        <v>0</v>
      </c>
      <c r="CJ87" s="12"/>
      <c r="CK87" s="12">
        <f t="shared" si="129"/>
        <v>0</v>
      </c>
      <c r="CL87" s="32">
        <f t="shared" si="130"/>
        <v>0</v>
      </c>
      <c r="CM87" s="12"/>
      <c r="CN87" s="12">
        <f t="shared" si="131"/>
        <v>0</v>
      </c>
      <c r="CO87" s="32">
        <f t="shared" si="132"/>
        <v>0</v>
      </c>
      <c r="CP87" s="12"/>
      <c r="CQ87" s="12">
        <f t="shared" si="133"/>
        <v>0</v>
      </c>
      <c r="CR87" s="32">
        <f t="shared" si="134"/>
        <v>0</v>
      </c>
      <c r="CS87" s="12"/>
      <c r="CT87" s="12">
        <f t="shared" si="139"/>
        <v>0</v>
      </c>
      <c r="CU87" s="32">
        <f t="shared" si="140"/>
        <v>0</v>
      </c>
      <c r="CV87" s="12"/>
      <c r="CW87" s="12">
        <f t="shared" si="141"/>
        <v>0</v>
      </c>
      <c r="CX87" s="32">
        <f t="shared" si="142"/>
        <v>0</v>
      </c>
      <c r="CY87" s="12"/>
      <c r="CZ87" s="12">
        <f t="shared" si="143"/>
        <v>0</v>
      </c>
      <c r="DA87" s="32">
        <f t="shared" si="144"/>
        <v>0</v>
      </c>
      <c r="DB87" s="12"/>
      <c r="DC87" s="12">
        <f t="shared" si="145"/>
        <v>0</v>
      </c>
      <c r="DD87" s="32">
        <f t="shared" si="146"/>
        <v>0</v>
      </c>
      <c r="DE87" s="12"/>
      <c r="DF87" s="12">
        <f t="shared" si="147"/>
        <v>0</v>
      </c>
      <c r="DG87" s="32">
        <f t="shared" si="148"/>
        <v>0</v>
      </c>
      <c r="DH87" s="12"/>
      <c r="DI87" s="12">
        <f t="shared" si="135"/>
        <v>0</v>
      </c>
      <c r="DJ87" s="32">
        <f t="shared" si="149"/>
        <v>0</v>
      </c>
      <c r="DK87" s="12"/>
      <c r="DL87" s="12">
        <f t="shared" si="150"/>
        <v>0</v>
      </c>
      <c r="DM87" s="32">
        <f t="shared" si="151"/>
        <v>0</v>
      </c>
    </row>
    <row r="88" spans="1:117" s="6" customFormat="1" ht="22.25" customHeight="1" x14ac:dyDescent="0.35">
      <c r="A88" s="4">
        <v>81</v>
      </c>
      <c r="B88" s="4" t="s">
        <v>208</v>
      </c>
      <c r="C88" s="4" t="s">
        <v>209</v>
      </c>
      <c r="D88" s="7">
        <f t="shared" si="136"/>
        <v>49.559471365638764</v>
      </c>
      <c r="E88" s="7">
        <f>135/(6*0.454)</f>
        <v>49.559471365638764</v>
      </c>
      <c r="F88" s="7">
        <v>1</v>
      </c>
      <c r="G88" s="7">
        <v>1</v>
      </c>
      <c r="H88" s="7">
        <f t="shared" si="137"/>
        <v>7.4339207048458142</v>
      </c>
      <c r="I88" s="9">
        <f t="shared" si="138"/>
        <v>56.993392070484575</v>
      </c>
      <c r="J88" s="13"/>
      <c r="K88" s="12">
        <f t="shared" si="78"/>
        <v>0</v>
      </c>
      <c r="L88" s="32">
        <f t="shared" si="79"/>
        <v>0</v>
      </c>
      <c r="M88" s="12"/>
      <c r="N88" s="12">
        <f t="shared" si="80"/>
        <v>0</v>
      </c>
      <c r="O88" s="32">
        <f t="shared" si="81"/>
        <v>0</v>
      </c>
      <c r="P88" s="12"/>
      <c r="Q88" s="12">
        <f t="shared" si="152"/>
        <v>0</v>
      </c>
      <c r="R88" s="32">
        <f t="shared" si="82"/>
        <v>0</v>
      </c>
      <c r="S88" s="12"/>
      <c r="T88" s="12">
        <f t="shared" si="83"/>
        <v>0</v>
      </c>
      <c r="U88" s="32">
        <f t="shared" si="84"/>
        <v>0</v>
      </c>
      <c r="V88" s="12"/>
      <c r="W88" s="12">
        <f t="shared" si="85"/>
        <v>0</v>
      </c>
      <c r="X88" s="32">
        <f t="shared" si="86"/>
        <v>0</v>
      </c>
      <c r="Y88" s="12"/>
      <c r="Z88" s="12">
        <f t="shared" si="87"/>
        <v>0</v>
      </c>
      <c r="AA88" s="32">
        <f t="shared" si="88"/>
        <v>0</v>
      </c>
      <c r="AB88" s="12"/>
      <c r="AC88" s="12">
        <f t="shared" si="89"/>
        <v>0</v>
      </c>
      <c r="AD88" s="32">
        <f t="shared" si="90"/>
        <v>0</v>
      </c>
      <c r="AE88" s="12"/>
      <c r="AF88" s="37">
        <f t="shared" si="91"/>
        <v>0</v>
      </c>
      <c r="AG88" s="14">
        <f t="shared" si="92"/>
        <v>0</v>
      </c>
      <c r="AH88" s="12"/>
      <c r="AI88" s="12">
        <f t="shared" si="93"/>
        <v>0</v>
      </c>
      <c r="AJ88" s="32">
        <f t="shared" si="94"/>
        <v>0</v>
      </c>
      <c r="AK88" s="12"/>
      <c r="AL88" s="12">
        <f t="shared" si="95"/>
        <v>0</v>
      </c>
      <c r="AM88" s="32">
        <f t="shared" si="96"/>
        <v>0</v>
      </c>
      <c r="AN88" s="12"/>
      <c r="AO88" s="12">
        <f t="shared" si="97"/>
        <v>0</v>
      </c>
      <c r="AP88" s="32">
        <f t="shared" si="98"/>
        <v>0</v>
      </c>
      <c r="AQ88" s="12"/>
      <c r="AR88" s="12">
        <f t="shared" si="99"/>
        <v>0</v>
      </c>
      <c r="AS88" s="32">
        <f t="shared" si="100"/>
        <v>0</v>
      </c>
      <c r="AT88" s="12"/>
      <c r="AU88" s="12">
        <f t="shared" si="101"/>
        <v>0</v>
      </c>
      <c r="AV88" s="32">
        <f t="shared" si="102"/>
        <v>0</v>
      </c>
      <c r="AW88" s="12">
        <v>6.3000000000000003E-4</v>
      </c>
      <c r="AX88" s="12">
        <f t="shared" si="103"/>
        <v>3.1222466960352423E-2</v>
      </c>
      <c r="AY88" s="32">
        <f t="shared" si="104"/>
        <v>1.4262544853720287E-2</v>
      </c>
      <c r="AZ88" s="12"/>
      <c r="BA88" s="12">
        <f t="shared" si="105"/>
        <v>0</v>
      </c>
      <c r="BB88" s="32">
        <f t="shared" si="106"/>
        <v>0</v>
      </c>
      <c r="BC88" s="12"/>
      <c r="BD88" s="12">
        <f t="shared" si="107"/>
        <v>0</v>
      </c>
      <c r="BE88" s="32">
        <f t="shared" si="108"/>
        <v>0</v>
      </c>
      <c r="BF88" s="12"/>
      <c r="BG88" s="12">
        <f t="shared" si="109"/>
        <v>0</v>
      </c>
      <c r="BH88" s="32">
        <f t="shared" si="110"/>
        <v>0</v>
      </c>
      <c r="BI88" s="12"/>
      <c r="BJ88" s="12">
        <f t="shared" si="111"/>
        <v>0</v>
      </c>
      <c r="BK88" s="32">
        <f t="shared" si="112"/>
        <v>0</v>
      </c>
      <c r="BL88" s="12"/>
      <c r="BM88" s="12">
        <f t="shared" si="113"/>
        <v>0</v>
      </c>
      <c r="BN88" s="32">
        <f t="shared" si="114"/>
        <v>0</v>
      </c>
      <c r="BO88" s="12"/>
      <c r="BP88" s="12">
        <f t="shared" si="115"/>
        <v>0</v>
      </c>
      <c r="BQ88" s="32">
        <f t="shared" si="116"/>
        <v>0</v>
      </c>
      <c r="BR88" s="12"/>
      <c r="BS88" s="12">
        <f t="shared" si="117"/>
        <v>0</v>
      </c>
      <c r="BT88" s="32">
        <f t="shared" si="118"/>
        <v>0</v>
      </c>
      <c r="BU88" s="12">
        <v>1.25E-3</v>
      </c>
      <c r="BV88" s="12">
        <f t="shared" si="119"/>
        <v>6.1949339207048454E-2</v>
      </c>
      <c r="BW88" s="32">
        <f t="shared" si="120"/>
        <v>1.847977303848217E-2</v>
      </c>
      <c r="BX88" s="12"/>
      <c r="BY88" s="12">
        <f t="shared" si="121"/>
        <v>0</v>
      </c>
      <c r="BZ88" s="32">
        <f t="shared" si="122"/>
        <v>0</v>
      </c>
      <c r="CA88" s="12">
        <v>5.0000000000000001E-3</v>
      </c>
      <c r="CB88" s="12">
        <f t="shared" si="123"/>
        <v>0.24779735682819382</v>
      </c>
      <c r="CC88" s="32">
        <f t="shared" si="124"/>
        <v>6.9083557138732404E-2</v>
      </c>
      <c r="CD88" s="12"/>
      <c r="CE88" s="12">
        <f t="shared" si="125"/>
        <v>0</v>
      </c>
      <c r="CF88" s="32">
        <f t="shared" si="126"/>
        <v>0</v>
      </c>
      <c r="CG88" s="12"/>
      <c r="CH88" s="12">
        <f t="shared" si="127"/>
        <v>0</v>
      </c>
      <c r="CI88" s="32">
        <f t="shared" si="128"/>
        <v>0</v>
      </c>
      <c r="CJ88" s="12"/>
      <c r="CK88" s="12">
        <f t="shared" si="129"/>
        <v>0</v>
      </c>
      <c r="CL88" s="32">
        <f t="shared" si="130"/>
        <v>0</v>
      </c>
      <c r="CM88" s="12"/>
      <c r="CN88" s="12">
        <f t="shared" si="131"/>
        <v>0</v>
      </c>
      <c r="CO88" s="32">
        <f t="shared" si="132"/>
        <v>0</v>
      </c>
      <c r="CP88" s="12"/>
      <c r="CQ88" s="12">
        <f t="shared" si="133"/>
        <v>0</v>
      </c>
      <c r="CR88" s="32">
        <f t="shared" si="134"/>
        <v>0</v>
      </c>
      <c r="CS88" s="12"/>
      <c r="CT88" s="12">
        <f t="shared" si="139"/>
        <v>0</v>
      </c>
      <c r="CU88" s="32">
        <f t="shared" si="140"/>
        <v>0</v>
      </c>
      <c r="CV88" s="12"/>
      <c r="CW88" s="12">
        <f t="shared" si="141"/>
        <v>0</v>
      </c>
      <c r="CX88" s="32">
        <f t="shared" si="142"/>
        <v>0</v>
      </c>
      <c r="CY88" s="12"/>
      <c r="CZ88" s="12">
        <f t="shared" si="143"/>
        <v>0</v>
      </c>
      <c r="DA88" s="32">
        <f t="shared" si="144"/>
        <v>0</v>
      </c>
      <c r="DB88" s="12"/>
      <c r="DC88" s="12">
        <f t="shared" si="145"/>
        <v>0</v>
      </c>
      <c r="DD88" s="32">
        <f t="shared" si="146"/>
        <v>0</v>
      </c>
      <c r="DE88" s="12"/>
      <c r="DF88" s="12">
        <f t="shared" si="147"/>
        <v>0</v>
      </c>
      <c r="DG88" s="32">
        <f t="shared" si="148"/>
        <v>0</v>
      </c>
      <c r="DH88" s="12"/>
      <c r="DI88" s="12">
        <f t="shared" si="135"/>
        <v>0</v>
      </c>
      <c r="DJ88" s="32">
        <f t="shared" si="149"/>
        <v>0</v>
      </c>
      <c r="DK88" s="12"/>
      <c r="DL88" s="12">
        <f t="shared" si="150"/>
        <v>0</v>
      </c>
      <c r="DM88" s="32">
        <f t="shared" si="151"/>
        <v>0</v>
      </c>
    </row>
    <row r="89" spans="1:117" s="6" customFormat="1" ht="22.25" customHeight="1" x14ac:dyDescent="0.35">
      <c r="A89" s="4">
        <v>82</v>
      </c>
      <c r="B89" s="4" t="s">
        <v>210</v>
      </c>
      <c r="C89" s="4" t="s">
        <v>211</v>
      </c>
      <c r="D89" s="7">
        <f t="shared" si="136"/>
        <v>49.559471365638764</v>
      </c>
      <c r="E89" s="7">
        <f>135/(6*0.454)</f>
        <v>49.559471365638764</v>
      </c>
      <c r="F89" s="7">
        <v>1</v>
      </c>
      <c r="G89" s="7">
        <v>1</v>
      </c>
      <c r="H89" s="7">
        <f t="shared" si="137"/>
        <v>7.4339207048458142</v>
      </c>
      <c r="I89" s="9">
        <f t="shared" si="138"/>
        <v>56.993392070484575</v>
      </c>
      <c r="J89" s="13">
        <v>5.0000000000000001E-3</v>
      </c>
      <c r="K89" s="12">
        <f t="shared" si="78"/>
        <v>0.24779735682819382</v>
      </c>
      <c r="L89" s="32">
        <f t="shared" si="79"/>
        <v>2.5566057776759847E-2</v>
      </c>
      <c r="M89" s="12"/>
      <c r="N89" s="12">
        <f t="shared" si="80"/>
        <v>0</v>
      </c>
      <c r="O89" s="32">
        <f t="shared" si="81"/>
        <v>0</v>
      </c>
      <c r="P89" s="12"/>
      <c r="Q89" s="12">
        <f t="shared" si="152"/>
        <v>0</v>
      </c>
      <c r="R89" s="32">
        <f t="shared" si="82"/>
        <v>0</v>
      </c>
      <c r="S89" s="12"/>
      <c r="T89" s="12">
        <f t="shared" si="83"/>
        <v>0</v>
      </c>
      <c r="U89" s="32">
        <f t="shared" si="84"/>
        <v>0</v>
      </c>
      <c r="V89" s="12">
        <v>1E-3</v>
      </c>
      <c r="W89" s="12">
        <f t="shared" si="85"/>
        <v>4.9559471365638763E-2</v>
      </c>
      <c r="X89" s="32">
        <f t="shared" si="86"/>
        <v>7.4707672199502643E-3</v>
      </c>
      <c r="Y89" s="12">
        <v>2E-3</v>
      </c>
      <c r="Z89" s="12">
        <f t="shared" si="87"/>
        <v>9.9118942731277526E-2</v>
      </c>
      <c r="AA89" s="32">
        <f t="shared" si="88"/>
        <v>2.3073230173129171E-2</v>
      </c>
      <c r="AB89" s="12"/>
      <c r="AC89" s="12">
        <f t="shared" si="89"/>
        <v>0</v>
      </c>
      <c r="AD89" s="32">
        <f t="shared" si="90"/>
        <v>0</v>
      </c>
      <c r="AE89" s="12"/>
      <c r="AF89" s="37">
        <f t="shared" si="91"/>
        <v>0</v>
      </c>
      <c r="AG89" s="14">
        <f t="shared" si="92"/>
        <v>0</v>
      </c>
      <c r="AH89" s="12"/>
      <c r="AI89" s="12">
        <f t="shared" si="93"/>
        <v>0</v>
      </c>
      <c r="AJ89" s="32">
        <f t="shared" si="94"/>
        <v>0</v>
      </c>
      <c r="AK89" s="12"/>
      <c r="AL89" s="12">
        <f t="shared" si="95"/>
        <v>0</v>
      </c>
      <c r="AM89" s="32">
        <f t="shared" si="96"/>
        <v>0</v>
      </c>
      <c r="AN89" s="12"/>
      <c r="AO89" s="12">
        <f t="shared" si="97"/>
        <v>0</v>
      </c>
      <c r="AP89" s="32">
        <f t="shared" si="98"/>
        <v>0</v>
      </c>
      <c r="AQ89" s="12"/>
      <c r="AR89" s="12">
        <f t="shared" si="99"/>
        <v>0</v>
      </c>
      <c r="AS89" s="32">
        <f t="shared" si="100"/>
        <v>0</v>
      </c>
      <c r="AT89" s="12"/>
      <c r="AU89" s="12">
        <f t="shared" si="101"/>
        <v>0</v>
      </c>
      <c r="AV89" s="32">
        <f t="shared" si="102"/>
        <v>0</v>
      </c>
      <c r="AW89" s="12"/>
      <c r="AX89" s="12">
        <f t="shared" si="103"/>
        <v>0</v>
      </c>
      <c r="AY89" s="32">
        <f t="shared" si="104"/>
        <v>0</v>
      </c>
      <c r="AZ89" s="12"/>
      <c r="BA89" s="12">
        <f t="shared" si="105"/>
        <v>0</v>
      </c>
      <c r="BB89" s="32">
        <f t="shared" si="106"/>
        <v>0</v>
      </c>
      <c r="BC89" s="12"/>
      <c r="BD89" s="12">
        <f t="shared" si="107"/>
        <v>0</v>
      </c>
      <c r="BE89" s="32">
        <f t="shared" si="108"/>
        <v>0</v>
      </c>
      <c r="BF89" s="12"/>
      <c r="BG89" s="12">
        <f t="shared" si="109"/>
        <v>0</v>
      </c>
      <c r="BH89" s="32">
        <f t="shared" si="110"/>
        <v>0</v>
      </c>
      <c r="BI89" s="12"/>
      <c r="BJ89" s="12">
        <f t="shared" si="111"/>
        <v>0</v>
      </c>
      <c r="BK89" s="32">
        <f t="shared" si="112"/>
        <v>0</v>
      </c>
      <c r="BL89" s="12">
        <v>2E-3</v>
      </c>
      <c r="BM89" s="12">
        <f t="shared" si="113"/>
        <v>9.9118942731277526E-2</v>
      </c>
      <c r="BN89" s="32">
        <f t="shared" si="114"/>
        <v>7.2840284590682466E-2</v>
      </c>
      <c r="BO89" s="12"/>
      <c r="BP89" s="12">
        <f t="shared" si="115"/>
        <v>0</v>
      </c>
      <c r="BQ89" s="32">
        <f t="shared" si="116"/>
        <v>0</v>
      </c>
      <c r="BR89" s="12"/>
      <c r="BS89" s="12">
        <f t="shared" si="117"/>
        <v>0</v>
      </c>
      <c r="BT89" s="32">
        <f t="shared" si="118"/>
        <v>0</v>
      </c>
      <c r="BU89" s="12"/>
      <c r="BV89" s="12">
        <f t="shared" si="119"/>
        <v>0</v>
      </c>
      <c r="BW89" s="32">
        <f t="shared" si="120"/>
        <v>0</v>
      </c>
      <c r="BX89" s="12"/>
      <c r="BY89" s="12">
        <f t="shared" si="121"/>
        <v>0</v>
      </c>
      <c r="BZ89" s="32">
        <f t="shared" si="122"/>
        <v>0</v>
      </c>
      <c r="CA89" s="12"/>
      <c r="CB89" s="12">
        <f t="shared" si="123"/>
        <v>0</v>
      </c>
      <c r="CC89" s="32">
        <f t="shared" si="124"/>
        <v>0</v>
      </c>
      <c r="CD89" s="12"/>
      <c r="CE89" s="12">
        <f t="shared" si="125"/>
        <v>0</v>
      </c>
      <c r="CF89" s="32">
        <f t="shared" si="126"/>
        <v>0</v>
      </c>
      <c r="CG89" s="12">
        <v>2.0000000000000001E-4</v>
      </c>
      <c r="CH89" s="12">
        <f t="shared" si="127"/>
        <v>9.911894273127754E-3</v>
      </c>
      <c r="CI89" s="32">
        <f t="shared" si="128"/>
        <v>4.8317910766778514E-2</v>
      </c>
      <c r="CJ89" s="12"/>
      <c r="CK89" s="12">
        <f t="shared" si="129"/>
        <v>0</v>
      </c>
      <c r="CL89" s="32">
        <f t="shared" si="130"/>
        <v>0</v>
      </c>
      <c r="CM89" s="12"/>
      <c r="CN89" s="12">
        <f t="shared" si="131"/>
        <v>0</v>
      </c>
      <c r="CO89" s="32">
        <f t="shared" si="132"/>
        <v>0</v>
      </c>
      <c r="CP89" s="12"/>
      <c r="CQ89" s="12">
        <f t="shared" si="133"/>
        <v>0</v>
      </c>
      <c r="CR89" s="32">
        <f t="shared" si="134"/>
        <v>0</v>
      </c>
      <c r="CS89" s="12"/>
      <c r="CT89" s="12">
        <f t="shared" si="139"/>
        <v>0</v>
      </c>
      <c r="CU89" s="32">
        <f t="shared" si="140"/>
        <v>0</v>
      </c>
      <c r="CV89" s="12"/>
      <c r="CW89" s="12">
        <f t="shared" si="141"/>
        <v>0</v>
      </c>
      <c r="CX89" s="32">
        <f t="shared" si="142"/>
        <v>0</v>
      </c>
      <c r="CY89" s="12"/>
      <c r="CZ89" s="12">
        <f t="shared" si="143"/>
        <v>0</v>
      </c>
      <c r="DA89" s="32">
        <f t="shared" si="144"/>
        <v>0</v>
      </c>
      <c r="DB89" s="12"/>
      <c r="DC89" s="12">
        <f t="shared" si="145"/>
        <v>0</v>
      </c>
      <c r="DD89" s="32">
        <f t="shared" si="146"/>
        <v>0</v>
      </c>
      <c r="DE89" s="12"/>
      <c r="DF89" s="12">
        <f t="shared" si="147"/>
        <v>0</v>
      </c>
      <c r="DG89" s="32">
        <f t="shared" si="148"/>
        <v>0</v>
      </c>
      <c r="DH89" s="12"/>
      <c r="DI89" s="12">
        <f t="shared" si="135"/>
        <v>0</v>
      </c>
      <c r="DJ89" s="32">
        <f t="shared" si="149"/>
        <v>0</v>
      </c>
      <c r="DK89" s="12"/>
      <c r="DL89" s="12">
        <f t="shared" si="150"/>
        <v>0</v>
      </c>
      <c r="DM89" s="32">
        <f t="shared" si="151"/>
        <v>0</v>
      </c>
    </row>
    <row r="90" spans="1:117" s="6" customFormat="1" ht="22.25" customHeight="1" x14ac:dyDescent="0.35">
      <c r="A90" s="4">
        <v>83</v>
      </c>
      <c r="B90" s="4" t="s">
        <v>212</v>
      </c>
      <c r="C90" s="4" t="s">
        <v>213</v>
      </c>
      <c r="D90" s="7">
        <f t="shared" si="136"/>
        <v>1.8115942028985508</v>
      </c>
      <c r="E90" s="7">
        <f>10/6</f>
        <v>1.6666666666666667</v>
      </c>
      <c r="F90" s="7">
        <v>1</v>
      </c>
      <c r="G90" s="7">
        <v>0.92</v>
      </c>
      <c r="H90" s="7">
        <f t="shared" si="137"/>
        <v>0.27173913043478259</v>
      </c>
      <c r="I90" s="9">
        <f t="shared" si="138"/>
        <v>2.0833333333333335</v>
      </c>
      <c r="J90" s="13"/>
      <c r="K90" s="12">
        <f t="shared" si="78"/>
        <v>0</v>
      </c>
      <c r="L90" s="32">
        <f t="shared" si="79"/>
        <v>0</v>
      </c>
      <c r="M90" s="12"/>
      <c r="N90" s="12">
        <f t="shared" si="80"/>
        <v>0</v>
      </c>
      <c r="O90" s="32">
        <f t="shared" si="81"/>
        <v>0</v>
      </c>
      <c r="P90" s="12"/>
      <c r="Q90" s="12">
        <f t="shared" si="152"/>
        <v>0</v>
      </c>
      <c r="R90" s="32">
        <f t="shared" si="82"/>
        <v>0</v>
      </c>
      <c r="S90" s="12">
        <v>2E-3</v>
      </c>
      <c r="T90" s="12">
        <f t="shared" si="83"/>
        <v>3.6231884057971015E-3</v>
      </c>
      <c r="U90" s="32">
        <f t="shared" si="84"/>
        <v>7.1975546273220074E-4</v>
      </c>
      <c r="V90" s="12"/>
      <c r="W90" s="12">
        <f t="shared" si="85"/>
        <v>0</v>
      </c>
      <c r="X90" s="32">
        <f t="shared" si="86"/>
        <v>0</v>
      </c>
      <c r="Y90" s="12"/>
      <c r="Z90" s="12">
        <f t="shared" si="87"/>
        <v>0</v>
      </c>
      <c r="AA90" s="32">
        <f t="shared" si="88"/>
        <v>0</v>
      </c>
      <c r="AB90" s="12">
        <v>3.0000000000000001E-3</v>
      </c>
      <c r="AC90" s="12">
        <f t="shared" si="89"/>
        <v>5.434782608695652E-3</v>
      </c>
      <c r="AD90" s="32">
        <f t="shared" si="90"/>
        <v>1.4732721923073463E-3</v>
      </c>
      <c r="AE90" s="12"/>
      <c r="AF90" s="37">
        <f t="shared" si="91"/>
        <v>0</v>
      </c>
      <c r="AG90" s="14">
        <f t="shared" si="92"/>
        <v>0</v>
      </c>
      <c r="AH90" s="12"/>
      <c r="AI90" s="12">
        <f t="shared" si="93"/>
        <v>0</v>
      </c>
      <c r="AJ90" s="32">
        <f t="shared" si="94"/>
        <v>0</v>
      </c>
      <c r="AK90" s="12"/>
      <c r="AL90" s="12">
        <f t="shared" si="95"/>
        <v>0</v>
      </c>
      <c r="AM90" s="32">
        <f t="shared" si="96"/>
        <v>0</v>
      </c>
      <c r="AN90" s="12">
        <v>0.05</v>
      </c>
      <c r="AO90" s="12">
        <f t="shared" si="97"/>
        <v>9.057971014492755E-2</v>
      </c>
      <c r="AP90" s="32">
        <f t="shared" si="98"/>
        <v>2.2145329412699012E-2</v>
      </c>
      <c r="AQ90" s="12"/>
      <c r="AR90" s="12">
        <f t="shared" si="99"/>
        <v>0</v>
      </c>
      <c r="AS90" s="32">
        <f t="shared" si="100"/>
        <v>0</v>
      </c>
      <c r="AT90" s="12">
        <v>0.08</v>
      </c>
      <c r="AU90" s="12">
        <f t="shared" si="101"/>
        <v>0.14492753623188406</v>
      </c>
      <c r="AV90" s="32">
        <f t="shared" si="102"/>
        <v>0.10712431489052898</v>
      </c>
      <c r="AW90" s="12"/>
      <c r="AX90" s="12">
        <f t="shared" si="103"/>
        <v>0</v>
      </c>
      <c r="AY90" s="32">
        <f t="shared" si="104"/>
        <v>0</v>
      </c>
      <c r="AZ90" s="12"/>
      <c r="BA90" s="12">
        <f t="shared" si="105"/>
        <v>0</v>
      </c>
      <c r="BB90" s="32">
        <f t="shared" si="106"/>
        <v>0</v>
      </c>
      <c r="BC90" s="12"/>
      <c r="BD90" s="12">
        <f t="shared" si="107"/>
        <v>0</v>
      </c>
      <c r="BE90" s="32">
        <f t="shared" si="108"/>
        <v>0</v>
      </c>
      <c r="BF90" s="12">
        <v>2E-3</v>
      </c>
      <c r="BG90" s="12">
        <f t="shared" si="109"/>
        <v>3.6231884057971015E-3</v>
      </c>
      <c r="BH90" s="32">
        <f t="shared" si="110"/>
        <v>1.1865000585366387E-3</v>
      </c>
      <c r="BI90" s="12"/>
      <c r="BJ90" s="12">
        <f t="shared" si="111"/>
        <v>0</v>
      </c>
      <c r="BK90" s="32">
        <f t="shared" si="112"/>
        <v>0</v>
      </c>
      <c r="BL90" s="12"/>
      <c r="BM90" s="12">
        <f t="shared" si="113"/>
        <v>0</v>
      </c>
      <c r="BN90" s="32">
        <f t="shared" si="114"/>
        <v>0</v>
      </c>
      <c r="BO90" s="12"/>
      <c r="BP90" s="12">
        <f t="shared" si="115"/>
        <v>0</v>
      </c>
      <c r="BQ90" s="32">
        <f t="shared" si="116"/>
        <v>0</v>
      </c>
      <c r="BR90" s="12"/>
      <c r="BS90" s="12">
        <f t="shared" si="117"/>
        <v>0</v>
      </c>
      <c r="BT90" s="32">
        <f t="shared" si="118"/>
        <v>0</v>
      </c>
      <c r="BU90" s="12"/>
      <c r="BV90" s="12">
        <f t="shared" si="119"/>
        <v>0</v>
      </c>
      <c r="BW90" s="32">
        <f t="shared" si="120"/>
        <v>0</v>
      </c>
      <c r="BX90" s="12">
        <v>5.0000000000000001E-3</v>
      </c>
      <c r="BY90" s="12">
        <f t="shared" si="121"/>
        <v>9.057971014492754E-3</v>
      </c>
      <c r="BZ90" s="32">
        <f t="shared" si="122"/>
        <v>4.8552929966907757E-3</v>
      </c>
      <c r="CA90" s="12"/>
      <c r="CB90" s="12">
        <f t="shared" si="123"/>
        <v>0</v>
      </c>
      <c r="CC90" s="32">
        <f t="shared" si="124"/>
        <v>0</v>
      </c>
      <c r="CD90" s="12"/>
      <c r="CE90" s="12">
        <f t="shared" si="125"/>
        <v>0</v>
      </c>
      <c r="CF90" s="32">
        <f t="shared" si="126"/>
        <v>0</v>
      </c>
      <c r="CG90" s="12"/>
      <c r="CH90" s="12">
        <f t="shared" si="127"/>
        <v>0</v>
      </c>
      <c r="CI90" s="32">
        <f t="shared" si="128"/>
        <v>0</v>
      </c>
      <c r="CJ90" s="12"/>
      <c r="CK90" s="12">
        <f t="shared" si="129"/>
        <v>0</v>
      </c>
      <c r="CL90" s="32">
        <f t="shared" si="130"/>
        <v>0</v>
      </c>
      <c r="CM90" s="12"/>
      <c r="CN90" s="12">
        <f t="shared" si="131"/>
        <v>0</v>
      </c>
      <c r="CO90" s="32">
        <f t="shared" si="132"/>
        <v>0</v>
      </c>
      <c r="CP90" s="12"/>
      <c r="CQ90" s="12">
        <f t="shared" si="133"/>
        <v>0</v>
      </c>
      <c r="CR90" s="32">
        <f t="shared" si="134"/>
        <v>0</v>
      </c>
      <c r="CS90" s="12"/>
      <c r="CT90" s="12">
        <f t="shared" si="139"/>
        <v>0</v>
      </c>
      <c r="CU90" s="32">
        <f t="shared" si="140"/>
        <v>0</v>
      </c>
      <c r="CV90" s="12"/>
      <c r="CW90" s="12">
        <f t="shared" si="141"/>
        <v>0</v>
      </c>
      <c r="CX90" s="32">
        <f t="shared" si="142"/>
        <v>0</v>
      </c>
      <c r="CY90" s="12"/>
      <c r="CZ90" s="12">
        <f t="shared" si="143"/>
        <v>0</v>
      </c>
      <c r="DA90" s="32">
        <f t="shared" si="144"/>
        <v>0</v>
      </c>
      <c r="DB90" s="12">
        <v>0.02</v>
      </c>
      <c r="DC90" s="12">
        <f t="shared" si="145"/>
        <v>0</v>
      </c>
      <c r="DD90" s="32">
        <f t="shared" si="146"/>
        <v>0</v>
      </c>
      <c r="DE90" s="12"/>
      <c r="DF90" s="12">
        <f t="shared" si="147"/>
        <v>0</v>
      </c>
      <c r="DG90" s="32">
        <f t="shared" si="148"/>
        <v>0</v>
      </c>
      <c r="DH90" s="12"/>
      <c r="DI90" s="12">
        <f t="shared" si="135"/>
        <v>0</v>
      </c>
      <c r="DJ90" s="32">
        <f t="shared" si="149"/>
        <v>0</v>
      </c>
      <c r="DK90" s="12"/>
      <c r="DL90" s="12">
        <f t="shared" si="150"/>
        <v>0</v>
      </c>
      <c r="DM90" s="32">
        <f t="shared" si="151"/>
        <v>0</v>
      </c>
    </row>
    <row r="91" spans="1:117" s="6" customFormat="1" ht="22.25" customHeight="1" x14ac:dyDescent="0.35">
      <c r="A91" s="4">
        <v>84</v>
      </c>
      <c r="B91" s="4" t="s">
        <v>214</v>
      </c>
      <c r="C91" s="4" t="s">
        <v>113</v>
      </c>
      <c r="D91" s="7">
        <f t="shared" si="136"/>
        <v>1.8115942028985508</v>
      </c>
      <c r="E91" s="7">
        <f>10/6</f>
        <v>1.6666666666666667</v>
      </c>
      <c r="F91" s="7">
        <v>1</v>
      </c>
      <c r="G91" s="7">
        <v>0.92</v>
      </c>
      <c r="H91" s="7">
        <f t="shared" si="137"/>
        <v>0.27173913043478259</v>
      </c>
      <c r="I91" s="9">
        <f t="shared" si="138"/>
        <v>2.0833333333333335</v>
      </c>
      <c r="J91" s="13"/>
      <c r="K91" s="12">
        <f t="shared" si="78"/>
        <v>0</v>
      </c>
      <c r="L91" s="32">
        <f t="shared" si="79"/>
        <v>0</v>
      </c>
      <c r="M91" s="12"/>
      <c r="N91" s="12">
        <f t="shared" si="80"/>
        <v>0</v>
      </c>
      <c r="O91" s="32">
        <f t="shared" si="81"/>
        <v>0</v>
      </c>
      <c r="P91" s="12"/>
      <c r="Q91" s="12">
        <f t="shared" si="152"/>
        <v>0</v>
      </c>
      <c r="R91" s="32">
        <f t="shared" si="82"/>
        <v>0</v>
      </c>
      <c r="S91" s="12"/>
      <c r="T91" s="12">
        <f t="shared" si="83"/>
        <v>0</v>
      </c>
      <c r="U91" s="32">
        <f t="shared" si="84"/>
        <v>0</v>
      </c>
      <c r="V91" s="12"/>
      <c r="W91" s="12">
        <f t="shared" si="85"/>
        <v>0</v>
      </c>
      <c r="X91" s="32">
        <f t="shared" si="86"/>
        <v>0</v>
      </c>
      <c r="Y91" s="12"/>
      <c r="Z91" s="12">
        <f t="shared" si="87"/>
        <v>0</v>
      </c>
      <c r="AA91" s="32">
        <f t="shared" si="88"/>
        <v>0</v>
      </c>
      <c r="AB91" s="12"/>
      <c r="AC91" s="12">
        <f t="shared" si="89"/>
        <v>0</v>
      </c>
      <c r="AD91" s="32">
        <f t="shared" si="90"/>
        <v>0</v>
      </c>
      <c r="AE91" s="12"/>
      <c r="AF91" s="37">
        <f t="shared" si="91"/>
        <v>0</v>
      </c>
      <c r="AG91" s="14">
        <f t="shared" si="92"/>
        <v>0</v>
      </c>
      <c r="AH91" s="12"/>
      <c r="AI91" s="12">
        <f t="shared" si="93"/>
        <v>0</v>
      </c>
      <c r="AJ91" s="32">
        <f t="shared" si="94"/>
        <v>0</v>
      </c>
      <c r="AK91" s="12"/>
      <c r="AL91" s="12">
        <f t="shared" si="95"/>
        <v>0</v>
      </c>
      <c r="AM91" s="32">
        <f t="shared" si="96"/>
        <v>0</v>
      </c>
      <c r="AN91" s="12"/>
      <c r="AO91" s="12">
        <f t="shared" si="97"/>
        <v>0</v>
      </c>
      <c r="AP91" s="32">
        <f t="shared" si="98"/>
        <v>0</v>
      </c>
      <c r="AQ91" s="12"/>
      <c r="AR91" s="12">
        <f t="shared" si="99"/>
        <v>0</v>
      </c>
      <c r="AS91" s="32">
        <f t="shared" si="100"/>
        <v>0</v>
      </c>
      <c r="AT91" s="12"/>
      <c r="AU91" s="12">
        <f t="shared" si="101"/>
        <v>0</v>
      </c>
      <c r="AV91" s="32">
        <f t="shared" si="102"/>
        <v>0</v>
      </c>
      <c r="AW91" s="12"/>
      <c r="AX91" s="12">
        <f t="shared" si="103"/>
        <v>0</v>
      </c>
      <c r="AY91" s="32">
        <f t="shared" si="104"/>
        <v>0</v>
      </c>
      <c r="AZ91" s="12"/>
      <c r="BA91" s="12">
        <f t="shared" si="105"/>
        <v>0</v>
      </c>
      <c r="BB91" s="32">
        <f t="shared" si="106"/>
        <v>0</v>
      </c>
      <c r="BC91" s="12"/>
      <c r="BD91" s="12">
        <f t="shared" si="107"/>
        <v>0</v>
      </c>
      <c r="BE91" s="32">
        <f t="shared" si="108"/>
        <v>0</v>
      </c>
      <c r="BF91" s="12"/>
      <c r="BG91" s="12">
        <f t="shared" si="109"/>
        <v>0</v>
      </c>
      <c r="BH91" s="32">
        <f t="shared" si="110"/>
        <v>0</v>
      </c>
      <c r="BI91" s="12"/>
      <c r="BJ91" s="12">
        <f t="shared" si="111"/>
        <v>0</v>
      </c>
      <c r="BK91" s="32">
        <f t="shared" si="112"/>
        <v>0</v>
      </c>
      <c r="BL91" s="12"/>
      <c r="BM91" s="12">
        <f t="shared" si="113"/>
        <v>0</v>
      </c>
      <c r="BN91" s="32">
        <f t="shared" si="114"/>
        <v>0</v>
      </c>
      <c r="BO91" s="12"/>
      <c r="BP91" s="12">
        <f t="shared" si="115"/>
        <v>0</v>
      </c>
      <c r="BQ91" s="32">
        <f t="shared" si="116"/>
        <v>0</v>
      </c>
      <c r="BR91" s="12"/>
      <c r="BS91" s="12">
        <f t="shared" si="117"/>
        <v>0</v>
      </c>
      <c r="BT91" s="32">
        <f t="shared" si="118"/>
        <v>0</v>
      </c>
      <c r="BU91" s="12"/>
      <c r="BV91" s="12">
        <f t="shared" si="119"/>
        <v>0</v>
      </c>
      <c r="BW91" s="32">
        <f t="shared" si="120"/>
        <v>0</v>
      </c>
      <c r="BX91" s="12"/>
      <c r="BY91" s="12">
        <f t="shared" si="121"/>
        <v>0</v>
      </c>
      <c r="BZ91" s="32">
        <f t="shared" si="122"/>
        <v>0</v>
      </c>
      <c r="CA91" s="12"/>
      <c r="CB91" s="12">
        <f t="shared" si="123"/>
        <v>0</v>
      </c>
      <c r="CC91" s="32">
        <f t="shared" si="124"/>
        <v>0</v>
      </c>
      <c r="CD91" s="12"/>
      <c r="CE91" s="12">
        <f t="shared" si="125"/>
        <v>0</v>
      </c>
      <c r="CF91" s="32">
        <f t="shared" si="126"/>
        <v>0</v>
      </c>
      <c r="CG91" s="12"/>
      <c r="CH91" s="12">
        <f t="shared" si="127"/>
        <v>0</v>
      </c>
      <c r="CI91" s="32">
        <f t="shared" si="128"/>
        <v>0</v>
      </c>
      <c r="CJ91" s="12"/>
      <c r="CK91" s="12">
        <f t="shared" si="129"/>
        <v>0</v>
      </c>
      <c r="CL91" s="32">
        <f t="shared" si="130"/>
        <v>0</v>
      </c>
      <c r="CM91" s="12"/>
      <c r="CN91" s="12">
        <f t="shared" si="131"/>
        <v>0</v>
      </c>
      <c r="CO91" s="32">
        <f t="shared" si="132"/>
        <v>0</v>
      </c>
      <c r="CP91" s="12"/>
      <c r="CQ91" s="12">
        <f t="shared" si="133"/>
        <v>0</v>
      </c>
      <c r="CR91" s="32">
        <f t="shared" si="134"/>
        <v>0</v>
      </c>
      <c r="CS91" s="12"/>
      <c r="CT91" s="12">
        <f t="shared" si="139"/>
        <v>0</v>
      </c>
      <c r="CU91" s="32">
        <f t="shared" si="140"/>
        <v>0</v>
      </c>
      <c r="CV91" s="12"/>
      <c r="CW91" s="12">
        <f t="shared" si="141"/>
        <v>0</v>
      </c>
      <c r="CX91" s="32">
        <f t="shared" si="142"/>
        <v>0</v>
      </c>
      <c r="CY91" s="12"/>
      <c r="CZ91" s="12">
        <f t="shared" si="143"/>
        <v>0</v>
      </c>
      <c r="DA91" s="32">
        <f t="shared" si="144"/>
        <v>0</v>
      </c>
      <c r="DB91" s="12"/>
      <c r="DC91" s="12">
        <f t="shared" si="145"/>
        <v>0</v>
      </c>
      <c r="DD91" s="32">
        <f t="shared" si="146"/>
        <v>0</v>
      </c>
      <c r="DE91" s="12"/>
      <c r="DF91" s="12">
        <f t="shared" si="147"/>
        <v>0</v>
      </c>
      <c r="DG91" s="32">
        <f t="shared" si="148"/>
        <v>0</v>
      </c>
      <c r="DH91" s="12">
        <v>0.13300000000000001</v>
      </c>
      <c r="DI91" s="12">
        <f t="shared" si="135"/>
        <v>0.24094202898550726</v>
      </c>
      <c r="DJ91" s="32">
        <f t="shared" si="149"/>
        <v>1.4205484294164124</v>
      </c>
      <c r="DK91" s="12"/>
      <c r="DL91" s="12">
        <f t="shared" si="150"/>
        <v>0</v>
      </c>
      <c r="DM91" s="32">
        <f t="shared" si="151"/>
        <v>0</v>
      </c>
    </row>
    <row r="92" spans="1:117" s="6" customFormat="1" ht="22.25" customHeight="1" x14ac:dyDescent="0.35">
      <c r="A92" s="4">
        <v>85</v>
      </c>
      <c r="B92" s="4" t="s">
        <v>215</v>
      </c>
      <c r="C92" s="4" t="s">
        <v>216</v>
      </c>
      <c r="D92" s="7">
        <f t="shared" si="136"/>
        <v>12.5</v>
      </c>
      <c r="E92" s="7">
        <f>210/(4*4.2)</f>
        <v>12.5</v>
      </c>
      <c r="F92" s="7">
        <v>1</v>
      </c>
      <c r="G92" s="7">
        <v>1</v>
      </c>
      <c r="H92" s="7">
        <f t="shared" si="137"/>
        <v>1.875</v>
      </c>
      <c r="I92" s="9">
        <f t="shared" si="138"/>
        <v>14.375</v>
      </c>
      <c r="J92" s="13"/>
      <c r="K92" s="12">
        <f t="shared" si="78"/>
        <v>0</v>
      </c>
      <c r="L92" s="32">
        <f t="shared" si="79"/>
        <v>0</v>
      </c>
      <c r="M92" s="12"/>
      <c r="N92" s="12">
        <f t="shared" si="80"/>
        <v>0</v>
      </c>
      <c r="O92" s="32">
        <f t="shared" si="81"/>
        <v>0</v>
      </c>
      <c r="P92" s="12"/>
      <c r="Q92" s="12">
        <f t="shared" si="152"/>
        <v>0</v>
      </c>
      <c r="R92" s="32">
        <f t="shared" si="82"/>
        <v>0</v>
      </c>
      <c r="S92" s="12"/>
      <c r="T92" s="12">
        <f t="shared" si="83"/>
        <v>0</v>
      </c>
      <c r="U92" s="32">
        <f t="shared" si="84"/>
        <v>0</v>
      </c>
      <c r="V92" s="12"/>
      <c r="W92" s="12">
        <f t="shared" si="85"/>
        <v>0</v>
      </c>
      <c r="X92" s="32">
        <f t="shared" si="86"/>
        <v>0</v>
      </c>
      <c r="Y92" s="12"/>
      <c r="Z92" s="12">
        <f t="shared" si="87"/>
        <v>0</v>
      </c>
      <c r="AA92" s="32">
        <f t="shared" si="88"/>
        <v>0</v>
      </c>
      <c r="AB92" s="12"/>
      <c r="AC92" s="12">
        <f t="shared" si="89"/>
        <v>0</v>
      </c>
      <c r="AD92" s="32">
        <f t="shared" si="90"/>
        <v>0</v>
      </c>
      <c r="AE92" s="12"/>
      <c r="AF92" s="37">
        <f t="shared" si="91"/>
        <v>0</v>
      </c>
      <c r="AG92" s="14">
        <f t="shared" si="92"/>
        <v>0</v>
      </c>
      <c r="AH92" s="12"/>
      <c r="AI92" s="12">
        <f t="shared" si="93"/>
        <v>0</v>
      </c>
      <c r="AJ92" s="32">
        <f t="shared" si="94"/>
        <v>0</v>
      </c>
      <c r="AK92" s="12"/>
      <c r="AL92" s="12">
        <f t="shared" si="95"/>
        <v>0</v>
      </c>
      <c r="AM92" s="32">
        <f t="shared" si="96"/>
        <v>0</v>
      </c>
      <c r="AN92" s="12"/>
      <c r="AO92" s="12">
        <f t="shared" si="97"/>
        <v>0</v>
      </c>
      <c r="AP92" s="32">
        <f t="shared" si="98"/>
        <v>0</v>
      </c>
      <c r="AQ92" s="12"/>
      <c r="AR92" s="12">
        <f t="shared" si="99"/>
        <v>0</v>
      </c>
      <c r="AS92" s="32">
        <f t="shared" si="100"/>
        <v>0</v>
      </c>
      <c r="AT92" s="12"/>
      <c r="AU92" s="12">
        <f t="shared" si="101"/>
        <v>0</v>
      </c>
      <c r="AV92" s="32">
        <f t="shared" si="102"/>
        <v>0</v>
      </c>
      <c r="AW92" s="12"/>
      <c r="AX92" s="12">
        <f t="shared" si="103"/>
        <v>0</v>
      </c>
      <c r="AY92" s="32">
        <f t="shared" si="104"/>
        <v>0</v>
      </c>
      <c r="AZ92" s="12"/>
      <c r="BA92" s="12">
        <f t="shared" si="105"/>
        <v>0</v>
      </c>
      <c r="BB92" s="32">
        <f t="shared" si="106"/>
        <v>0</v>
      </c>
      <c r="BC92" s="12"/>
      <c r="BD92" s="12">
        <f t="shared" si="107"/>
        <v>0</v>
      </c>
      <c r="BE92" s="32">
        <f t="shared" si="108"/>
        <v>0</v>
      </c>
      <c r="BF92" s="12"/>
      <c r="BG92" s="12">
        <f t="shared" si="109"/>
        <v>0</v>
      </c>
      <c r="BH92" s="32">
        <f t="shared" si="110"/>
        <v>0</v>
      </c>
      <c r="BI92" s="12"/>
      <c r="BJ92" s="12">
        <f t="shared" si="111"/>
        <v>0</v>
      </c>
      <c r="BK92" s="32">
        <f t="shared" si="112"/>
        <v>0</v>
      </c>
      <c r="BL92" s="12"/>
      <c r="BM92" s="12">
        <f t="shared" si="113"/>
        <v>0</v>
      </c>
      <c r="BN92" s="32">
        <f t="shared" si="114"/>
        <v>0</v>
      </c>
      <c r="BO92" s="12"/>
      <c r="BP92" s="12">
        <f t="shared" si="115"/>
        <v>0</v>
      </c>
      <c r="BQ92" s="32">
        <f t="shared" si="116"/>
        <v>0</v>
      </c>
      <c r="BR92" s="12"/>
      <c r="BS92" s="12">
        <f t="shared" si="117"/>
        <v>0</v>
      </c>
      <c r="BT92" s="32">
        <f t="shared" si="118"/>
        <v>0</v>
      </c>
      <c r="BU92" s="12"/>
      <c r="BV92" s="12">
        <f t="shared" si="119"/>
        <v>0</v>
      </c>
      <c r="BW92" s="32">
        <f t="shared" si="120"/>
        <v>0</v>
      </c>
      <c r="BX92" s="12"/>
      <c r="BY92" s="12">
        <f t="shared" si="121"/>
        <v>0</v>
      </c>
      <c r="BZ92" s="32">
        <f t="shared" si="122"/>
        <v>0</v>
      </c>
      <c r="CA92" s="12"/>
      <c r="CB92" s="12">
        <f t="shared" si="123"/>
        <v>0</v>
      </c>
      <c r="CC92" s="32">
        <f t="shared" si="124"/>
        <v>0</v>
      </c>
      <c r="CD92" s="12"/>
      <c r="CE92" s="12">
        <f t="shared" si="125"/>
        <v>0</v>
      </c>
      <c r="CF92" s="32">
        <f t="shared" si="126"/>
        <v>0</v>
      </c>
      <c r="CG92" s="12"/>
      <c r="CH92" s="12">
        <f t="shared" si="127"/>
        <v>0</v>
      </c>
      <c r="CI92" s="32">
        <f t="shared" si="128"/>
        <v>0</v>
      </c>
      <c r="CJ92" s="12"/>
      <c r="CK92" s="12">
        <f t="shared" si="129"/>
        <v>0</v>
      </c>
      <c r="CL92" s="32">
        <f t="shared" si="130"/>
        <v>0</v>
      </c>
      <c r="CM92" s="12"/>
      <c r="CN92" s="12">
        <f t="shared" si="131"/>
        <v>0</v>
      </c>
      <c r="CO92" s="32">
        <f t="shared" si="132"/>
        <v>0</v>
      </c>
      <c r="CP92" s="12"/>
      <c r="CQ92" s="12">
        <f t="shared" si="133"/>
        <v>0</v>
      </c>
      <c r="CR92" s="32">
        <f t="shared" si="134"/>
        <v>0</v>
      </c>
      <c r="CS92" s="12"/>
      <c r="CT92" s="12">
        <f t="shared" si="139"/>
        <v>0</v>
      </c>
      <c r="CU92" s="32">
        <f t="shared" si="140"/>
        <v>0</v>
      </c>
      <c r="CV92" s="12"/>
      <c r="CW92" s="12">
        <f t="shared" si="141"/>
        <v>0</v>
      </c>
      <c r="CX92" s="32">
        <f t="shared" si="142"/>
        <v>0</v>
      </c>
      <c r="CY92" s="12"/>
      <c r="CZ92" s="12">
        <f t="shared" si="143"/>
        <v>0</v>
      </c>
      <c r="DA92" s="32">
        <f t="shared" si="144"/>
        <v>0</v>
      </c>
      <c r="DB92" s="12"/>
      <c r="DC92" s="12">
        <f t="shared" si="145"/>
        <v>0</v>
      </c>
      <c r="DD92" s="32">
        <f t="shared" si="146"/>
        <v>0</v>
      </c>
      <c r="DE92" s="12"/>
      <c r="DF92" s="12">
        <f t="shared" si="147"/>
        <v>0</v>
      </c>
      <c r="DG92" s="32">
        <f t="shared" si="148"/>
        <v>0</v>
      </c>
      <c r="DH92" s="12"/>
      <c r="DI92" s="12">
        <f t="shared" si="135"/>
        <v>0</v>
      </c>
      <c r="DJ92" s="32">
        <f t="shared" si="149"/>
        <v>0</v>
      </c>
      <c r="DK92" s="12"/>
      <c r="DL92" s="12">
        <f t="shared" si="150"/>
        <v>0</v>
      </c>
      <c r="DM92" s="32">
        <f t="shared" si="151"/>
        <v>0</v>
      </c>
    </row>
    <row r="93" spans="1:117" s="6" customFormat="1" ht="22.25" customHeight="1" x14ac:dyDescent="0.35">
      <c r="A93" s="4">
        <v>86</v>
      </c>
      <c r="B93" s="4" t="s">
        <v>217</v>
      </c>
      <c r="C93" s="4" t="s">
        <v>218</v>
      </c>
      <c r="D93" s="7">
        <f>E93/G93</f>
        <v>0.105</v>
      </c>
      <c r="E93" s="7">
        <f>0.21/2</f>
        <v>0.105</v>
      </c>
      <c r="F93" s="7">
        <v>1</v>
      </c>
      <c r="G93" s="7">
        <v>1</v>
      </c>
      <c r="H93" s="7">
        <f t="shared" si="137"/>
        <v>1.575E-2</v>
      </c>
      <c r="I93" s="9">
        <f t="shared" si="138"/>
        <v>0.12075</v>
      </c>
      <c r="J93" s="13">
        <v>1</v>
      </c>
      <c r="K93" s="12">
        <f t="shared" si="78"/>
        <v>0.105</v>
      </c>
      <c r="L93" s="32">
        <f t="shared" si="79"/>
        <v>1.0833190881939039E-2</v>
      </c>
      <c r="M93" s="12">
        <v>1</v>
      </c>
      <c r="N93" s="12">
        <f t="shared" si="80"/>
        <v>0.105</v>
      </c>
      <c r="O93" s="32">
        <f t="shared" si="81"/>
        <v>1.4059462151927885E-2</v>
      </c>
      <c r="P93" s="12">
        <v>1</v>
      </c>
      <c r="Q93" s="12">
        <f t="shared" si="152"/>
        <v>0.105</v>
      </c>
      <c r="R93" s="32">
        <f t="shared" si="82"/>
        <v>2.5164362370919086E-2</v>
      </c>
      <c r="S93" s="12">
        <v>1</v>
      </c>
      <c r="T93" s="12">
        <f t="shared" si="83"/>
        <v>0.105</v>
      </c>
      <c r="U93" s="32">
        <f t="shared" si="84"/>
        <v>2.0858513309979176E-2</v>
      </c>
      <c r="V93" s="12">
        <v>1</v>
      </c>
      <c r="W93" s="12">
        <f t="shared" si="85"/>
        <v>0.105</v>
      </c>
      <c r="X93" s="32">
        <f t="shared" si="86"/>
        <v>1.5828065483334628E-2</v>
      </c>
      <c r="Y93" s="12">
        <v>1</v>
      </c>
      <c r="Z93" s="12">
        <f t="shared" si="87"/>
        <v>0.105</v>
      </c>
      <c r="AA93" s="32">
        <f t="shared" si="88"/>
        <v>2.444224183006817E-2</v>
      </c>
      <c r="AB93" s="12">
        <v>1</v>
      </c>
      <c r="AC93" s="12">
        <f t="shared" si="89"/>
        <v>0.105</v>
      </c>
      <c r="AD93" s="32">
        <f t="shared" si="90"/>
        <v>2.846361875537793E-2</v>
      </c>
      <c r="AE93" s="12">
        <v>1</v>
      </c>
      <c r="AF93" s="37">
        <f t="shared" si="91"/>
        <v>0.105</v>
      </c>
      <c r="AG93" s="14">
        <f t="shared" si="92"/>
        <v>3.6493433210097903E-2</v>
      </c>
      <c r="AH93" s="12">
        <v>1</v>
      </c>
      <c r="AI93" s="12">
        <f t="shared" si="93"/>
        <v>0.105</v>
      </c>
      <c r="AJ93" s="32">
        <f t="shared" si="94"/>
        <v>9.2309023155881575E-2</v>
      </c>
      <c r="AK93" s="12">
        <v>1</v>
      </c>
      <c r="AL93" s="12">
        <f t="shared" si="95"/>
        <v>0.105</v>
      </c>
      <c r="AM93" s="32">
        <f t="shared" si="96"/>
        <v>4.2825349173651869E-2</v>
      </c>
      <c r="AN93" s="12">
        <v>1</v>
      </c>
      <c r="AO93" s="12">
        <f t="shared" si="97"/>
        <v>0.105</v>
      </c>
      <c r="AP93" s="32">
        <f t="shared" si="98"/>
        <v>2.5670865855200689E-2</v>
      </c>
      <c r="AQ93" s="12">
        <v>1</v>
      </c>
      <c r="AR93" s="12">
        <f t="shared" si="99"/>
        <v>0.105</v>
      </c>
      <c r="AS93" s="32">
        <f t="shared" si="100"/>
        <v>2.4045299174143411E-2</v>
      </c>
      <c r="AT93" s="12">
        <v>1</v>
      </c>
      <c r="AU93" s="12">
        <f t="shared" si="101"/>
        <v>0.105</v>
      </c>
      <c r="AV93" s="32">
        <f t="shared" si="102"/>
        <v>7.7611566138188232E-2</v>
      </c>
      <c r="AW93" s="12">
        <v>1</v>
      </c>
      <c r="AX93" s="12">
        <f t="shared" si="103"/>
        <v>0.105</v>
      </c>
      <c r="AY93" s="32">
        <f t="shared" si="104"/>
        <v>4.7964410100659334E-2</v>
      </c>
      <c r="AZ93" s="12">
        <v>1</v>
      </c>
      <c r="BA93" s="12">
        <f t="shared" si="105"/>
        <v>0.105</v>
      </c>
      <c r="BB93" s="32">
        <f t="shared" si="106"/>
        <v>2.6707929589765336E-2</v>
      </c>
      <c r="BC93" s="12">
        <v>1</v>
      </c>
      <c r="BD93" s="12">
        <f t="shared" si="107"/>
        <v>0.105</v>
      </c>
      <c r="BE93" s="32">
        <f t="shared" si="108"/>
        <v>7.2718713674023439E-2</v>
      </c>
      <c r="BF93" s="12">
        <v>1</v>
      </c>
      <c r="BG93" s="12">
        <f t="shared" si="109"/>
        <v>0.105</v>
      </c>
      <c r="BH93" s="32">
        <f t="shared" si="110"/>
        <v>3.4384771696391793E-2</v>
      </c>
      <c r="BI93" s="12">
        <v>1</v>
      </c>
      <c r="BJ93" s="12">
        <f t="shared" si="111"/>
        <v>0.105</v>
      </c>
      <c r="BK93" s="32">
        <f t="shared" si="112"/>
        <v>3.047327473498888E-2</v>
      </c>
      <c r="BL93" s="12">
        <v>1</v>
      </c>
      <c r="BM93" s="12">
        <f>BL93*D93</f>
        <v>0.105</v>
      </c>
      <c r="BN93" s="32">
        <f t="shared" si="114"/>
        <v>7.7162141476396301E-2</v>
      </c>
      <c r="BO93" s="12">
        <v>1</v>
      </c>
      <c r="BP93" s="12">
        <f>BO93*D93</f>
        <v>0.105</v>
      </c>
      <c r="BQ93" s="32">
        <f t="shared" si="116"/>
        <v>4.5704957386484675E-2</v>
      </c>
      <c r="BR93" s="12">
        <v>1</v>
      </c>
      <c r="BS93" s="12">
        <f>D93*BR93</f>
        <v>0.105</v>
      </c>
      <c r="BT93" s="32">
        <f t="shared" si="118"/>
        <v>2.89891632467889E-2</v>
      </c>
      <c r="BU93" s="12">
        <v>1</v>
      </c>
      <c r="BV93" s="12">
        <f t="shared" si="119"/>
        <v>0.105</v>
      </c>
      <c r="BW93" s="32">
        <f t="shared" si="120"/>
        <v>3.1321983315358043E-2</v>
      </c>
      <c r="BX93" s="12">
        <v>1</v>
      </c>
      <c r="BY93" s="12">
        <f t="shared" si="121"/>
        <v>0.105</v>
      </c>
      <c r="BZ93" s="32">
        <f t="shared" si="122"/>
        <v>5.6282556417639462E-2</v>
      </c>
      <c r="CA93" s="12">
        <v>1</v>
      </c>
      <c r="CB93" s="12">
        <f t="shared" si="123"/>
        <v>0.105</v>
      </c>
      <c r="CC93" s="32">
        <f t="shared" si="124"/>
        <v>2.9273005944918877E-2</v>
      </c>
      <c r="CD93" s="12"/>
      <c r="CE93" s="12">
        <f t="shared" si="125"/>
        <v>0</v>
      </c>
      <c r="CF93" s="32">
        <f t="shared" si="126"/>
        <v>0</v>
      </c>
      <c r="CG93" s="12"/>
      <c r="CH93" s="12">
        <f t="shared" si="127"/>
        <v>0</v>
      </c>
      <c r="CI93" s="32">
        <f t="shared" si="128"/>
        <v>0</v>
      </c>
      <c r="CJ93" s="12"/>
      <c r="CK93" s="12">
        <f t="shared" si="129"/>
        <v>0</v>
      </c>
      <c r="CL93" s="32">
        <f t="shared" si="130"/>
        <v>0</v>
      </c>
      <c r="CM93" s="12"/>
      <c r="CN93" s="12">
        <f t="shared" si="131"/>
        <v>0</v>
      </c>
      <c r="CO93" s="32">
        <f t="shared" si="132"/>
        <v>0</v>
      </c>
      <c r="CP93" s="12"/>
      <c r="CQ93" s="12">
        <f t="shared" si="133"/>
        <v>0</v>
      </c>
      <c r="CR93" s="32">
        <f t="shared" si="134"/>
        <v>0</v>
      </c>
      <c r="CS93" s="12"/>
      <c r="CT93" s="12">
        <f t="shared" si="139"/>
        <v>0</v>
      </c>
      <c r="CU93" s="32">
        <f t="shared" si="140"/>
        <v>0</v>
      </c>
      <c r="CV93" s="12"/>
      <c r="CW93" s="12">
        <f t="shared" si="141"/>
        <v>0</v>
      </c>
      <c r="CX93" s="32">
        <f t="shared" si="142"/>
        <v>0</v>
      </c>
      <c r="CY93" s="12"/>
      <c r="CZ93" s="12">
        <f t="shared" si="143"/>
        <v>0</v>
      </c>
      <c r="DA93" s="32">
        <f t="shared" si="144"/>
        <v>0</v>
      </c>
      <c r="DB93" s="12"/>
      <c r="DC93" s="12">
        <f t="shared" si="145"/>
        <v>0</v>
      </c>
      <c r="DD93" s="32">
        <f t="shared" si="146"/>
        <v>0</v>
      </c>
      <c r="DE93" s="12"/>
      <c r="DF93" s="12">
        <f t="shared" si="147"/>
        <v>0</v>
      </c>
      <c r="DG93" s="32">
        <f t="shared" si="148"/>
        <v>0</v>
      </c>
      <c r="DH93" s="12"/>
      <c r="DI93" s="12">
        <f t="shared" si="135"/>
        <v>0</v>
      </c>
      <c r="DJ93" s="32">
        <f t="shared" si="149"/>
        <v>0</v>
      </c>
      <c r="DK93" s="12"/>
      <c r="DL93" s="12">
        <f t="shared" si="150"/>
        <v>0</v>
      </c>
      <c r="DM93" s="32">
        <f t="shared" si="151"/>
        <v>0</v>
      </c>
    </row>
    <row r="94" spans="1:117" s="6" customFormat="1" ht="22.25" customHeight="1" x14ac:dyDescent="0.35">
      <c r="A94" s="4">
        <v>87</v>
      </c>
      <c r="B94" s="4" t="s">
        <v>219</v>
      </c>
      <c r="C94" s="4" t="s">
        <v>220</v>
      </c>
      <c r="D94" s="7">
        <f t="shared" si="136"/>
        <v>6.3157894736842106</v>
      </c>
      <c r="E94" s="7">
        <f>30/5</f>
        <v>6</v>
      </c>
      <c r="F94" s="7">
        <v>1</v>
      </c>
      <c r="G94" s="7">
        <v>0.95</v>
      </c>
      <c r="H94" s="7">
        <f t="shared" si="137"/>
        <v>0.94736842105263153</v>
      </c>
      <c r="I94" s="9">
        <f t="shared" si="138"/>
        <v>7.2631578947368425</v>
      </c>
      <c r="J94" s="13"/>
      <c r="K94" s="12">
        <f t="shared" si="78"/>
        <v>0</v>
      </c>
      <c r="L94" s="32">
        <f t="shared" si="79"/>
        <v>0</v>
      </c>
      <c r="M94" s="12"/>
      <c r="N94" s="12">
        <f t="shared" si="80"/>
        <v>0</v>
      </c>
      <c r="O94" s="32">
        <f t="shared" si="81"/>
        <v>0</v>
      </c>
      <c r="P94" s="12"/>
      <c r="Q94" s="12">
        <f t="shared" si="152"/>
        <v>0</v>
      </c>
      <c r="R94" s="32">
        <f t="shared" si="82"/>
        <v>0</v>
      </c>
      <c r="S94" s="12"/>
      <c r="T94" s="12">
        <f t="shared" si="83"/>
        <v>0</v>
      </c>
      <c r="U94" s="32">
        <f t="shared" si="84"/>
        <v>0</v>
      </c>
      <c r="V94" s="12"/>
      <c r="W94" s="12">
        <f t="shared" si="85"/>
        <v>0</v>
      </c>
      <c r="X94" s="32">
        <f t="shared" si="86"/>
        <v>0</v>
      </c>
      <c r="Y94" s="12"/>
      <c r="Z94" s="12">
        <f t="shared" si="87"/>
        <v>0</v>
      </c>
      <c r="AA94" s="32">
        <f t="shared" si="88"/>
        <v>0</v>
      </c>
      <c r="AB94" s="12"/>
      <c r="AC94" s="12">
        <f t="shared" si="89"/>
        <v>0</v>
      </c>
      <c r="AD94" s="32">
        <f t="shared" si="90"/>
        <v>0</v>
      </c>
      <c r="AE94" s="12"/>
      <c r="AF94" s="37">
        <f t="shared" si="91"/>
        <v>0</v>
      </c>
      <c r="AG94" s="14">
        <f t="shared" si="92"/>
        <v>0</v>
      </c>
      <c r="AH94" s="12">
        <v>0.01</v>
      </c>
      <c r="AI94" s="12">
        <f t="shared" si="93"/>
        <v>6.3157894736842107E-2</v>
      </c>
      <c r="AJ94" s="32">
        <f t="shared" si="94"/>
        <v>5.5524224454665615E-2</v>
      </c>
      <c r="AK94" s="12">
        <v>0.01</v>
      </c>
      <c r="AL94" s="12">
        <f t="shared" si="95"/>
        <v>6.3157894736842107E-2</v>
      </c>
      <c r="AM94" s="32">
        <f t="shared" si="96"/>
        <v>2.5759608525504886E-2</v>
      </c>
      <c r="AN94" s="12"/>
      <c r="AO94" s="12">
        <f t="shared" si="97"/>
        <v>0</v>
      </c>
      <c r="AP94" s="32">
        <f t="shared" si="98"/>
        <v>0</v>
      </c>
      <c r="AQ94" s="12">
        <v>0.01</v>
      </c>
      <c r="AR94" s="12">
        <f t="shared" si="99"/>
        <v>6.3157894736842107E-2</v>
      </c>
      <c r="AS94" s="32">
        <f t="shared" si="100"/>
        <v>1.4463337849108819E-2</v>
      </c>
      <c r="AT94" s="12"/>
      <c r="AU94" s="12">
        <f t="shared" si="101"/>
        <v>0</v>
      </c>
      <c r="AV94" s="32">
        <f t="shared" si="102"/>
        <v>0</v>
      </c>
      <c r="AW94" s="12"/>
      <c r="AX94" s="12">
        <f t="shared" si="103"/>
        <v>0</v>
      </c>
      <c r="AY94" s="32">
        <f t="shared" si="104"/>
        <v>0</v>
      </c>
      <c r="AZ94" s="12"/>
      <c r="BA94" s="12">
        <f t="shared" si="105"/>
        <v>0</v>
      </c>
      <c r="BB94" s="32">
        <f t="shared" si="106"/>
        <v>0</v>
      </c>
      <c r="BC94" s="12">
        <v>0.01</v>
      </c>
      <c r="BD94" s="12">
        <f t="shared" si="107"/>
        <v>6.3157894736842107E-2</v>
      </c>
      <c r="BE94" s="32">
        <f t="shared" si="108"/>
        <v>4.3740579653547933E-2</v>
      </c>
      <c r="BF94" s="12"/>
      <c r="BG94" s="12">
        <f t="shared" si="109"/>
        <v>0</v>
      </c>
      <c r="BH94" s="32">
        <f t="shared" si="110"/>
        <v>0</v>
      </c>
      <c r="BI94" s="12"/>
      <c r="BJ94" s="12">
        <f t="shared" si="111"/>
        <v>0</v>
      </c>
      <c r="BK94" s="32">
        <f t="shared" si="112"/>
        <v>0</v>
      </c>
      <c r="BL94" s="12"/>
      <c r="BM94" s="12">
        <f t="shared" si="113"/>
        <v>0</v>
      </c>
      <c r="BN94" s="32">
        <f t="shared" si="114"/>
        <v>0</v>
      </c>
      <c r="BO94" s="12"/>
      <c r="BP94" s="12">
        <f t="shared" si="115"/>
        <v>0</v>
      </c>
      <c r="BQ94" s="32">
        <f t="shared" si="116"/>
        <v>0</v>
      </c>
      <c r="BR94" s="12"/>
      <c r="BS94" s="12">
        <f t="shared" si="117"/>
        <v>0</v>
      </c>
      <c r="BT94" s="32">
        <f t="shared" si="118"/>
        <v>0</v>
      </c>
      <c r="BU94" s="12"/>
      <c r="BV94" s="12">
        <f t="shared" si="119"/>
        <v>0</v>
      </c>
      <c r="BW94" s="32">
        <f t="shared" si="120"/>
        <v>0</v>
      </c>
      <c r="BX94" s="12"/>
      <c r="BY94" s="12">
        <f t="shared" si="121"/>
        <v>0</v>
      </c>
      <c r="BZ94" s="32">
        <f t="shared" si="122"/>
        <v>0</v>
      </c>
      <c r="CA94" s="12"/>
      <c r="CB94" s="12">
        <f t="shared" si="123"/>
        <v>0</v>
      </c>
      <c r="CC94" s="32">
        <f t="shared" si="124"/>
        <v>0</v>
      </c>
      <c r="CD94" s="12"/>
      <c r="CE94" s="12">
        <f t="shared" si="125"/>
        <v>0</v>
      </c>
      <c r="CF94" s="32">
        <f t="shared" si="126"/>
        <v>0</v>
      </c>
      <c r="CG94" s="12"/>
      <c r="CH94" s="12">
        <f t="shared" si="127"/>
        <v>0</v>
      </c>
      <c r="CI94" s="32">
        <f t="shared" si="128"/>
        <v>0</v>
      </c>
      <c r="CJ94" s="12"/>
      <c r="CK94" s="12">
        <f t="shared" si="129"/>
        <v>0</v>
      </c>
      <c r="CL94" s="32">
        <f t="shared" si="130"/>
        <v>0</v>
      </c>
      <c r="CM94" s="12"/>
      <c r="CN94" s="12">
        <f t="shared" si="131"/>
        <v>0</v>
      </c>
      <c r="CO94" s="32">
        <f t="shared" si="132"/>
        <v>0</v>
      </c>
      <c r="CP94" s="12"/>
      <c r="CQ94" s="12">
        <f t="shared" si="133"/>
        <v>0</v>
      </c>
      <c r="CR94" s="32">
        <f t="shared" si="134"/>
        <v>0</v>
      </c>
      <c r="CS94" s="12"/>
      <c r="CT94" s="12">
        <f t="shared" si="139"/>
        <v>0</v>
      </c>
      <c r="CU94" s="32">
        <f t="shared" si="140"/>
        <v>0</v>
      </c>
      <c r="CV94" s="12"/>
      <c r="CW94" s="12">
        <f t="shared" si="141"/>
        <v>0</v>
      </c>
      <c r="CX94" s="32">
        <f t="shared" si="142"/>
        <v>0</v>
      </c>
      <c r="CY94" s="12"/>
      <c r="CZ94" s="12">
        <f t="shared" si="143"/>
        <v>0</v>
      </c>
      <c r="DA94" s="32">
        <f t="shared" si="144"/>
        <v>0</v>
      </c>
      <c r="DB94" s="12"/>
      <c r="DC94" s="12">
        <f t="shared" si="145"/>
        <v>0</v>
      </c>
      <c r="DD94" s="32">
        <f t="shared" si="146"/>
        <v>0</v>
      </c>
      <c r="DE94" s="12"/>
      <c r="DF94" s="12">
        <f t="shared" si="147"/>
        <v>0</v>
      </c>
      <c r="DG94" s="32">
        <f t="shared" si="148"/>
        <v>0</v>
      </c>
      <c r="DH94" s="12">
        <f>0.2/15</f>
        <v>1.3333333333333334E-2</v>
      </c>
      <c r="DI94" s="12">
        <f t="shared" si="135"/>
        <v>8.4210526315789486E-2</v>
      </c>
      <c r="DJ94" s="32">
        <f t="shared" si="149"/>
        <v>0.49648926508135161</v>
      </c>
      <c r="DK94" s="12"/>
      <c r="DL94" s="12">
        <f t="shared" si="150"/>
        <v>0</v>
      </c>
      <c r="DM94" s="32">
        <f t="shared" si="151"/>
        <v>0</v>
      </c>
    </row>
    <row r="95" spans="1:117" s="6" customFormat="1" ht="22.25" customHeight="1" x14ac:dyDescent="0.35">
      <c r="A95" s="4">
        <v>88</v>
      </c>
      <c r="B95" s="4" t="s">
        <v>221</v>
      </c>
      <c r="C95" s="4" t="s">
        <v>222</v>
      </c>
      <c r="D95" s="7">
        <f t="shared" si="136"/>
        <v>3.0204081632653059</v>
      </c>
      <c r="E95" s="7">
        <v>2.96</v>
      </c>
      <c r="F95" s="7">
        <v>1</v>
      </c>
      <c r="G95" s="7">
        <v>0.98</v>
      </c>
      <c r="H95" s="7">
        <f t="shared" si="137"/>
        <v>0.45306122448979586</v>
      </c>
      <c r="I95" s="9">
        <f t="shared" si="138"/>
        <v>3.4734693877551019</v>
      </c>
      <c r="J95" s="13"/>
      <c r="K95" s="12">
        <f t="shared" si="78"/>
        <v>0</v>
      </c>
      <c r="L95" s="32">
        <f t="shared" si="79"/>
        <v>0</v>
      </c>
      <c r="M95" s="12"/>
      <c r="N95" s="12">
        <f t="shared" si="80"/>
        <v>0</v>
      </c>
      <c r="O95" s="32">
        <f t="shared" si="81"/>
        <v>0</v>
      </c>
      <c r="P95" s="12"/>
      <c r="Q95" s="12">
        <f t="shared" si="152"/>
        <v>0</v>
      </c>
      <c r="R95" s="32">
        <f t="shared" si="82"/>
        <v>0</v>
      </c>
      <c r="S95" s="12"/>
      <c r="T95" s="12">
        <f t="shared" si="83"/>
        <v>0</v>
      </c>
      <c r="U95" s="32">
        <f t="shared" si="84"/>
        <v>0</v>
      </c>
      <c r="V95" s="12"/>
      <c r="W95" s="12">
        <f t="shared" si="85"/>
        <v>0</v>
      </c>
      <c r="X95" s="32">
        <f t="shared" si="86"/>
        <v>0</v>
      </c>
      <c r="Y95" s="12"/>
      <c r="Z95" s="12">
        <f t="shared" si="87"/>
        <v>0</v>
      </c>
      <c r="AA95" s="32">
        <f t="shared" si="88"/>
        <v>0</v>
      </c>
      <c r="AB95" s="12">
        <v>0.01</v>
      </c>
      <c r="AC95" s="12">
        <f t="shared" si="89"/>
        <v>3.0204081632653059E-2</v>
      </c>
      <c r="AD95" s="32">
        <f t="shared" si="90"/>
        <v>8.1877853756966643E-3</v>
      </c>
      <c r="AE95" s="12"/>
      <c r="AF95" s="37">
        <f t="shared" si="91"/>
        <v>0</v>
      </c>
      <c r="AG95" s="14">
        <f t="shared" si="92"/>
        <v>0</v>
      </c>
      <c r="AH95" s="12"/>
      <c r="AI95" s="12">
        <f t="shared" si="93"/>
        <v>0</v>
      </c>
      <c r="AJ95" s="32">
        <f t="shared" si="94"/>
        <v>0</v>
      </c>
      <c r="AK95" s="12"/>
      <c r="AL95" s="12">
        <f t="shared" si="95"/>
        <v>0</v>
      </c>
      <c r="AM95" s="32">
        <f t="shared" si="96"/>
        <v>0</v>
      </c>
      <c r="AN95" s="12"/>
      <c r="AO95" s="12">
        <f t="shared" si="97"/>
        <v>0</v>
      </c>
      <c r="AP95" s="32">
        <f t="shared" si="98"/>
        <v>0</v>
      </c>
      <c r="AQ95" s="12"/>
      <c r="AR95" s="12">
        <f t="shared" si="99"/>
        <v>0</v>
      </c>
      <c r="AS95" s="32">
        <f t="shared" si="100"/>
        <v>0</v>
      </c>
      <c r="AT95" s="12"/>
      <c r="AU95" s="12">
        <f t="shared" si="101"/>
        <v>0</v>
      </c>
      <c r="AV95" s="32">
        <f t="shared" si="102"/>
        <v>0</v>
      </c>
      <c r="AW95" s="12"/>
      <c r="AX95" s="12">
        <f t="shared" si="103"/>
        <v>0</v>
      </c>
      <c r="AY95" s="32">
        <f t="shared" si="104"/>
        <v>0</v>
      </c>
      <c r="AZ95" s="12"/>
      <c r="BA95" s="12">
        <f t="shared" si="105"/>
        <v>0</v>
      </c>
      <c r="BB95" s="32">
        <f t="shared" si="106"/>
        <v>0</v>
      </c>
      <c r="BC95" s="12"/>
      <c r="BD95" s="12">
        <f t="shared" si="107"/>
        <v>0</v>
      </c>
      <c r="BE95" s="32">
        <f t="shared" si="108"/>
        <v>0</v>
      </c>
      <c r="BF95" s="12"/>
      <c r="BG95" s="12">
        <f t="shared" si="109"/>
        <v>0</v>
      </c>
      <c r="BH95" s="32">
        <f t="shared" si="110"/>
        <v>0</v>
      </c>
      <c r="BI95" s="12"/>
      <c r="BJ95" s="12">
        <f t="shared" si="111"/>
        <v>0</v>
      </c>
      <c r="BK95" s="32">
        <f t="shared" si="112"/>
        <v>0</v>
      </c>
      <c r="BL95" s="12"/>
      <c r="BM95" s="12">
        <f t="shared" si="113"/>
        <v>0</v>
      </c>
      <c r="BN95" s="32">
        <f t="shared" si="114"/>
        <v>0</v>
      </c>
      <c r="BO95" s="12"/>
      <c r="BP95" s="12">
        <f t="shared" si="115"/>
        <v>0</v>
      </c>
      <c r="BQ95" s="32">
        <f t="shared" si="116"/>
        <v>0</v>
      </c>
      <c r="BR95" s="12"/>
      <c r="BS95" s="12">
        <f t="shared" si="117"/>
        <v>0</v>
      </c>
      <c r="BT95" s="32">
        <f t="shared" si="118"/>
        <v>0</v>
      </c>
      <c r="BU95" s="12">
        <v>0.188</v>
      </c>
      <c r="BV95" s="12">
        <f t="shared" si="119"/>
        <v>0.56783673469387752</v>
      </c>
      <c r="BW95" s="32">
        <f t="shared" si="120"/>
        <v>0.16938831171360977</v>
      </c>
      <c r="BX95" s="12">
        <v>7.0000000000000007E-2</v>
      </c>
      <c r="BY95" s="12">
        <f>D95*BX95</f>
        <v>0.21142857142857144</v>
      </c>
      <c r="BZ95" s="32">
        <f t="shared" si="122"/>
        <v>0.1133308619021856</v>
      </c>
      <c r="CA95" s="12"/>
      <c r="CB95" s="12">
        <f t="shared" si="123"/>
        <v>0</v>
      </c>
      <c r="CC95" s="32">
        <f t="shared" si="124"/>
        <v>0</v>
      </c>
      <c r="CD95" s="12"/>
      <c r="CE95" s="12">
        <f t="shared" si="125"/>
        <v>0</v>
      </c>
      <c r="CF95" s="32">
        <f t="shared" si="126"/>
        <v>0</v>
      </c>
      <c r="CG95" s="12"/>
      <c r="CH95" s="12">
        <f t="shared" si="127"/>
        <v>0</v>
      </c>
      <c r="CI95" s="32">
        <f t="shared" si="128"/>
        <v>0</v>
      </c>
      <c r="CJ95" s="12"/>
      <c r="CK95" s="12">
        <f t="shared" si="129"/>
        <v>0</v>
      </c>
      <c r="CL95" s="32">
        <f t="shared" si="130"/>
        <v>0</v>
      </c>
      <c r="CM95" s="12"/>
      <c r="CN95" s="12">
        <f t="shared" si="131"/>
        <v>0</v>
      </c>
      <c r="CO95" s="32">
        <f t="shared" si="132"/>
        <v>0</v>
      </c>
      <c r="CP95" s="12"/>
      <c r="CQ95" s="12">
        <f t="shared" si="133"/>
        <v>0</v>
      </c>
      <c r="CR95" s="32">
        <f t="shared" si="134"/>
        <v>0</v>
      </c>
      <c r="CS95" s="12"/>
      <c r="CT95" s="12">
        <f t="shared" si="139"/>
        <v>0</v>
      </c>
      <c r="CU95" s="32">
        <f t="shared" si="140"/>
        <v>0</v>
      </c>
      <c r="CV95" s="12"/>
      <c r="CW95" s="12">
        <f t="shared" si="141"/>
        <v>0</v>
      </c>
      <c r="CX95" s="32">
        <f t="shared" si="142"/>
        <v>0</v>
      </c>
      <c r="CY95" s="12"/>
      <c r="CZ95" s="12">
        <f t="shared" si="143"/>
        <v>0</v>
      </c>
      <c r="DA95" s="32">
        <f t="shared" si="144"/>
        <v>0</v>
      </c>
      <c r="DB95" s="12"/>
      <c r="DC95" s="12">
        <f t="shared" si="145"/>
        <v>0</v>
      </c>
      <c r="DD95" s="32">
        <f t="shared" si="146"/>
        <v>0</v>
      </c>
      <c r="DE95" s="12"/>
      <c r="DF95" s="12">
        <f t="shared" si="147"/>
        <v>0</v>
      </c>
      <c r="DG95" s="32">
        <f t="shared" si="148"/>
        <v>0</v>
      </c>
      <c r="DH95" s="12"/>
      <c r="DI95" s="12">
        <f t="shared" si="135"/>
        <v>0</v>
      </c>
      <c r="DJ95" s="32">
        <f t="shared" si="149"/>
        <v>0</v>
      </c>
      <c r="DK95" s="12"/>
      <c r="DL95" s="12">
        <f t="shared" si="150"/>
        <v>0</v>
      </c>
      <c r="DM95" s="32">
        <f t="shared" si="151"/>
        <v>0</v>
      </c>
    </row>
    <row r="96" spans="1:117" s="6" customFormat="1" ht="22.25" customHeight="1" x14ac:dyDescent="0.35">
      <c r="A96" s="4">
        <v>89</v>
      </c>
      <c r="B96" s="4" t="s">
        <v>223</v>
      </c>
      <c r="C96" s="4" t="s">
        <v>224</v>
      </c>
      <c r="D96" s="7">
        <v>15</v>
      </c>
      <c r="E96" s="7">
        <v>150</v>
      </c>
      <c r="F96" s="7">
        <v>1</v>
      </c>
      <c r="G96" s="7">
        <v>1</v>
      </c>
      <c r="H96" s="7">
        <f t="shared" si="137"/>
        <v>2.25</v>
      </c>
      <c r="I96" s="9">
        <f t="shared" si="138"/>
        <v>17.25</v>
      </c>
      <c r="J96" s="13"/>
      <c r="K96" s="12">
        <f t="shared" si="78"/>
        <v>0</v>
      </c>
      <c r="L96" s="32">
        <f t="shared" si="79"/>
        <v>0</v>
      </c>
      <c r="M96" s="12"/>
      <c r="N96" s="12">
        <f t="shared" si="80"/>
        <v>0</v>
      </c>
      <c r="O96" s="32">
        <f t="shared" si="81"/>
        <v>0</v>
      </c>
      <c r="P96" s="12"/>
      <c r="Q96" s="12">
        <f t="shared" si="152"/>
        <v>0</v>
      </c>
      <c r="R96" s="32">
        <f t="shared" si="82"/>
        <v>0</v>
      </c>
      <c r="S96" s="12"/>
      <c r="T96" s="12">
        <f t="shared" si="83"/>
        <v>0</v>
      </c>
      <c r="U96" s="32">
        <f t="shared" si="84"/>
        <v>0</v>
      </c>
      <c r="V96" s="12"/>
      <c r="W96" s="12">
        <f t="shared" si="85"/>
        <v>0</v>
      </c>
      <c r="X96" s="32">
        <f t="shared" si="86"/>
        <v>0</v>
      </c>
      <c r="Y96" s="12"/>
      <c r="Z96" s="12">
        <f t="shared" si="87"/>
        <v>0</v>
      </c>
      <c r="AA96" s="32">
        <f t="shared" si="88"/>
        <v>0</v>
      </c>
      <c r="AB96" s="12"/>
      <c r="AC96" s="12">
        <f t="shared" si="89"/>
        <v>0</v>
      </c>
      <c r="AD96" s="32">
        <f t="shared" si="90"/>
        <v>0</v>
      </c>
      <c r="AE96" s="12"/>
      <c r="AF96" s="37">
        <f t="shared" si="91"/>
        <v>0</v>
      </c>
      <c r="AG96" s="14">
        <f t="shared" si="92"/>
        <v>0</v>
      </c>
      <c r="AH96" s="12"/>
      <c r="AI96" s="12">
        <f t="shared" si="93"/>
        <v>0</v>
      </c>
      <c r="AJ96" s="32">
        <f t="shared" si="94"/>
        <v>0</v>
      </c>
      <c r="AK96" s="12"/>
      <c r="AL96" s="12">
        <f t="shared" si="95"/>
        <v>0</v>
      </c>
      <c r="AM96" s="32">
        <f t="shared" si="96"/>
        <v>0</v>
      </c>
      <c r="AN96" s="12"/>
      <c r="AO96" s="12">
        <f t="shared" si="97"/>
        <v>0</v>
      </c>
      <c r="AP96" s="32">
        <f t="shared" si="98"/>
        <v>0</v>
      </c>
      <c r="AQ96" s="12"/>
      <c r="AR96" s="12">
        <f t="shared" si="99"/>
        <v>0</v>
      </c>
      <c r="AS96" s="32">
        <f t="shared" si="100"/>
        <v>0</v>
      </c>
      <c r="AT96" s="12"/>
      <c r="AU96" s="12">
        <f t="shared" si="101"/>
        <v>0</v>
      </c>
      <c r="AV96" s="32">
        <f t="shared" si="102"/>
        <v>0</v>
      </c>
      <c r="AW96" s="12"/>
      <c r="AX96" s="12">
        <f t="shared" si="103"/>
        <v>0</v>
      </c>
      <c r="AY96" s="32">
        <f t="shared" si="104"/>
        <v>0</v>
      </c>
      <c r="AZ96" s="12"/>
      <c r="BA96" s="12">
        <f t="shared" si="105"/>
        <v>0</v>
      </c>
      <c r="BB96" s="32">
        <f t="shared" si="106"/>
        <v>0</v>
      </c>
      <c r="BC96" s="12"/>
      <c r="BD96" s="12">
        <f t="shared" si="107"/>
        <v>0</v>
      </c>
      <c r="BE96" s="32">
        <f t="shared" si="108"/>
        <v>0</v>
      </c>
      <c r="BF96" s="12"/>
      <c r="BG96" s="12">
        <f t="shared" si="109"/>
        <v>0</v>
      </c>
      <c r="BH96" s="32">
        <f t="shared" si="110"/>
        <v>0</v>
      </c>
      <c r="BI96" s="12"/>
      <c r="BJ96" s="12">
        <f t="shared" si="111"/>
        <v>0</v>
      </c>
      <c r="BK96" s="32">
        <f t="shared" si="112"/>
        <v>0</v>
      </c>
      <c r="BL96" s="12"/>
      <c r="BM96" s="12">
        <f t="shared" si="113"/>
        <v>0</v>
      </c>
      <c r="BN96" s="32">
        <f t="shared" si="114"/>
        <v>0</v>
      </c>
      <c r="BO96" s="12"/>
      <c r="BP96" s="12">
        <f t="shared" si="115"/>
        <v>0</v>
      </c>
      <c r="BQ96" s="32">
        <f t="shared" si="116"/>
        <v>0</v>
      </c>
      <c r="BR96" s="12"/>
      <c r="BS96" s="12">
        <f t="shared" si="117"/>
        <v>0</v>
      </c>
      <c r="BT96" s="32">
        <f t="shared" si="118"/>
        <v>0</v>
      </c>
      <c r="BU96" s="12"/>
      <c r="BV96" s="12">
        <f t="shared" si="119"/>
        <v>0</v>
      </c>
      <c r="BW96" s="32">
        <f t="shared" si="120"/>
        <v>0</v>
      </c>
      <c r="BX96" s="12"/>
      <c r="BY96" s="12">
        <f t="shared" si="121"/>
        <v>0</v>
      </c>
      <c r="BZ96" s="32">
        <f t="shared" si="122"/>
        <v>0</v>
      </c>
      <c r="CA96" s="12"/>
      <c r="CB96" s="12">
        <f t="shared" si="123"/>
        <v>0</v>
      </c>
      <c r="CC96" s="32">
        <f t="shared" si="124"/>
        <v>0</v>
      </c>
      <c r="CD96" s="12"/>
      <c r="CE96" s="12">
        <f t="shared" si="125"/>
        <v>0</v>
      </c>
      <c r="CF96" s="32">
        <f t="shared" si="126"/>
        <v>0</v>
      </c>
      <c r="CG96" s="12"/>
      <c r="CH96" s="12">
        <f t="shared" si="127"/>
        <v>0</v>
      </c>
      <c r="CI96" s="32">
        <f t="shared" si="128"/>
        <v>0</v>
      </c>
      <c r="CJ96" s="12">
        <v>0.02</v>
      </c>
      <c r="CK96" s="12">
        <f t="shared" si="129"/>
        <v>0.3</v>
      </c>
      <c r="CL96" s="32">
        <f t="shared" si="130"/>
        <v>0.7822277847309137</v>
      </c>
      <c r="CM96" s="12"/>
      <c r="CN96" s="12">
        <f t="shared" si="131"/>
        <v>0</v>
      </c>
      <c r="CO96" s="32">
        <f t="shared" si="132"/>
        <v>0</v>
      </c>
      <c r="CP96" s="12"/>
      <c r="CQ96" s="12">
        <f t="shared" si="133"/>
        <v>0</v>
      </c>
      <c r="CR96" s="32">
        <f t="shared" si="134"/>
        <v>0</v>
      </c>
      <c r="CS96" s="12"/>
      <c r="CT96" s="12">
        <f t="shared" si="139"/>
        <v>0</v>
      </c>
      <c r="CU96" s="32">
        <f t="shared" si="140"/>
        <v>0</v>
      </c>
      <c r="CV96" s="12"/>
      <c r="CW96" s="12">
        <f t="shared" si="141"/>
        <v>0</v>
      </c>
      <c r="CX96" s="32">
        <f t="shared" si="142"/>
        <v>0</v>
      </c>
      <c r="CY96" s="12"/>
      <c r="CZ96" s="12">
        <f t="shared" si="143"/>
        <v>0</v>
      </c>
      <c r="DA96" s="32">
        <f t="shared" si="144"/>
        <v>0</v>
      </c>
      <c r="DB96" s="12"/>
      <c r="DC96" s="12">
        <f t="shared" si="145"/>
        <v>0</v>
      </c>
      <c r="DD96" s="32">
        <f t="shared" si="146"/>
        <v>0</v>
      </c>
      <c r="DE96" s="12"/>
      <c r="DF96" s="12">
        <f t="shared" si="147"/>
        <v>0</v>
      </c>
      <c r="DG96" s="32">
        <f t="shared" si="148"/>
        <v>0</v>
      </c>
      <c r="DH96" s="12"/>
      <c r="DI96" s="12">
        <f t="shared" si="135"/>
        <v>0</v>
      </c>
      <c r="DJ96" s="32">
        <f t="shared" si="149"/>
        <v>0</v>
      </c>
      <c r="DK96" s="12"/>
      <c r="DL96" s="12">
        <f t="shared" si="150"/>
        <v>0</v>
      </c>
      <c r="DM96" s="32">
        <f t="shared" si="151"/>
        <v>0</v>
      </c>
    </row>
    <row r="97" spans="1:117" s="6" customFormat="1" ht="22.25" customHeight="1" x14ac:dyDescent="0.35">
      <c r="A97" s="4">
        <v>90</v>
      </c>
      <c r="B97" s="4" t="s">
        <v>225</v>
      </c>
      <c r="C97" s="4" t="s">
        <v>226</v>
      </c>
      <c r="D97" s="7">
        <f>CY2</f>
        <v>4.8729168458781356</v>
      </c>
      <c r="E97" s="7">
        <f>CY2</f>
        <v>4.8729168458781356</v>
      </c>
      <c r="F97" s="7">
        <v>1</v>
      </c>
      <c r="G97" s="7">
        <v>1</v>
      </c>
      <c r="H97" s="7">
        <f t="shared" si="137"/>
        <v>0.73093752688172031</v>
      </c>
      <c r="I97" s="9">
        <f t="shared" si="138"/>
        <v>5.603854372759856</v>
      </c>
      <c r="J97" s="13"/>
      <c r="K97" s="12">
        <f t="shared" si="78"/>
        <v>0</v>
      </c>
      <c r="L97" s="32">
        <f t="shared" si="79"/>
        <v>0</v>
      </c>
      <c r="M97" s="12"/>
      <c r="N97" s="12">
        <f t="shared" si="80"/>
        <v>0</v>
      </c>
      <c r="O97" s="32">
        <f t="shared" si="81"/>
        <v>0</v>
      </c>
      <c r="P97" s="12"/>
      <c r="Q97" s="12">
        <f t="shared" si="152"/>
        <v>0</v>
      </c>
      <c r="R97" s="32">
        <f t="shared" si="82"/>
        <v>0</v>
      </c>
      <c r="S97" s="12"/>
      <c r="T97" s="12">
        <f t="shared" si="83"/>
        <v>0</v>
      </c>
      <c r="U97" s="32">
        <f t="shared" si="84"/>
        <v>0</v>
      </c>
      <c r="V97" s="12"/>
      <c r="W97" s="12">
        <f t="shared" si="85"/>
        <v>0</v>
      </c>
      <c r="X97" s="32">
        <f t="shared" si="86"/>
        <v>0</v>
      </c>
      <c r="Y97" s="12"/>
      <c r="Z97" s="12">
        <f t="shared" si="87"/>
        <v>0</v>
      </c>
      <c r="AA97" s="32">
        <f t="shared" si="88"/>
        <v>0</v>
      </c>
      <c r="AB97" s="12"/>
      <c r="AC97" s="12">
        <f t="shared" si="89"/>
        <v>0</v>
      </c>
      <c r="AD97" s="32">
        <f t="shared" si="90"/>
        <v>0</v>
      </c>
      <c r="AE97" s="12"/>
      <c r="AF97" s="37">
        <f t="shared" si="91"/>
        <v>0</v>
      </c>
      <c r="AG97" s="14">
        <f t="shared" si="92"/>
        <v>0</v>
      </c>
      <c r="AH97" s="12"/>
      <c r="AI97" s="12">
        <f t="shared" si="93"/>
        <v>0</v>
      </c>
      <c r="AJ97" s="32">
        <f t="shared" si="94"/>
        <v>0</v>
      </c>
      <c r="AK97" s="12"/>
      <c r="AL97" s="12">
        <f t="shared" si="95"/>
        <v>0</v>
      </c>
      <c r="AM97" s="32">
        <f t="shared" si="96"/>
        <v>0</v>
      </c>
      <c r="AN97" s="12"/>
      <c r="AO97" s="12">
        <f t="shared" si="97"/>
        <v>0</v>
      </c>
      <c r="AP97" s="32">
        <f t="shared" si="98"/>
        <v>0</v>
      </c>
      <c r="AQ97" s="12"/>
      <c r="AR97" s="12">
        <f t="shared" si="99"/>
        <v>0</v>
      </c>
      <c r="AS97" s="32">
        <f t="shared" si="100"/>
        <v>0</v>
      </c>
      <c r="AT97" s="12"/>
      <c r="AU97" s="12">
        <f t="shared" si="101"/>
        <v>0</v>
      </c>
      <c r="AV97" s="32">
        <f t="shared" si="102"/>
        <v>0</v>
      </c>
      <c r="AW97" s="12">
        <v>6.25E-2</v>
      </c>
      <c r="AX97" s="12">
        <f t="shared" si="103"/>
        <v>0.30455730286738347</v>
      </c>
      <c r="AY97" s="32">
        <f t="shared" si="104"/>
        <v>0.13912296546554184</v>
      </c>
      <c r="AZ97" s="12">
        <v>0.1</v>
      </c>
      <c r="BA97" s="12">
        <f t="shared" si="105"/>
        <v>0.48729168458781358</v>
      </c>
      <c r="BB97" s="32">
        <f t="shared" si="106"/>
        <v>0.12394811430142345</v>
      </c>
      <c r="BC97" s="12"/>
      <c r="BD97" s="12">
        <f t="shared" si="107"/>
        <v>0</v>
      </c>
      <c r="BE97" s="32">
        <f t="shared" si="108"/>
        <v>0</v>
      </c>
      <c r="BF97" s="12"/>
      <c r="BG97" s="12">
        <f t="shared" si="109"/>
        <v>0</v>
      </c>
      <c r="BH97" s="32">
        <f t="shared" si="110"/>
        <v>0</v>
      </c>
      <c r="BI97" s="12"/>
      <c r="BJ97" s="12">
        <f t="shared" si="111"/>
        <v>0</v>
      </c>
      <c r="BK97" s="32">
        <f t="shared" si="112"/>
        <v>0</v>
      </c>
      <c r="BL97" s="12"/>
      <c r="BM97" s="12">
        <f t="shared" si="113"/>
        <v>0</v>
      </c>
      <c r="BN97" s="32">
        <f t="shared" si="114"/>
        <v>0</v>
      </c>
      <c r="BO97" s="12"/>
      <c r="BP97" s="12">
        <f t="shared" si="115"/>
        <v>0</v>
      </c>
      <c r="BQ97" s="32">
        <f t="shared" si="116"/>
        <v>0</v>
      </c>
      <c r="BR97" s="12"/>
      <c r="BS97" s="12">
        <f t="shared" si="117"/>
        <v>0</v>
      </c>
      <c r="BT97" s="32">
        <f t="shared" si="118"/>
        <v>0</v>
      </c>
      <c r="BU97" s="12"/>
      <c r="BV97" s="12">
        <f t="shared" si="119"/>
        <v>0</v>
      </c>
      <c r="BW97" s="32">
        <f t="shared" si="120"/>
        <v>0</v>
      </c>
      <c r="BX97" s="12"/>
      <c r="BY97" s="12">
        <f t="shared" si="121"/>
        <v>0</v>
      </c>
      <c r="BZ97" s="32">
        <f t="shared" si="122"/>
        <v>0</v>
      </c>
      <c r="CA97" s="12">
        <v>0.1</v>
      </c>
      <c r="CB97" s="12">
        <f t="shared" si="123"/>
        <v>0.48729168458781358</v>
      </c>
      <c r="CC97" s="32">
        <f t="shared" si="124"/>
        <v>0.13585230837951051</v>
      </c>
      <c r="CD97" s="12"/>
      <c r="CE97" s="12">
        <f t="shared" si="125"/>
        <v>0</v>
      </c>
      <c r="CF97" s="32">
        <f t="shared" si="126"/>
        <v>0</v>
      </c>
      <c r="CG97" s="12"/>
      <c r="CH97" s="12">
        <f t="shared" si="127"/>
        <v>0</v>
      </c>
      <c r="CI97" s="32">
        <f t="shared" si="128"/>
        <v>0</v>
      </c>
      <c r="CJ97" s="12"/>
      <c r="CK97" s="12">
        <f t="shared" si="129"/>
        <v>0</v>
      </c>
      <c r="CL97" s="32">
        <f t="shared" si="130"/>
        <v>0</v>
      </c>
      <c r="CM97" s="12"/>
      <c r="CN97" s="12">
        <f t="shared" si="131"/>
        <v>0</v>
      </c>
      <c r="CO97" s="32">
        <f t="shared" si="132"/>
        <v>0</v>
      </c>
      <c r="CP97" s="12"/>
      <c r="CQ97" s="12">
        <f t="shared" si="133"/>
        <v>0</v>
      </c>
      <c r="CR97" s="32">
        <f t="shared" si="134"/>
        <v>0</v>
      </c>
      <c r="CS97" s="12"/>
      <c r="CT97" s="12">
        <f t="shared" si="139"/>
        <v>0</v>
      </c>
      <c r="CU97" s="32">
        <f t="shared" si="140"/>
        <v>0</v>
      </c>
      <c r="CV97" s="12"/>
      <c r="CW97" s="12">
        <f t="shared" si="141"/>
        <v>0</v>
      </c>
      <c r="CX97" s="32">
        <f t="shared" si="142"/>
        <v>0</v>
      </c>
      <c r="CY97" s="12"/>
      <c r="CZ97" s="12">
        <f t="shared" si="143"/>
        <v>0</v>
      </c>
      <c r="DA97" s="32">
        <f t="shared" si="144"/>
        <v>0</v>
      </c>
      <c r="DB97" s="12"/>
      <c r="DC97" s="12">
        <f t="shared" si="145"/>
        <v>0</v>
      </c>
      <c r="DD97" s="32">
        <f t="shared" si="146"/>
        <v>0</v>
      </c>
      <c r="DE97" s="12"/>
      <c r="DF97" s="12">
        <f t="shared" si="147"/>
        <v>0</v>
      </c>
      <c r="DG97" s="32">
        <f t="shared" si="148"/>
        <v>0</v>
      </c>
      <c r="DH97" s="12"/>
      <c r="DI97" s="12">
        <f t="shared" si="135"/>
        <v>0</v>
      </c>
      <c r="DJ97" s="32">
        <f t="shared" si="149"/>
        <v>0</v>
      </c>
      <c r="DK97" s="12"/>
      <c r="DL97" s="12">
        <f t="shared" si="150"/>
        <v>0</v>
      </c>
      <c r="DM97" s="32">
        <f t="shared" si="151"/>
        <v>0</v>
      </c>
    </row>
    <row r="98" spans="1:117" s="6" customFormat="1" ht="22.25" customHeight="1" x14ac:dyDescent="0.35">
      <c r="A98" s="4">
        <v>92</v>
      </c>
      <c r="B98" s="4" t="s">
        <v>227</v>
      </c>
      <c r="C98" s="4" t="s">
        <v>228</v>
      </c>
      <c r="D98" s="7">
        <f>E98/G98</f>
        <v>2.5299999999999998</v>
      </c>
      <c r="E98" s="7">
        <v>2.5299999999999998</v>
      </c>
      <c r="F98" s="7">
        <v>1</v>
      </c>
      <c r="G98" s="7">
        <v>1</v>
      </c>
      <c r="H98" s="7">
        <f t="shared" si="137"/>
        <v>0.37949999999999995</v>
      </c>
      <c r="I98" s="9">
        <f t="shared" si="138"/>
        <v>2.9094999999999995</v>
      </c>
      <c r="J98" s="23"/>
      <c r="K98" s="24">
        <f t="shared" si="78"/>
        <v>0</v>
      </c>
      <c r="L98" s="33">
        <f t="shared" si="79"/>
        <v>0</v>
      </c>
      <c r="M98" s="24"/>
      <c r="N98" s="24">
        <f t="shared" si="80"/>
        <v>0</v>
      </c>
      <c r="O98" s="33">
        <f t="shared" si="81"/>
        <v>0</v>
      </c>
      <c r="P98" s="24"/>
      <c r="Q98" s="24">
        <f t="shared" si="152"/>
        <v>0</v>
      </c>
      <c r="R98" s="33">
        <f t="shared" si="82"/>
        <v>0</v>
      </c>
      <c r="S98" s="24"/>
      <c r="T98" s="24">
        <f t="shared" si="83"/>
        <v>0</v>
      </c>
      <c r="U98" s="33">
        <f t="shared" si="84"/>
        <v>0</v>
      </c>
      <c r="V98" s="24"/>
      <c r="W98" s="24">
        <f t="shared" si="85"/>
        <v>0</v>
      </c>
      <c r="X98" s="33">
        <f t="shared" si="86"/>
        <v>0</v>
      </c>
      <c r="Y98" s="24">
        <v>7.0000000000000007E-2</v>
      </c>
      <c r="Z98" s="24">
        <f t="shared" si="87"/>
        <v>0.17710000000000001</v>
      </c>
      <c r="AA98" s="33">
        <f t="shared" si="88"/>
        <v>4.1225914553381648E-2</v>
      </c>
      <c r="AB98" s="24">
        <v>0.05</v>
      </c>
      <c r="AC98" s="24">
        <f t="shared" si="89"/>
        <v>0.1265</v>
      </c>
      <c r="AD98" s="33">
        <f t="shared" si="90"/>
        <v>3.4291883548145795E-2</v>
      </c>
      <c r="AE98" s="24">
        <v>0.05</v>
      </c>
      <c r="AF98" s="38">
        <f t="shared" si="91"/>
        <v>0.1265</v>
      </c>
      <c r="AG98" s="25">
        <f t="shared" si="92"/>
        <v>4.3965898105498905E-2</v>
      </c>
      <c r="AH98" s="24"/>
      <c r="AI98" s="24">
        <f t="shared" si="93"/>
        <v>0</v>
      </c>
      <c r="AJ98" s="33">
        <f t="shared" si="94"/>
        <v>0</v>
      </c>
      <c r="AK98" s="24"/>
      <c r="AL98" s="24">
        <f t="shared" si="95"/>
        <v>0</v>
      </c>
      <c r="AM98" s="33">
        <f t="shared" si="96"/>
        <v>0</v>
      </c>
      <c r="AN98" s="24"/>
      <c r="AO98" s="24">
        <f t="shared" si="97"/>
        <v>0</v>
      </c>
      <c r="AP98" s="33">
        <f t="shared" si="98"/>
        <v>0</v>
      </c>
      <c r="AQ98" s="24"/>
      <c r="AR98" s="24">
        <f t="shared" si="99"/>
        <v>0</v>
      </c>
      <c r="AS98" s="33">
        <f t="shared" si="100"/>
        <v>0</v>
      </c>
      <c r="AT98" s="24"/>
      <c r="AU98" s="24">
        <f t="shared" si="101"/>
        <v>0</v>
      </c>
      <c r="AV98" s="33">
        <f t="shared" si="102"/>
        <v>0</v>
      </c>
      <c r="AW98" s="24"/>
      <c r="AX98" s="24">
        <f t="shared" si="103"/>
        <v>0</v>
      </c>
      <c r="AY98" s="33">
        <f t="shared" si="104"/>
        <v>0</v>
      </c>
      <c r="AZ98" s="24"/>
      <c r="BA98" s="24">
        <f t="shared" si="105"/>
        <v>0</v>
      </c>
      <c r="BB98" s="33">
        <f t="shared" si="106"/>
        <v>0</v>
      </c>
      <c r="BC98" s="24"/>
      <c r="BD98" s="24">
        <f t="shared" si="107"/>
        <v>0</v>
      </c>
      <c r="BE98" s="33">
        <f t="shared" si="108"/>
        <v>0</v>
      </c>
      <c r="BF98" s="24"/>
      <c r="BG98" s="24">
        <f t="shared" si="109"/>
        <v>0</v>
      </c>
      <c r="BH98" s="33">
        <f t="shared" si="110"/>
        <v>0</v>
      </c>
      <c r="BI98" s="24"/>
      <c r="BJ98" s="24">
        <f t="shared" si="111"/>
        <v>0</v>
      </c>
      <c r="BK98" s="33">
        <f t="shared" si="112"/>
        <v>0</v>
      </c>
      <c r="BL98" s="24"/>
      <c r="BM98" s="24">
        <f t="shared" si="113"/>
        <v>0</v>
      </c>
      <c r="BN98" s="33">
        <f t="shared" si="114"/>
        <v>0</v>
      </c>
      <c r="BO98" s="24"/>
      <c r="BP98" s="24">
        <f t="shared" si="115"/>
        <v>0</v>
      </c>
      <c r="BQ98" s="33">
        <f t="shared" si="116"/>
        <v>0</v>
      </c>
      <c r="BR98" s="24"/>
      <c r="BS98" s="24">
        <f t="shared" si="117"/>
        <v>0</v>
      </c>
      <c r="BT98" s="33">
        <f t="shared" si="118"/>
        <v>0</v>
      </c>
      <c r="BU98" s="24"/>
      <c r="BV98" s="24">
        <f t="shared" si="119"/>
        <v>0</v>
      </c>
      <c r="BW98" s="33">
        <f t="shared" si="120"/>
        <v>0</v>
      </c>
      <c r="BX98" s="24"/>
      <c r="BY98" s="24">
        <f t="shared" si="121"/>
        <v>0</v>
      </c>
      <c r="BZ98" s="33">
        <f t="shared" si="122"/>
        <v>0</v>
      </c>
      <c r="CA98" s="24"/>
      <c r="CB98" s="24">
        <f t="shared" si="123"/>
        <v>0</v>
      </c>
      <c r="CC98" s="33">
        <f t="shared" si="124"/>
        <v>0</v>
      </c>
      <c r="CD98" s="24"/>
      <c r="CE98" s="24">
        <f t="shared" si="125"/>
        <v>0</v>
      </c>
      <c r="CF98" s="33">
        <f t="shared" si="126"/>
        <v>0</v>
      </c>
      <c r="CG98" s="24"/>
      <c r="CH98" s="24">
        <f t="shared" si="127"/>
        <v>0</v>
      </c>
      <c r="CI98" s="33">
        <f t="shared" si="128"/>
        <v>0</v>
      </c>
      <c r="CJ98" s="24"/>
      <c r="CK98" s="24">
        <f t="shared" si="129"/>
        <v>0</v>
      </c>
      <c r="CL98" s="33">
        <f t="shared" si="130"/>
        <v>0</v>
      </c>
      <c r="CM98" s="24"/>
      <c r="CN98" s="24">
        <f t="shared" si="131"/>
        <v>0</v>
      </c>
      <c r="CO98" s="33">
        <f t="shared" si="132"/>
        <v>0</v>
      </c>
      <c r="CP98" s="24"/>
      <c r="CQ98" s="24">
        <f t="shared" si="133"/>
        <v>0</v>
      </c>
      <c r="CR98" s="33">
        <f t="shared" si="134"/>
        <v>0</v>
      </c>
      <c r="CS98" s="24"/>
      <c r="CT98" s="24">
        <f t="shared" si="139"/>
        <v>0</v>
      </c>
      <c r="CU98" s="33">
        <f t="shared" si="140"/>
        <v>0</v>
      </c>
      <c r="CV98" s="24"/>
      <c r="CW98" s="24">
        <f t="shared" si="141"/>
        <v>0</v>
      </c>
      <c r="CX98" s="33">
        <f t="shared" si="142"/>
        <v>0</v>
      </c>
      <c r="CY98" s="24"/>
      <c r="CZ98" s="24">
        <f t="shared" si="143"/>
        <v>0</v>
      </c>
      <c r="DA98" s="33">
        <f t="shared" si="144"/>
        <v>0</v>
      </c>
      <c r="DB98" s="24"/>
      <c r="DC98" s="24">
        <f t="shared" si="145"/>
        <v>0</v>
      </c>
      <c r="DD98" s="33">
        <f t="shared" si="146"/>
        <v>0</v>
      </c>
      <c r="DE98" s="24"/>
      <c r="DF98" s="24">
        <f t="shared" si="147"/>
        <v>0</v>
      </c>
      <c r="DG98" s="33">
        <f t="shared" si="148"/>
        <v>0</v>
      </c>
      <c r="DH98" s="24"/>
      <c r="DI98" s="24">
        <f t="shared" si="135"/>
        <v>0</v>
      </c>
      <c r="DJ98" s="33">
        <f t="shared" si="149"/>
        <v>0</v>
      </c>
      <c r="DK98" s="24"/>
      <c r="DL98" s="24">
        <f t="shared" si="150"/>
        <v>0</v>
      </c>
      <c r="DM98" s="33">
        <f t="shared" si="151"/>
        <v>0</v>
      </c>
    </row>
    <row r="99" spans="1:117" s="6" customFormat="1" ht="22.25" customHeight="1" x14ac:dyDescent="0.35">
      <c r="A99" s="4">
        <v>93</v>
      </c>
      <c r="B99" s="4" t="s">
        <v>229</v>
      </c>
      <c r="C99" s="4" t="s">
        <v>230</v>
      </c>
      <c r="D99" s="7">
        <f t="shared" si="136"/>
        <v>1.1000000000000001</v>
      </c>
      <c r="E99" s="7">
        <f>330/300</f>
        <v>1.1000000000000001</v>
      </c>
      <c r="F99" s="7">
        <v>1</v>
      </c>
      <c r="G99" s="7">
        <v>1</v>
      </c>
      <c r="H99" s="7">
        <f t="shared" si="137"/>
        <v>0.16500000000000001</v>
      </c>
      <c r="I99" s="9">
        <f t="shared" si="138"/>
        <v>1.2650000000000001</v>
      </c>
      <c r="J99" s="13">
        <v>1</v>
      </c>
      <c r="K99" s="12">
        <f t="shared" si="78"/>
        <v>1.1000000000000001</v>
      </c>
      <c r="L99" s="32">
        <f t="shared" si="79"/>
        <v>0.11349057114412328</v>
      </c>
      <c r="M99" s="12">
        <v>1</v>
      </c>
      <c r="N99" s="12">
        <f t="shared" si="80"/>
        <v>1.1000000000000001</v>
      </c>
      <c r="O99" s="32">
        <f t="shared" si="81"/>
        <v>0.14728960349638739</v>
      </c>
      <c r="P99" s="12">
        <v>1</v>
      </c>
      <c r="Q99" s="12">
        <f t="shared" si="152"/>
        <v>1.1000000000000001</v>
      </c>
      <c r="R99" s="32">
        <f t="shared" si="82"/>
        <v>0.26362665340962854</v>
      </c>
      <c r="S99" s="12">
        <v>1</v>
      </c>
      <c r="T99" s="12">
        <f t="shared" si="83"/>
        <v>1.1000000000000001</v>
      </c>
      <c r="U99" s="32">
        <f t="shared" si="84"/>
        <v>0.21851775848549618</v>
      </c>
      <c r="V99" s="12">
        <v>1</v>
      </c>
      <c r="W99" s="12">
        <f t="shared" si="85"/>
        <v>1.1000000000000001</v>
      </c>
      <c r="X99" s="32">
        <f t="shared" si="86"/>
        <v>0.16581782887302945</v>
      </c>
      <c r="Y99" s="12">
        <v>1</v>
      </c>
      <c r="Z99" s="12">
        <f t="shared" si="87"/>
        <v>1.1000000000000001</v>
      </c>
      <c r="AA99" s="32">
        <f t="shared" si="88"/>
        <v>0.25606158107690463</v>
      </c>
      <c r="AB99" s="12">
        <v>1</v>
      </c>
      <c r="AC99" s="12">
        <f t="shared" si="89"/>
        <v>1.1000000000000001</v>
      </c>
      <c r="AD99" s="32">
        <f t="shared" si="90"/>
        <v>0.29819029172300693</v>
      </c>
      <c r="AE99" s="12">
        <v>1</v>
      </c>
      <c r="AF99" s="37">
        <f t="shared" si="91"/>
        <v>1.1000000000000001</v>
      </c>
      <c r="AG99" s="14">
        <f t="shared" si="92"/>
        <v>0.38231215743912095</v>
      </c>
      <c r="AH99" s="12"/>
      <c r="AI99" s="12">
        <f t="shared" si="93"/>
        <v>0</v>
      </c>
      <c r="AJ99" s="32">
        <f t="shared" si="94"/>
        <v>0</v>
      </c>
      <c r="AK99" s="12"/>
      <c r="AL99" s="12">
        <f t="shared" si="95"/>
        <v>0</v>
      </c>
      <c r="AM99" s="32">
        <f t="shared" si="96"/>
        <v>0</v>
      </c>
      <c r="AN99" s="12"/>
      <c r="AO99" s="12">
        <f t="shared" si="97"/>
        <v>0</v>
      </c>
      <c r="AP99" s="32">
        <f t="shared" si="98"/>
        <v>0</v>
      </c>
      <c r="AQ99" s="12">
        <v>1</v>
      </c>
      <c r="AR99" s="12">
        <f t="shared" si="99"/>
        <v>1.1000000000000001</v>
      </c>
      <c r="AS99" s="32">
        <f t="shared" si="100"/>
        <v>0.25190313420531196</v>
      </c>
      <c r="AT99" s="12"/>
      <c r="AU99" s="12">
        <f t="shared" si="101"/>
        <v>0</v>
      </c>
      <c r="AV99" s="32">
        <f t="shared" si="102"/>
        <v>0</v>
      </c>
      <c r="AW99" s="12"/>
      <c r="AX99" s="12">
        <f t="shared" si="103"/>
        <v>0</v>
      </c>
      <c r="AY99" s="32">
        <f t="shared" si="104"/>
        <v>0</v>
      </c>
      <c r="AZ99" s="12"/>
      <c r="BA99" s="12">
        <f t="shared" si="105"/>
        <v>0</v>
      </c>
      <c r="BB99" s="32">
        <f t="shared" si="106"/>
        <v>0</v>
      </c>
      <c r="BC99" s="12"/>
      <c r="BD99" s="12">
        <f t="shared" si="107"/>
        <v>0</v>
      </c>
      <c r="BE99" s="32">
        <f t="shared" si="108"/>
        <v>0</v>
      </c>
      <c r="BF99" s="12"/>
      <c r="BG99" s="12">
        <f t="shared" si="109"/>
        <v>0</v>
      </c>
      <c r="BH99" s="32">
        <f t="shared" si="110"/>
        <v>0</v>
      </c>
      <c r="BI99" s="12">
        <v>1</v>
      </c>
      <c r="BJ99" s="12">
        <f t="shared" si="111"/>
        <v>1.1000000000000001</v>
      </c>
      <c r="BK99" s="32">
        <f t="shared" si="112"/>
        <v>0.31924383055702638</v>
      </c>
      <c r="BL99" s="12">
        <v>1</v>
      </c>
      <c r="BM99" s="12">
        <f t="shared" si="113"/>
        <v>1.1000000000000001</v>
      </c>
      <c r="BN99" s="32">
        <f t="shared" si="114"/>
        <v>0.80836529165748505</v>
      </c>
      <c r="BO99" s="12">
        <v>1</v>
      </c>
      <c r="BP99" s="12">
        <f t="shared" si="115"/>
        <v>1.1000000000000001</v>
      </c>
      <c r="BQ99" s="32">
        <f t="shared" si="116"/>
        <v>0.47881383928698235</v>
      </c>
      <c r="BR99" s="12">
        <v>1</v>
      </c>
      <c r="BS99" s="12">
        <f t="shared" si="117"/>
        <v>1.1000000000000001</v>
      </c>
      <c r="BT99" s="32">
        <f t="shared" si="118"/>
        <v>0.30369599591874091</v>
      </c>
      <c r="BU99" s="12">
        <v>1</v>
      </c>
      <c r="BV99" s="12">
        <f t="shared" si="119"/>
        <v>1.1000000000000001</v>
      </c>
      <c r="BW99" s="32">
        <f t="shared" si="120"/>
        <v>0.32813506330375097</v>
      </c>
      <c r="BX99" s="12">
        <v>1</v>
      </c>
      <c r="BY99" s="12">
        <f t="shared" si="121"/>
        <v>1.1000000000000001</v>
      </c>
      <c r="BZ99" s="32">
        <f t="shared" si="122"/>
        <v>0.58962678151812775</v>
      </c>
      <c r="CA99" s="12"/>
      <c r="CB99" s="12">
        <f t="shared" si="123"/>
        <v>0</v>
      </c>
      <c r="CC99" s="32">
        <f t="shared" si="124"/>
        <v>0</v>
      </c>
      <c r="CD99" s="12"/>
      <c r="CE99" s="12">
        <f t="shared" si="125"/>
        <v>0</v>
      </c>
      <c r="CF99" s="32">
        <f t="shared" si="126"/>
        <v>0</v>
      </c>
      <c r="CG99" s="12"/>
      <c r="CH99" s="12">
        <f t="shared" si="127"/>
        <v>0</v>
      </c>
      <c r="CI99" s="32">
        <f t="shared" si="128"/>
        <v>0</v>
      </c>
      <c r="CJ99" s="12"/>
      <c r="CK99" s="12">
        <f t="shared" si="129"/>
        <v>0</v>
      </c>
      <c r="CL99" s="32">
        <f t="shared" si="130"/>
        <v>0</v>
      </c>
      <c r="CM99" s="12"/>
      <c r="CN99" s="12">
        <f t="shared" si="131"/>
        <v>0</v>
      </c>
      <c r="CO99" s="32">
        <f t="shared" si="132"/>
        <v>0</v>
      </c>
      <c r="CP99" s="12"/>
      <c r="CQ99" s="12">
        <f t="shared" si="133"/>
        <v>0</v>
      </c>
      <c r="CR99" s="32">
        <f t="shared" si="134"/>
        <v>0</v>
      </c>
      <c r="CS99" s="12"/>
      <c r="CT99" s="12">
        <f t="shared" si="139"/>
        <v>0</v>
      </c>
      <c r="CU99" s="32">
        <f t="shared" si="140"/>
        <v>0</v>
      </c>
      <c r="CV99" s="12"/>
      <c r="CW99" s="12">
        <f t="shared" si="141"/>
        <v>0</v>
      </c>
      <c r="CX99" s="32">
        <f t="shared" si="142"/>
        <v>0</v>
      </c>
      <c r="CY99" s="12"/>
      <c r="CZ99" s="12">
        <f t="shared" si="143"/>
        <v>0</v>
      </c>
      <c r="DA99" s="32">
        <f t="shared" si="144"/>
        <v>0</v>
      </c>
      <c r="DB99" s="12"/>
      <c r="DC99" s="12">
        <f t="shared" si="145"/>
        <v>0</v>
      </c>
      <c r="DD99" s="32">
        <f t="shared" si="146"/>
        <v>0</v>
      </c>
      <c r="DE99" s="12"/>
      <c r="DF99" s="12">
        <f t="shared" si="147"/>
        <v>0</v>
      </c>
      <c r="DG99" s="32">
        <f t="shared" si="148"/>
        <v>0</v>
      </c>
      <c r="DH99" s="12"/>
      <c r="DI99" s="12">
        <f t="shared" si="135"/>
        <v>0</v>
      </c>
      <c r="DJ99" s="32">
        <f t="shared" si="149"/>
        <v>0</v>
      </c>
      <c r="DK99" s="12"/>
      <c r="DL99" s="12">
        <f t="shared" si="150"/>
        <v>0</v>
      </c>
      <c r="DM99" s="32">
        <f t="shared" si="151"/>
        <v>0</v>
      </c>
    </row>
    <row r="100" spans="1:117" s="6" customFormat="1" ht="22.25" customHeight="1" x14ac:dyDescent="0.35">
      <c r="A100" s="4">
        <v>94</v>
      </c>
      <c r="B100" s="4" t="s">
        <v>231</v>
      </c>
      <c r="C100" s="4" t="s">
        <v>232</v>
      </c>
      <c r="D100" s="7">
        <f t="shared" si="136"/>
        <v>5.882352941176471</v>
      </c>
      <c r="E100" s="7">
        <f>35/7</f>
        <v>5</v>
      </c>
      <c r="F100" s="7">
        <v>1</v>
      </c>
      <c r="G100" s="7">
        <v>0.85</v>
      </c>
      <c r="H100" s="7">
        <f t="shared" si="137"/>
        <v>0.88235294117647067</v>
      </c>
      <c r="I100" s="9">
        <f t="shared" si="138"/>
        <v>6.764705882352942</v>
      </c>
      <c r="J100" s="13"/>
      <c r="K100" s="12">
        <f t="shared" si="78"/>
        <v>0</v>
      </c>
      <c r="L100" s="32">
        <f t="shared" si="79"/>
        <v>0</v>
      </c>
      <c r="M100" s="12"/>
      <c r="N100" s="12">
        <f t="shared" si="80"/>
        <v>0</v>
      </c>
      <c r="O100" s="32">
        <f t="shared" si="81"/>
        <v>0</v>
      </c>
      <c r="P100" s="12"/>
      <c r="Q100" s="12">
        <f t="shared" si="152"/>
        <v>0</v>
      </c>
      <c r="R100" s="32">
        <f t="shared" si="82"/>
        <v>0</v>
      </c>
      <c r="S100" s="12">
        <v>0.01</v>
      </c>
      <c r="T100" s="12">
        <f t="shared" si="83"/>
        <v>5.8823529411764712E-2</v>
      </c>
      <c r="U100" s="32">
        <f t="shared" si="84"/>
        <v>1.1685441630240437E-2</v>
      </c>
      <c r="V100" s="12"/>
      <c r="W100" s="12">
        <f t="shared" si="85"/>
        <v>0</v>
      </c>
      <c r="X100" s="32">
        <f t="shared" si="86"/>
        <v>0</v>
      </c>
      <c r="Y100" s="12"/>
      <c r="Z100" s="12">
        <f t="shared" si="87"/>
        <v>0</v>
      </c>
      <c r="AA100" s="32">
        <f t="shared" si="88"/>
        <v>0</v>
      </c>
      <c r="AB100" s="12">
        <v>0.01</v>
      </c>
      <c r="AC100" s="12">
        <f t="shared" si="89"/>
        <v>5.8823529411764712E-2</v>
      </c>
      <c r="AD100" s="32">
        <f t="shared" si="90"/>
        <v>1.5946004904973634E-2</v>
      </c>
      <c r="AE100" s="12"/>
      <c r="AF100" s="37">
        <f t="shared" si="91"/>
        <v>0</v>
      </c>
      <c r="AG100" s="14">
        <f t="shared" si="92"/>
        <v>0</v>
      </c>
      <c r="AH100" s="12"/>
      <c r="AI100" s="12">
        <f t="shared" si="93"/>
        <v>0</v>
      </c>
      <c r="AJ100" s="32">
        <f t="shared" si="94"/>
        <v>0</v>
      </c>
      <c r="AK100" s="12"/>
      <c r="AL100" s="12">
        <f t="shared" si="95"/>
        <v>0</v>
      </c>
      <c r="AM100" s="32">
        <f t="shared" si="96"/>
        <v>0</v>
      </c>
      <c r="AN100" s="12">
        <v>0.1</v>
      </c>
      <c r="AO100" s="12">
        <f t="shared" si="97"/>
        <v>0.58823529411764708</v>
      </c>
      <c r="AP100" s="32">
        <f t="shared" si="98"/>
        <v>0.14381437453893944</v>
      </c>
      <c r="AQ100" s="12"/>
      <c r="AR100" s="12">
        <f t="shared" si="99"/>
        <v>0</v>
      </c>
      <c r="AS100" s="32">
        <f t="shared" si="100"/>
        <v>0</v>
      </c>
      <c r="AT100" s="12"/>
      <c r="AU100" s="12">
        <f t="shared" si="101"/>
        <v>0</v>
      </c>
      <c r="AV100" s="32">
        <f t="shared" si="102"/>
        <v>0</v>
      </c>
      <c r="AW100" s="12"/>
      <c r="AX100" s="12">
        <f t="shared" si="103"/>
        <v>0</v>
      </c>
      <c r="AY100" s="32">
        <f t="shared" si="104"/>
        <v>0</v>
      </c>
      <c r="AZ100" s="12"/>
      <c r="BA100" s="12">
        <f t="shared" si="105"/>
        <v>0</v>
      </c>
      <c r="BB100" s="32">
        <f t="shared" si="106"/>
        <v>0</v>
      </c>
      <c r="BC100" s="12"/>
      <c r="BD100" s="12">
        <f t="shared" si="107"/>
        <v>0</v>
      </c>
      <c r="BE100" s="32">
        <f t="shared" si="108"/>
        <v>0</v>
      </c>
      <c r="BF100" s="12"/>
      <c r="BG100" s="12">
        <f t="shared" si="109"/>
        <v>0</v>
      </c>
      <c r="BH100" s="32">
        <f t="shared" si="110"/>
        <v>0</v>
      </c>
      <c r="BI100" s="12"/>
      <c r="BJ100" s="12">
        <f t="shared" si="111"/>
        <v>0</v>
      </c>
      <c r="BK100" s="32">
        <f t="shared" si="112"/>
        <v>0</v>
      </c>
      <c r="BL100" s="12"/>
      <c r="BM100" s="12">
        <f t="shared" si="113"/>
        <v>0</v>
      </c>
      <c r="BN100" s="32">
        <f t="shared" si="114"/>
        <v>0</v>
      </c>
      <c r="BO100" s="12"/>
      <c r="BP100" s="12">
        <f t="shared" si="115"/>
        <v>0</v>
      </c>
      <c r="BQ100" s="32">
        <f t="shared" si="116"/>
        <v>0</v>
      </c>
      <c r="BR100" s="12"/>
      <c r="BS100" s="12">
        <f t="shared" si="117"/>
        <v>0</v>
      </c>
      <c r="BT100" s="32">
        <f t="shared" si="118"/>
        <v>0</v>
      </c>
      <c r="BU100" s="12"/>
      <c r="BV100" s="12">
        <f t="shared" si="119"/>
        <v>0</v>
      </c>
      <c r="BW100" s="32">
        <f t="shared" si="120"/>
        <v>0</v>
      </c>
      <c r="BX100" s="12"/>
      <c r="BY100" s="12">
        <f t="shared" si="121"/>
        <v>0</v>
      </c>
      <c r="BZ100" s="32">
        <f t="shared" si="122"/>
        <v>0</v>
      </c>
      <c r="CA100" s="12"/>
      <c r="CB100" s="12">
        <f t="shared" si="123"/>
        <v>0</v>
      </c>
      <c r="CC100" s="32">
        <f t="shared" si="124"/>
        <v>0</v>
      </c>
      <c r="CD100" s="12"/>
      <c r="CE100" s="12">
        <f t="shared" si="125"/>
        <v>0</v>
      </c>
      <c r="CF100" s="32">
        <f t="shared" si="126"/>
        <v>0</v>
      </c>
      <c r="CG100" s="12"/>
      <c r="CH100" s="12">
        <f t="shared" si="127"/>
        <v>0</v>
      </c>
      <c r="CI100" s="32">
        <f t="shared" si="128"/>
        <v>0</v>
      </c>
      <c r="CJ100" s="12"/>
      <c r="CK100" s="12">
        <f t="shared" si="129"/>
        <v>0</v>
      </c>
      <c r="CL100" s="32">
        <f t="shared" si="130"/>
        <v>0</v>
      </c>
      <c r="CM100" s="12"/>
      <c r="CN100" s="12">
        <f t="shared" si="131"/>
        <v>0</v>
      </c>
      <c r="CO100" s="32">
        <f t="shared" si="132"/>
        <v>0</v>
      </c>
      <c r="CP100" s="12"/>
      <c r="CQ100" s="12">
        <f t="shared" si="133"/>
        <v>0</v>
      </c>
      <c r="CR100" s="32">
        <f t="shared" si="134"/>
        <v>0</v>
      </c>
      <c r="CS100" s="12"/>
      <c r="CT100" s="12">
        <f t="shared" si="139"/>
        <v>0</v>
      </c>
      <c r="CU100" s="32">
        <f t="shared" si="140"/>
        <v>0</v>
      </c>
      <c r="CV100" s="12"/>
      <c r="CW100" s="12">
        <f t="shared" si="141"/>
        <v>0</v>
      </c>
      <c r="CX100" s="32">
        <f t="shared" si="142"/>
        <v>0</v>
      </c>
      <c r="CY100" s="12"/>
      <c r="CZ100" s="12">
        <f t="shared" si="143"/>
        <v>0</v>
      </c>
      <c r="DA100" s="32">
        <f t="shared" si="144"/>
        <v>0</v>
      </c>
      <c r="DB100" s="12">
        <v>0.15</v>
      </c>
      <c r="DC100" s="12">
        <f t="shared" si="145"/>
        <v>0</v>
      </c>
      <c r="DD100" s="32">
        <f t="shared" si="146"/>
        <v>0</v>
      </c>
      <c r="DE100" s="12"/>
      <c r="DF100" s="12">
        <f t="shared" si="147"/>
        <v>0</v>
      </c>
      <c r="DG100" s="32">
        <f t="shared" si="148"/>
        <v>0</v>
      </c>
      <c r="DH100" s="12"/>
      <c r="DI100" s="12">
        <f t="shared" si="135"/>
        <v>0</v>
      </c>
      <c r="DJ100" s="32">
        <f t="shared" si="149"/>
        <v>0</v>
      </c>
      <c r="DK100" s="12"/>
      <c r="DL100" s="12">
        <f t="shared" si="150"/>
        <v>0</v>
      </c>
      <c r="DM100" s="32">
        <f t="shared" si="151"/>
        <v>0</v>
      </c>
    </row>
    <row r="101" spans="1:117" s="6" customFormat="1" ht="22.25" customHeight="1" x14ac:dyDescent="0.35">
      <c r="A101" s="4">
        <v>95</v>
      </c>
      <c r="B101" s="4" t="s">
        <v>233</v>
      </c>
      <c r="C101" s="4" t="s">
        <v>234</v>
      </c>
      <c r="D101" s="7">
        <f t="shared" si="136"/>
        <v>12.5</v>
      </c>
      <c r="E101" s="7">
        <f>210/(4*4.2)</f>
        <v>12.5</v>
      </c>
      <c r="F101" s="7">
        <v>1</v>
      </c>
      <c r="G101" s="7">
        <v>1</v>
      </c>
      <c r="H101" s="7">
        <f t="shared" si="137"/>
        <v>1.875</v>
      </c>
      <c r="I101" s="9">
        <f t="shared" si="138"/>
        <v>14.375</v>
      </c>
      <c r="J101" s="13"/>
      <c r="K101" s="12">
        <f t="shared" si="78"/>
        <v>0</v>
      </c>
      <c r="L101" s="32">
        <f t="shared" si="79"/>
        <v>0</v>
      </c>
      <c r="M101" s="12"/>
      <c r="N101" s="12">
        <f t="shared" si="80"/>
        <v>0</v>
      </c>
      <c r="O101" s="32">
        <f t="shared" si="81"/>
        <v>0</v>
      </c>
      <c r="P101" s="15">
        <v>5.0000000000000001E-3</v>
      </c>
      <c r="Q101" s="12">
        <f t="shared" si="152"/>
        <v>6.25E-2</v>
      </c>
      <c r="R101" s="32">
        <f t="shared" si="82"/>
        <v>1.4978787125547075E-2</v>
      </c>
      <c r="S101" s="12"/>
      <c r="T101" s="12">
        <f t="shared" si="83"/>
        <v>0</v>
      </c>
      <c r="U101" s="32">
        <f t="shared" si="84"/>
        <v>0</v>
      </c>
      <c r="V101" s="12"/>
      <c r="W101" s="12">
        <f t="shared" si="85"/>
        <v>0</v>
      </c>
      <c r="X101" s="32">
        <f t="shared" si="86"/>
        <v>0</v>
      </c>
      <c r="Y101" s="12"/>
      <c r="Z101" s="12">
        <f t="shared" si="87"/>
        <v>0</v>
      </c>
      <c r="AA101" s="32">
        <f t="shared" si="88"/>
        <v>0</v>
      </c>
      <c r="AB101" s="12"/>
      <c r="AC101" s="12">
        <f t="shared" si="89"/>
        <v>0</v>
      </c>
      <c r="AD101" s="32">
        <f t="shared" si="90"/>
        <v>0</v>
      </c>
      <c r="AE101" s="12"/>
      <c r="AF101" s="37">
        <f t="shared" si="91"/>
        <v>0</v>
      </c>
      <c r="AG101" s="14">
        <f t="shared" si="92"/>
        <v>0</v>
      </c>
      <c r="AH101" s="12"/>
      <c r="AI101" s="12">
        <f t="shared" si="93"/>
        <v>0</v>
      </c>
      <c r="AJ101" s="32">
        <f t="shared" si="94"/>
        <v>0</v>
      </c>
      <c r="AK101" s="12"/>
      <c r="AL101" s="12">
        <f t="shared" si="95"/>
        <v>0</v>
      </c>
      <c r="AM101" s="32">
        <f t="shared" si="96"/>
        <v>0</v>
      </c>
      <c r="AN101" s="12"/>
      <c r="AO101" s="12">
        <f t="shared" si="97"/>
        <v>0</v>
      </c>
      <c r="AP101" s="32">
        <f t="shared" si="98"/>
        <v>0</v>
      </c>
      <c r="AQ101" s="12"/>
      <c r="AR101" s="12">
        <f t="shared" si="99"/>
        <v>0</v>
      </c>
      <c r="AS101" s="32">
        <f t="shared" si="100"/>
        <v>0</v>
      </c>
      <c r="AT101" s="12"/>
      <c r="AU101" s="12">
        <f t="shared" si="101"/>
        <v>0</v>
      </c>
      <c r="AV101" s="32">
        <f t="shared" si="102"/>
        <v>0</v>
      </c>
      <c r="AW101" s="12"/>
      <c r="AX101" s="12">
        <f t="shared" si="103"/>
        <v>0</v>
      </c>
      <c r="AY101" s="32">
        <f t="shared" si="104"/>
        <v>0</v>
      </c>
      <c r="AZ101" s="12"/>
      <c r="BA101" s="12">
        <f t="shared" si="105"/>
        <v>0</v>
      </c>
      <c r="BB101" s="32">
        <f t="shared" si="106"/>
        <v>0</v>
      </c>
      <c r="BC101" s="12"/>
      <c r="BD101" s="12">
        <f t="shared" si="107"/>
        <v>0</v>
      </c>
      <c r="BE101" s="32">
        <f t="shared" si="108"/>
        <v>0</v>
      </c>
      <c r="BF101" s="12"/>
      <c r="BG101" s="12">
        <f t="shared" si="109"/>
        <v>0</v>
      </c>
      <c r="BH101" s="32">
        <f t="shared" si="110"/>
        <v>0</v>
      </c>
      <c r="BI101" s="12"/>
      <c r="BJ101" s="12">
        <f t="shared" si="111"/>
        <v>0</v>
      </c>
      <c r="BK101" s="32">
        <f t="shared" si="112"/>
        <v>0</v>
      </c>
      <c r="BL101" s="12"/>
      <c r="BM101" s="12">
        <f t="shared" si="113"/>
        <v>0</v>
      </c>
      <c r="BN101" s="32">
        <f t="shared" si="114"/>
        <v>0</v>
      </c>
      <c r="BO101" s="12">
        <v>1E-3</v>
      </c>
      <c r="BP101" s="12">
        <f t="shared" si="115"/>
        <v>1.2500000000000001E-2</v>
      </c>
      <c r="BQ101" s="32">
        <f t="shared" si="116"/>
        <v>5.4410663555338901E-3</v>
      </c>
      <c r="BR101" s="12"/>
      <c r="BS101" s="12">
        <f t="shared" si="117"/>
        <v>0</v>
      </c>
      <c r="BT101" s="32">
        <f t="shared" si="118"/>
        <v>0</v>
      </c>
      <c r="BU101" s="12">
        <v>3.0000000000000001E-3</v>
      </c>
      <c r="BV101" s="12">
        <f t="shared" si="119"/>
        <v>3.7499999999999999E-2</v>
      </c>
      <c r="BW101" s="32">
        <f t="shared" si="120"/>
        <v>1.1186422612627873E-2</v>
      </c>
      <c r="BX101" s="12"/>
      <c r="BY101" s="12">
        <f t="shared" si="121"/>
        <v>0</v>
      </c>
      <c r="BZ101" s="32">
        <f t="shared" si="122"/>
        <v>0</v>
      </c>
      <c r="CA101" s="12"/>
      <c r="CB101" s="12">
        <f t="shared" si="123"/>
        <v>0</v>
      </c>
      <c r="CC101" s="32">
        <f t="shared" si="124"/>
        <v>0</v>
      </c>
      <c r="CD101" s="12"/>
      <c r="CE101" s="12">
        <f t="shared" si="125"/>
        <v>0</v>
      </c>
      <c r="CF101" s="32">
        <f t="shared" si="126"/>
        <v>0</v>
      </c>
      <c r="CG101" s="12"/>
      <c r="CH101" s="12">
        <f t="shared" si="127"/>
        <v>0</v>
      </c>
      <c r="CI101" s="32">
        <f t="shared" si="128"/>
        <v>0</v>
      </c>
      <c r="CJ101" s="12"/>
      <c r="CK101" s="12">
        <f t="shared" si="129"/>
        <v>0</v>
      </c>
      <c r="CL101" s="32">
        <f t="shared" si="130"/>
        <v>0</v>
      </c>
      <c r="CM101" s="12"/>
      <c r="CN101" s="12">
        <f t="shared" si="131"/>
        <v>0</v>
      </c>
      <c r="CO101" s="32">
        <f t="shared" si="132"/>
        <v>0</v>
      </c>
      <c r="CP101" s="12"/>
      <c r="CQ101" s="12">
        <f t="shared" si="133"/>
        <v>0</v>
      </c>
      <c r="CR101" s="32">
        <f t="shared" si="134"/>
        <v>0</v>
      </c>
      <c r="CS101" s="12"/>
      <c r="CT101" s="12">
        <f t="shared" si="139"/>
        <v>0</v>
      </c>
      <c r="CU101" s="32">
        <f t="shared" si="140"/>
        <v>0</v>
      </c>
      <c r="CV101" s="12"/>
      <c r="CW101" s="12">
        <f t="shared" si="141"/>
        <v>0</v>
      </c>
      <c r="CX101" s="32">
        <f t="shared" si="142"/>
        <v>0</v>
      </c>
      <c r="CY101" s="12"/>
      <c r="CZ101" s="12">
        <f t="shared" si="143"/>
        <v>0</v>
      </c>
      <c r="DA101" s="32">
        <f t="shared" si="144"/>
        <v>0</v>
      </c>
      <c r="DB101" s="12">
        <v>2.5000000000000001E-2</v>
      </c>
      <c r="DC101" s="12">
        <f t="shared" si="145"/>
        <v>1.25E-4</v>
      </c>
      <c r="DD101" s="32">
        <f t="shared" si="146"/>
        <v>7.3697625285513123E-4</v>
      </c>
      <c r="DE101" s="12"/>
      <c r="DF101" s="12">
        <f t="shared" si="147"/>
        <v>0</v>
      </c>
      <c r="DG101" s="32">
        <f t="shared" si="148"/>
        <v>0</v>
      </c>
      <c r="DH101" s="12"/>
      <c r="DI101" s="12">
        <f t="shared" si="135"/>
        <v>0</v>
      </c>
      <c r="DJ101" s="32">
        <f t="shared" si="149"/>
        <v>0</v>
      </c>
      <c r="DK101" s="12"/>
      <c r="DL101" s="12">
        <f t="shared" si="150"/>
        <v>0</v>
      </c>
      <c r="DM101" s="32">
        <f t="shared" si="151"/>
        <v>0</v>
      </c>
    </row>
    <row r="102" spans="1:117" s="6" customFormat="1" ht="22.25" customHeight="1" x14ac:dyDescent="0.35">
      <c r="A102" s="4">
        <v>96</v>
      </c>
      <c r="B102" s="4" t="s">
        <v>235</v>
      </c>
      <c r="C102" s="4" t="s">
        <v>236</v>
      </c>
      <c r="D102" s="7">
        <f t="shared" si="136"/>
        <v>4.166666666666667</v>
      </c>
      <c r="E102" s="7">
        <f>10/6</f>
        <v>1.6666666666666667</v>
      </c>
      <c r="F102" s="7">
        <v>1</v>
      </c>
      <c r="G102" s="7">
        <v>0.4</v>
      </c>
      <c r="H102" s="7">
        <f t="shared" si="137"/>
        <v>0.625</v>
      </c>
      <c r="I102" s="9">
        <f t="shared" si="138"/>
        <v>4.791666666666667</v>
      </c>
      <c r="J102" s="13"/>
      <c r="K102" s="12">
        <f t="shared" si="78"/>
        <v>0</v>
      </c>
      <c r="L102" s="32">
        <f t="shared" si="79"/>
        <v>0</v>
      </c>
      <c r="M102" s="12"/>
      <c r="N102" s="12">
        <f t="shared" si="80"/>
        <v>0</v>
      </c>
      <c r="O102" s="32">
        <f t="shared" si="81"/>
        <v>0</v>
      </c>
      <c r="P102" s="12"/>
      <c r="Q102" s="12">
        <f t="shared" si="152"/>
        <v>0</v>
      </c>
      <c r="R102" s="32">
        <f t="shared" si="82"/>
        <v>0</v>
      </c>
      <c r="S102" s="12"/>
      <c r="T102" s="12">
        <f t="shared" si="83"/>
        <v>0</v>
      </c>
      <c r="U102" s="32">
        <f t="shared" si="84"/>
        <v>0</v>
      </c>
      <c r="V102" s="12"/>
      <c r="W102" s="12">
        <f t="shared" si="85"/>
        <v>0</v>
      </c>
      <c r="X102" s="32">
        <f t="shared" si="86"/>
        <v>0</v>
      </c>
      <c r="Y102" s="12"/>
      <c r="Z102" s="12">
        <f t="shared" si="87"/>
        <v>0</v>
      </c>
      <c r="AA102" s="32">
        <f t="shared" si="88"/>
        <v>0</v>
      </c>
      <c r="AB102" s="12"/>
      <c r="AC102" s="12">
        <f t="shared" si="89"/>
        <v>0</v>
      </c>
      <c r="AD102" s="32">
        <f t="shared" si="90"/>
        <v>0</v>
      </c>
      <c r="AE102" s="12"/>
      <c r="AF102" s="37">
        <f t="shared" si="91"/>
        <v>0</v>
      </c>
      <c r="AG102" s="14">
        <f t="shared" si="92"/>
        <v>0</v>
      </c>
      <c r="AH102" s="12"/>
      <c r="AI102" s="12">
        <f t="shared" si="93"/>
        <v>0</v>
      </c>
      <c r="AJ102" s="32">
        <f t="shared" si="94"/>
        <v>0</v>
      </c>
      <c r="AK102" s="12">
        <v>0.01</v>
      </c>
      <c r="AL102" s="12">
        <f t="shared" si="95"/>
        <v>4.1666666666666671E-2</v>
      </c>
      <c r="AM102" s="32">
        <f t="shared" si="96"/>
        <v>1.6994186180020587E-2</v>
      </c>
      <c r="AN102" s="12"/>
      <c r="AO102" s="12">
        <f t="shared" si="97"/>
        <v>0</v>
      </c>
      <c r="AP102" s="32">
        <f t="shared" si="98"/>
        <v>0</v>
      </c>
      <c r="AQ102" s="12"/>
      <c r="AR102" s="12">
        <f t="shared" si="99"/>
        <v>0</v>
      </c>
      <c r="AS102" s="32">
        <f t="shared" si="100"/>
        <v>0</v>
      </c>
      <c r="AT102" s="12"/>
      <c r="AU102" s="12">
        <f t="shared" si="101"/>
        <v>0</v>
      </c>
      <c r="AV102" s="32">
        <f t="shared" si="102"/>
        <v>0</v>
      </c>
      <c r="AW102" s="12"/>
      <c r="AX102" s="12">
        <f t="shared" si="103"/>
        <v>0</v>
      </c>
      <c r="AY102" s="32">
        <f t="shared" si="104"/>
        <v>0</v>
      </c>
      <c r="AZ102" s="12"/>
      <c r="BA102" s="12">
        <f t="shared" si="105"/>
        <v>0</v>
      </c>
      <c r="BB102" s="32">
        <f t="shared" si="106"/>
        <v>0</v>
      </c>
      <c r="BC102" s="12"/>
      <c r="BD102" s="12">
        <f t="shared" si="107"/>
        <v>0</v>
      </c>
      <c r="BE102" s="32">
        <f t="shared" si="108"/>
        <v>0</v>
      </c>
      <c r="BF102" s="12"/>
      <c r="BG102" s="12">
        <f t="shared" si="109"/>
        <v>0</v>
      </c>
      <c r="BH102" s="32">
        <f t="shared" si="110"/>
        <v>0</v>
      </c>
      <c r="BI102" s="12"/>
      <c r="BJ102" s="12">
        <f t="shared" si="111"/>
        <v>0</v>
      </c>
      <c r="BK102" s="32">
        <f t="shared" si="112"/>
        <v>0</v>
      </c>
      <c r="BL102" s="12"/>
      <c r="BM102" s="12">
        <f t="shared" si="113"/>
        <v>0</v>
      </c>
      <c r="BN102" s="32">
        <f t="shared" si="114"/>
        <v>0</v>
      </c>
      <c r="BO102" s="12"/>
      <c r="BP102" s="12">
        <f t="shared" si="115"/>
        <v>0</v>
      </c>
      <c r="BQ102" s="32">
        <f t="shared" si="116"/>
        <v>0</v>
      </c>
      <c r="BR102" s="12"/>
      <c r="BS102" s="12">
        <f t="shared" si="117"/>
        <v>0</v>
      </c>
      <c r="BT102" s="32">
        <f t="shared" si="118"/>
        <v>0</v>
      </c>
      <c r="BU102" s="12"/>
      <c r="BV102" s="12">
        <f t="shared" si="119"/>
        <v>0</v>
      </c>
      <c r="BW102" s="32">
        <f t="shared" si="120"/>
        <v>0</v>
      </c>
      <c r="BX102" s="12"/>
      <c r="BY102" s="12">
        <f t="shared" si="121"/>
        <v>0</v>
      </c>
      <c r="BZ102" s="32">
        <f t="shared" si="122"/>
        <v>0</v>
      </c>
      <c r="CA102" s="12"/>
      <c r="CB102" s="12">
        <f t="shared" si="123"/>
        <v>0</v>
      </c>
      <c r="CC102" s="32">
        <f t="shared" si="124"/>
        <v>0</v>
      </c>
      <c r="CD102" s="12"/>
      <c r="CE102" s="12">
        <f t="shared" si="125"/>
        <v>0</v>
      </c>
      <c r="CF102" s="32">
        <f t="shared" si="126"/>
        <v>0</v>
      </c>
      <c r="CG102" s="12"/>
      <c r="CH102" s="12">
        <f t="shared" si="127"/>
        <v>0</v>
      </c>
      <c r="CI102" s="32">
        <f t="shared" si="128"/>
        <v>0</v>
      </c>
      <c r="CJ102" s="12"/>
      <c r="CK102" s="12">
        <f t="shared" si="129"/>
        <v>0</v>
      </c>
      <c r="CL102" s="32">
        <f t="shared" si="130"/>
        <v>0</v>
      </c>
      <c r="CM102" s="12"/>
      <c r="CN102" s="12">
        <f t="shared" si="131"/>
        <v>0</v>
      </c>
      <c r="CO102" s="32">
        <f t="shared" si="132"/>
        <v>0</v>
      </c>
      <c r="CP102" s="12"/>
      <c r="CQ102" s="12">
        <f t="shared" si="133"/>
        <v>0</v>
      </c>
      <c r="CR102" s="32">
        <f t="shared" si="134"/>
        <v>0</v>
      </c>
      <c r="CS102" s="12"/>
      <c r="CT102" s="12">
        <f t="shared" si="139"/>
        <v>0</v>
      </c>
      <c r="CU102" s="32">
        <f t="shared" si="140"/>
        <v>0</v>
      </c>
      <c r="CV102" s="12"/>
      <c r="CW102" s="12">
        <f t="shared" si="141"/>
        <v>0</v>
      </c>
      <c r="CX102" s="32">
        <f t="shared" si="142"/>
        <v>0</v>
      </c>
      <c r="CY102" s="12"/>
      <c r="CZ102" s="12">
        <f t="shared" si="143"/>
        <v>0</v>
      </c>
      <c r="DA102" s="32">
        <f t="shared" si="144"/>
        <v>0</v>
      </c>
      <c r="DB102" s="12"/>
      <c r="DC102" s="12">
        <f t="shared" si="145"/>
        <v>0</v>
      </c>
      <c r="DD102" s="32">
        <f t="shared" si="146"/>
        <v>0</v>
      </c>
      <c r="DE102" s="12"/>
      <c r="DF102" s="12">
        <f t="shared" si="147"/>
        <v>0</v>
      </c>
      <c r="DG102" s="32">
        <f t="shared" si="148"/>
        <v>0</v>
      </c>
      <c r="DH102" s="12"/>
      <c r="DI102" s="12">
        <f t="shared" si="135"/>
        <v>0</v>
      </c>
      <c r="DJ102" s="32">
        <f t="shared" si="149"/>
        <v>0</v>
      </c>
      <c r="DK102" s="12"/>
      <c r="DL102" s="12">
        <f t="shared" si="150"/>
        <v>0</v>
      </c>
      <c r="DM102" s="32">
        <f t="shared" si="151"/>
        <v>0</v>
      </c>
    </row>
    <row r="103" spans="1:117" s="6" customFormat="1" ht="22.25" customHeight="1" x14ac:dyDescent="0.35">
      <c r="A103" s="4">
        <v>97</v>
      </c>
      <c r="B103" s="4" t="s">
        <v>237</v>
      </c>
      <c r="C103" s="4" t="s">
        <v>238</v>
      </c>
      <c r="D103" s="7">
        <f t="shared" si="136"/>
        <v>2.3333333333333335</v>
      </c>
      <c r="E103" s="7">
        <f>35/15</f>
        <v>2.3333333333333335</v>
      </c>
      <c r="F103" s="7">
        <v>1</v>
      </c>
      <c r="G103" s="7">
        <v>1</v>
      </c>
      <c r="H103" s="7">
        <f t="shared" si="137"/>
        <v>0.35000000000000003</v>
      </c>
      <c r="I103" s="9">
        <f t="shared" si="138"/>
        <v>2.6833333333333336</v>
      </c>
      <c r="J103" s="13"/>
      <c r="K103" s="12">
        <f t="shared" si="78"/>
        <v>0</v>
      </c>
      <c r="L103" s="32">
        <f t="shared" si="79"/>
        <v>0</v>
      </c>
      <c r="M103" s="12"/>
      <c r="N103" s="12">
        <f t="shared" si="80"/>
        <v>0</v>
      </c>
      <c r="O103" s="32">
        <f t="shared" si="81"/>
        <v>0</v>
      </c>
      <c r="P103" s="12"/>
      <c r="Q103" s="12">
        <f t="shared" si="152"/>
        <v>0</v>
      </c>
      <c r="R103" s="32">
        <f t="shared" si="82"/>
        <v>0</v>
      </c>
      <c r="S103" s="12"/>
      <c r="T103" s="12">
        <f t="shared" si="83"/>
        <v>0</v>
      </c>
      <c r="U103" s="32">
        <f t="shared" si="84"/>
        <v>0</v>
      </c>
      <c r="V103" s="12"/>
      <c r="W103" s="12">
        <f t="shared" si="85"/>
        <v>0</v>
      </c>
      <c r="X103" s="32">
        <f t="shared" si="86"/>
        <v>0</v>
      </c>
      <c r="Y103" s="12"/>
      <c r="Z103" s="12">
        <f t="shared" si="87"/>
        <v>0</v>
      </c>
      <c r="AA103" s="32">
        <f t="shared" si="88"/>
        <v>0</v>
      </c>
      <c r="AB103" s="12"/>
      <c r="AC103" s="12">
        <f t="shared" si="89"/>
        <v>0</v>
      </c>
      <c r="AD103" s="32">
        <f t="shared" si="90"/>
        <v>0</v>
      </c>
      <c r="AE103" s="12"/>
      <c r="AF103" s="37">
        <f t="shared" si="91"/>
        <v>0</v>
      </c>
      <c r="AG103" s="14">
        <f t="shared" si="92"/>
        <v>0</v>
      </c>
      <c r="AH103" s="12"/>
      <c r="AI103" s="12">
        <f t="shared" si="93"/>
        <v>0</v>
      </c>
      <c r="AJ103" s="32">
        <f t="shared" si="94"/>
        <v>0</v>
      </c>
      <c r="AK103" s="12"/>
      <c r="AL103" s="12">
        <f t="shared" si="95"/>
        <v>0</v>
      </c>
      <c r="AM103" s="32">
        <f t="shared" si="96"/>
        <v>0</v>
      </c>
      <c r="AN103" s="12"/>
      <c r="AO103" s="12">
        <f t="shared" si="97"/>
        <v>0</v>
      </c>
      <c r="AP103" s="32">
        <f t="shared" si="98"/>
        <v>0</v>
      </c>
      <c r="AQ103" s="12"/>
      <c r="AR103" s="12">
        <f t="shared" si="99"/>
        <v>0</v>
      </c>
      <c r="AS103" s="32">
        <f t="shared" si="100"/>
        <v>0</v>
      </c>
      <c r="AT103" s="12"/>
      <c r="AU103" s="12">
        <f t="shared" si="101"/>
        <v>0</v>
      </c>
      <c r="AV103" s="32">
        <f t="shared" si="102"/>
        <v>0</v>
      </c>
      <c r="AW103" s="12"/>
      <c r="AX103" s="12">
        <f t="shared" si="103"/>
        <v>0</v>
      </c>
      <c r="AY103" s="32">
        <f t="shared" si="104"/>
        <v>0</v>
      </c>
      <c r="AZ103" s="12"/>
      <c r="BA103" s="12">
        <f t="shared" si="105"/>
        <v>0</v>
      </c>
      <c r="BB103" s="32">
        <f t="shared" si="106"/>
        <v>0</v>
      </c>
      <c r="BC103" s="12"/>
      <c r="BD103" s="12">
        <f t="shared" si="107"/>
        <v>0</v>
      </c>
      <c r="BE103" s="32">
        <f t="shared" si="108"/>
        <v>0</v>
      </c>
      <c r="BF103" s="12"/>
      <c r="BG103" s="12">
        <f t="shared" si="109"/>
        <v>0</v>
      </c>
      <c r="BH103" s="32">
        <f t="shared" si="110"/>
        <v>0</v>
      </c>
      <c r="BI103" s="12"/>
      <c r="BJ103" s="12">
        <f t="shared" si="111"/>
        <v>0</v>
      </c>
      <c r="BK103" s="32">
        <f t="shared" si="112"/>
        <v>0</v>
      </c>
      <c r="BL103" s="12"/>
      <c r="BM103" s="12">
        <f t="shared" si="113"/>
        <v>0</v>
      </c>
      <c r="BN103" s="32">
        <f t="shared" si="114"/>
        <v>0</v>
      </c>
      <c r="BO103" s="12"/>
      <c r="BP103" s="12">
        <f t="shared" si="115"/>
        <v>0</v>
      </c>
      <c r="BQ103" s="32">
        <f t="shared" si="116"/>
        <v>0</v>
      </c>
      <c r="BR103" s="12"/>
      <c r="BS103" s="12">
        <f t="shared" si="117"/>
        <v>0</v>
      </c>
      <c r="BT103" s="32">
        <f t="shared" si="118"/>
        <v>0</v>
      </c>
      <c r="BU103" s="12"/>
      <c r="BV103" s="12">
        <f t="shared" si="119"/>
        <v>0</v>
      </c>
      <c r="BW103" s="32">
        <f t="shared" si="120"/>
        <v>0</v>
      </c>
      <c r="BX103" s="12"/>
      <c r="BY103" s="12">
        <f t="shared" si="121"/>
        <v>0</v>
      </c>
      <c r="BZ103" s="32">
        <f t="shared" si="122"/>
        <v>0</v>
      </c>
      <c r="CA103" s="12"/>
      <c r="CB103" s="12">
        <f t="shared" si="123"/>
        <v>0</v>
      </c>
      <c r="CC103" s="32">
        <f t="shared" si="124"/>
        <v>0</v>
      </c>
      <c r="CD103" s="12"/>
      <c r="CE103" s="12">
        <f t="shared" si="125"/>
        <v>0</v>
      </c>
      <c r="CF103" s="32">
        <f t="shared" si="126"/>
        <v>0</v>
      </c>
      <c r="CG103" s="12"/>
      <c r="CH103" s="12">
        <f t="shared" si="127"/>
        <v>0</v>
      </c>
      <c r="CI103" s="32">
        <f t="shared" si="128"/>
        <v>0</v>
      </c>
      <c r="CJ103" s="12"/>
      <c r="CK103" s="12">
        <f t="shared" si="129"/>
        <v>0</v>
      </c>
      <c r="CL103" s="32">
        <f t="shared" si="130"/>
        <v>0</v>
      </c>
      <c r="CM103" s="12"/>
      <c r="CN103" s="12">
        <f t="shared" si="131"/>
        <v>0</v>
      </c>
      <c r="CO103" s="32">
        <f t="shared" si="132"/>
        <v>0</v>
      </c>
      <c r="CP103" s="12"/>
      <c r="CQ103" s="12">
        <f t="shared" si="133"/>
        <v>0</v>
      </c>
      <c r="CR103" s="32">
        <f t="shared" si="134"/>
        <v>0</v>
      </c>
      <c r="CS103" s="12"/>
      <c r="CT103" s="12">
        <f t="shared" si="139"/>
        <v>0</v>
      </c>
      <c r="CU103" s="32">
        <f t="shared" si="140"/>
        <v>0</v>
      </c>
      <c r="CV103" s="12"/>
      <c r="CW103" s="12">
        <f t="shared" si="141"/>
        <v>0</v>
      </c>
      <c r="CX103" s="32">
        <f t="shared" si="142"/>
        <v>0</v>
      </c>
      <c r="CY103" s="12"/>
      <c r="CZ103" s="12">
        <f t="shared" si="143"/>
        <v>0</v>
      </c>
      <c r="DA103" s="32">
        <f t="shared" si="144"/>
        <v>0</v>
      </c>
      <c r="DB103" s="12"/>
      <c r="DC103" s="12">
        <f t="shared" si="145"/>
        <v>0</v>
      </c>
      <c r="DD103" s="32">
        <f t="shared" si="146"/>
        <v>0</v>
      </c>
      <c r="DE103" s="12"/>
      <c r="DF103" s="12">
        <f t="shared" si="147"/>
        <v>0</v>
      </c>
      <c r="DG103" s="32">
        <f t="shared" si="148"/>
        <v>0</v>
      </c>
      <c r="DH103" s="12"/>
      <c r="DI103" s="12">
        <f t="shared" si="135"/>
        <v>0</v>
      </c>
      <c r="DJ103" s="32">
        <f t="shared" si="149"/>
        <v>0</v>
      </c>
      <c r="DK103" s="12"/>
      <c r="DL103" s="12">
        <f t="shared" si="150"/>
        <v>0</v>
      </c>
      <c r="DM103" s="32">
        <f t="shared" si="151"/>
        <v>0</v>
      </c>
    </row>
    <row r="104" spans="1:117" s="6" customFormat="1" ht="22.25" customHeight="1" x14ac:dyDescent="0.35">
      <c r="A104" s="4">
        <v>98</v>
      </c>
      <c r="B104" s="4" t="s">
        <v>239</v>
      </c>
      <c r="C104" s="4" t="s">
        <v>240</v>
      </c>
      <c r="D104" s="7">
        <f t="shared" si="136"/>
        <v>50</v>
      </c>
      <c r="E104" s="7">
        <v>50</v>
      </c>
      <c r="F104" s="7">
        <v>1</v>
      </c>
      <c r="G104" s="7">
        <v>1</v>
      </c>
      <c r="H104" s="7">
        <f t="shared" si="137"/>
        <v>7.5</v>
      </c>
      <c r="I104" s="9">
        <f t="shared" si="138"/>
        <v>57.5</v>
      </c>
      <c r="J104" s="13"/>
      <c r="K104" s="12">
        <f t="shared" si="78"/>
        <v>0</v>
      </c>
      <c r="L104" s="32">
        <f t="shared" si="79"/>
        <v>0</v>
      </c>
      <c r="M104" s="12"/>
      <c r="N104" s="12">
        <f t="shared" si="80"/>
        <v>0</v>
      </c>
      <c r="O104" s="32">
        <f t="shared" si="81"/>
        <v>0</v>
      </c>
      <c r="P104" s="12"/>
      <c r="Q104" s="12">
        <f t="shared" si="152"/>
        <v>0</v>
      </c>
      <c r="R104" s="32">
        <f t="shared" si="82"/>
        <v>0</v>
      </c>
      <c r="S104" s="12"/>
      <c r="T104" s="12">
        <f t="shared" si="83"/>
        <v>0</v>
      </c>
      <c r="U104" s="32">
        <f t="shared" si="84"/>
        <v>0</v>
      </c>
      <c r="V104" s="12">
        <v>1E-3</v>
      </c>
      <c r="W104" s="12">
        <f t="shared" si="85"/>
        <v>0.05</v>
      </c>
      <c r="X104" s="32">
        <f t="shared" si="86"/>
        <v>7.5371740396831559E-3</v>
      </c>
      <c r="Y104" s="12"/>
      <c r="Z104" s="12">
        <f t="shared" si="87"/>
        <v>0</v>
      </c>
      <c r="AA104" s="32">
        <f t="shared" si="88"/>
        <v>0</v>
      </c>
      <c r="AB104" s="12"/>
      <c r="AC104" s="12">
        <f t="shared" si="89"/>
        <v>0</v>
      </c>
      <c r="AD104" s="32">
        <f t="shared" si="90"/>
        <v>0</v>
      </c>
      <c r="AE104" s="12"/>
      <c r="AF104" s="37">
        <f t="shared" si="91"/>
        <v>0</v>
      </c>
      <c r="AG104" s="14">
        <f t="shared" si="92"/>
        <v>0</v>
      </c>
      <c r="AH104" s="12"/>
      <c r="AI104" s="12">
        <f t="shared" si="93"/>
        <v>0</v>
      </c>
      <c r="AJ104" s="32">
        <f t="shared" si="94"/>
        <v>0</v>
      </c>
      <c r="AK104" s="12"/>
      <c r="AL104" s="12">
        <f t="shared" si="95"/>
        <v>0</v>
      </c>
      <c r="AM104" s="32">
        <f t="shared" si="96"/>
        <v>0</v>
      </c>
      <c r="AN104" s="12"/>
      <c r="AO104" s="12">
        <f t="shared" si="97"/>
        <v>0</v>
      </c>
      <c r="AP104" s="32">
        <f t="shared" si="98"/>
        <v>0</v>
      </c>
      <c r="AQ104" s="12"/>
      <c r="AR104" s="12">
        <f t="shared" si="99"/>
        <v>0</v>
      </c>
      <c r="AS104" s="32">
        <f t="shared" si="100"/>
        <v>0</v>
      </c>
      <c r="AT104" s="12"/>
      <c r="AU104" s="12">
        <f t="shared" si="101"/>
        <v>0</v>
      </c>
      <c r="AV104" s="32">
        <f t="shared" si="102"/>
        <v>0</v>
      </c>
      <c r="AW104" s="12"/>
      <c r="AX104" s="12">
        <f t="shared" si="103"/>
        <v>0</v>
      </c>
      <c r="AY104" s="32">
        <f t="shared" si="104"/>
        <v>0</v>
      </c>
      <c r="AZ104" s="12"/>
      <c r="BA104" s="12">
        <f t="shared" si="105"/>
        <v>0</v>
      </c>
      <c r="BB104" s="32">
        <f t="shared" si="106"/>
        <v>0</v>
      </c>
      <c r="BC104" s="12"/>
      <c r="BD104" s="12">
        <f t="shared" si="107"/>
        <v>0</v>
      </c>
      <c r="BE104" s="32">
        <f t="shared" si="108"/>
        <v>0</v>
      </c>
      <c r="BF104" s="12"/>
      <c r="BG104" s="12">
        <f t="shared" si="109"/>
        <v>0</v>
      </c>
      <c r="BH104" s="32">
        <f t="shared" si="110"/>
        <v>0</v>
      </c>
      <c r="BI104" s="12"/>
      <c r="BJ104" s="12">
        <f t="shared" si="111"/>
        <v>0</v>
      </c>
      <c r="BK104" s="32">
        <f t="shared" si="112"/>
        <v>0</v>
      </c>
      <c r="BL104" s="12"/>
      <c r="BM104" s="12">
        <f t="shared" si="113"/>
        <v>0</v>
      </c>
      <c r="BN104" s="32">
        <f t="shared" si="114"/>
        <v>0</v>
      </c>
      <c r="BO104" s="12"/>
      <c r="BP104" s="12">
        <f t="shared" si="115"/>
        <v>0</v>
      </c>
      <c r="BQ104" s="32">
        <f t="shared" si="116"/>
        <v>0</v>
      </c>
      <c r="BR104" s="12"/>
      <c r="BS104" s="12">
        <f t="shared" si="117"/>
        <v>0</v>
      </c>
      <c r="BT104" s="32">
        <f t="shared" si="118"/>
        <v>0</v>
      </c>
      <c r="BU104" s="12"/>
      <c r="BV104" s="12">
        <f t="shared" si="119"/>
        <v>0</v>
      </c>
      <c r="BW104" s="32">
        <f t="shared" si="120"/>
        <v>0</v>
      </c>
      <c r="BX104" s="12"/>
      <c r="BY104" s="12">
        <f t="shared" si="121"/>
        <v>0</v>
      </c>
      <c r="BZ104" s="32">
        <f t="shared" si="122"/>
        <v>0</v>
      </c>
      <c r="CA104" s="12"/>
      <c r="CB104" s="12">
        <f t="shared" si="123"/>
        <v>0</v>
      </c>
      <c r="CC104" s="32">
        <f t="shared" si="124"/>
        <v>0</v>
      </c>
      <c r="CD104" s="12"/>
      <c r="CE104" s="12">
        <f t="shared" si="125"/>
        <v>0</v>
      </c>
      <c r="CF104" s="32">
        <f t="shared" si="126"/>
        <v>0</v>
      </c>
      <c r="CG104" s="12"/>
      <c r="CH104" s="12">
        <f t="shared" si="127"/>
        <v>0</v>
      </c>
      <c r="CI104" s="32">
        <f t="shared" si="128"/>
        <v>0</v>
      </c>
      <c r="CJ104" s="12"/>
      <c r="CK104" s="12">
        <f t="shared" si="129"/>
        <v>0</v>
      </c>
      <c r="CL104" s="32">
        <f t="shared" si="130"/>
        <v>0</v>
      </c>
      <c r="CM104" s="12"/>
      <c r="CN104" s="12">
        <f t="shared" si="131"/>
        <v>0</v>
      </c>
      <c r="CO104" s="32">
        <f t="shared" si="132"/>
        <v>0</v>
      </c>
      <c r="CP104" s="12"/>
      <c r="CQ104" s="12">
        <f t="shared" si="133"/>
        <v>0</v>
      </c>
      <c r="CR104" s="32">
        <f t="shared" si="134"/>
        <v>0</v>
      </c>
      <c r="CS104" s="12"/>
      <c r="CT104" s="12">
        <f t="shared" si="139"/>
        <v>0</v>
      </c>
      <c r="CU104" s="32">
        <f t="shared" si="140"/>
        <v>0</v>
      </c>
      <c r="CV104" s="12"/>
      <c r="CW104" s="12">
        <f t="shared" si="141"/>
        <v>0</v>
      </c>
      <c r="CX104" s="32">
        <f t="shared" si="142"/>
        <v>0</v>
      </c>
      <c r="CY104" s="12"/>
      <c r="CZ104" s="12">
        <f t="shared" si="143"/>
        <v>0</v>
      </c>
      <c r="DA104" s="32">
        <f t="shared" si="144"/>
        <v>0</v>
      </c>
      <c r="DB104" s="12"/>
      <c r="DC104" s="12">
        <f t="shared" si="145"/>
        <v>0</v>
      </c>
      <c r="DD104" s="32">
        <f t="shared" si="146"/>
        <v>0</v>
      </c>
      <c r="DE104" s="12"/>
      <c r="DF104" s="12">
        <f t="shared" si="147"/>
        <v>0</v>
      </c>
      <c r="DG104" s="32">
        <f t="shared" si="148"/>
        <v>0</v>
      </c>
      <c r="DH104" s="12"/>
      <c r="DI104" s="12">
        <f t="shared" si="135"/>
        <v>0</v>
      </c>
      <c r="DJ104" s="32">
        <f t="shared" si="149"/>
        <v>0</v>
      </c>
      <c r="DK104" s="12"/>
      <c r="DL104" s="12">
        <f t="shared" si="150"/>
        <v>0</v>
      </c>
      <c r="DM104" s="32">
        <f t="shared" si="151"/>
        <v>0</v>
      </c>
    </row>
    <row r="105" spans="1:117" s="6" customFormat="1" ht="22.25" customHeight="1" x14ac:dyDescent="0.35">
      <c r="A105" s="4">
        <v>99</v>
      </c>
      <c r="B105" s="4" t="s">
        <v>241</v>
      </c>
      <c r="C105" s="4" t="s">
        <v>242</v>
      </c>
      <c r="D105" s="7">
        <f t="shared" si="136"/>
        <v>16</v>
      </c>
      <c r="E105" s="7">
        <f>4/0.25</f>
        <v>16</v>
      </c>
      <c r="F105" s="7">
        <v>1</v>
      </c>
      <c r="G105" s="7">
        <v>1</v>
      </c>
      <c r="H105" s="7">
        <f t="shared" si="137"/>
        <v>2.4</v>
      </c>
      <c r="I105" s="9">
        <f t="shared" si="138"/>
        <v>18.399999999999999</v>
      </c>
      <c r="J105" s="13"/>
      <c r="K105" s="12">
        <f t="shared" si="78"/>
        <v>0</v>
      </c>
      <c r="L105" s="32">
        <f t="shared" si="79"/>
        <v>0</v>
      </c>
      <c r="M105" s="12"/>
      <c r="N105" s="12">
        <f t="shared" si="80"/>
        <v>0</v>
      </c>
      <c r="O105" s="32">
        <f t="shared" si="81"/>
        <v>0</v>
      </c>
      <c r="P105" s="12"/>
      <c r="Q105" s="12">
        <f t="shared" si="152"/>
        <v>0</v>
      </c>
      <c r="R105" s="32">
        <f t="shared" si="82"/>
        <v>0</v>
      </c>
      <c r="S105" s="12"/>
      <c r="T105" s="12">
        <f t="shared" si="83"/>
        <v>0</v>
      </c>
      <c r="U105" s="32">
        <f t="shared" si="84"/>
        <v>0</v>
      </c>
      <c r="V105" s="12"/>
      <c r="W105" s="12">
        <f t="shared" si="85"/>
        <v>0</v>
      </c>
      <c r="X105" s="32">
        <f t="shared" si="86"/>
        <v>0</v>
      </c>
      <c r="Y105" s="12"/>
      <c r="Z105" s="12">
        <f t="shared" si="87"/>
        <v>0</v>
      </c>
      <c r="AA105" s="32">
        <f t="shared" si="88"/>
        <v>0</v>
      </c>
      <c r="AB105" s="12"/>
      <c r="AC105" s="12">
        <f t="shared" si="89"/>
        <v>0</v>
      </c>
      <c r="AD105" s="32">
        <f t="shared" si="90"/>
        <v>0</v>
      </c>
      <c r="AE105" s="12"/>
      <c r="AF105" s="37">
        <f t="shared" si="91"/>
        <v>0</v>
      </c>
      <c r="AG105" s="14">
        <f t="shared" si="92"/>
        <v>0</v>
      </c>
      <c r="AH105" s="12"/>
      <c r="AI105" s="12">
        <f t="shared" si="93"/>
        <v>0</v>
      </c>
      <c r="AJ105" s="32">
        <f t="shared" si="94"/>
        <v>0</v>
      </c>
      <c r="AK105" s="12"/>
      <c r="AL105" s="12">
        <f t="shared" si="95"/>
        <v>0</v>
      </c>
      <c r="AM105" s="32">
        <f t="shared" si="96"/>
        <v>0</v>
      </c>
      <c r="AN105" s="12"/>
      <c r="AO105" s="12">
        <f t="shared" si="97"/>
        <v>0</v>
      </c>
      <c r="AP105" s="32">
        <f t="shared" si="98"/>
        <v>0</v>
      </c>
      <c r="AQ105" s="12"/>
      <c r="AR105" s="12">
        <f t="shared" si="99"/>
        <v>0</v>
      </c>
      <c r="AS105" s="32">
        <f t="shared" si="100"/>
        <v>0</v>
      </c>
      <c r="AT105" s="12"/>
      <c r="AU105" s="12">
        <f t="shared" si="101"/>
        <v>0</v>
      </c>
      <c r="AV105" s="32">
        <f t="shared" si="102"/>
        <v>0</v>
      </c>
      <c r="AW105" s="12"/>
      <c r="AX105" s="12">
        <f t="shared" si="103"/>
        <v>0</v>
      </c>
      <c r="AY105" s="32">
        <f t="shared" si="104"/>
        <v>0</v>
      </c>
      <c r="AZ105" s="12"/>
      <c r="BA105" s="12">
        <f t="shared" si="105"/>
        <v>0</v>
      </c>
      <c r="BB105" s="32">
        <f t="shared" si="106"/>
        <v>0</v>
      </c>
      <c r="BC105" s="12"/>
      <c r="BD105" s="12">
        <f t="shared" si="107"/>
        <v>0</v>
      </c>
      <c r="BE105" s="32">
        <f t="shared" si="108"/>
        <v>0</v>
      </c>
      <c r="BF105" s="12"/>
      <c r="BG105" s="12">
        <f t="shared" si="109"/>
        <v>0</v>
      </c>
      <c r="BH105" s="32">
        <f t="shared" si="110"/>
        <v>0</v>
      </c>
      <c r="BI105" s="12">
        <v>0.02</v>
      </c>
      <c r="BJ105" s="12">
        <f t="shared" si="111"/>
        <v>0.32</v>
      </c>
      <c r="BK105" s="32">
        <f t="shared" si="112"/>
        <v>9.2870932525680405E-2</v>
      </c>
      <c r="BL105" s="12"/>
      <c r="BM105" s="12">
        <f t="shared" si="113"/>
        <v>0</v>
      </c>
      <c r="BN105" s="32">
        <f t="shared" si="114"/>
        <v>0</v>
      </c>
      <c r="BO105" s="12"/>
      <c r="BP105" s="12">
        <f t="shared" si="115"/>
        <v>0</v>
      </c>
      <c r="BQ105" s="32">
        <f t="shared" si="116"/>
        <v>0</v>
      </c>
      <c r="BR105" s="12"/>
      <c r="BS105" s="12">
        <f t="shared" si="117"/>
        <v>0</v>
      </c>
      <c r="BT105" s="32">
        <f t="shared" si="118"/>
        <v>0</v>
      </c>
      <c r="BU105" s="12"/>
      <c r="BV105" s="12">
        <f t="shared" si="119"/>
        <v>0</v>
      </c>
      <c r="BW105" s="32">
        <f t="shared" si="120"/>
        <v>0</v>
      </c>
      <c r="BX105" s="12"/>
      <c r="BY105" s="12">
        <f t="shared" si="121"/>
        <v>0</v>
      </c>
      <c r="BZ105" s="32">
        <f t="shared" si="122"/>
        <v>0</v>
      </c>
      <c r="CA105" s="12"/>
      <c r="CB105" s="12">
        <f t="shared" si="123"/>
        <v>0</v>
      </c>
      <c r="CC105" s="32">
        <f t="shared" si="124"/>
        <v>0</v>
      </c>
      <c r="CD105" s="12"/>
      <c r="CE105" s="12">
        <f t="shared" si="125"/>
        <v>0</v>
      </c>
      <c r="CF105" s="32">
        <f t="shared" si="126"/>
        <v>0</v>
      </c>
      <c r="CG105" s="12"/>
      <c r="CH105" s="12">
        <f t="shared" si="127"/>
        <v>0</v>
      </c>
      <c r="CI105" s="32">
        <f t="shared" si="128"/>
        <v>0</v>
      </c>
      <c r="CJ105" s="12"/>
      <c r="CK105" s="12">
        <f t="shared" si="129"/>
        <v>0</v>
      </c>
      <c r="CL105" s="32">
        <f t="shared" si="130"/>
        <v>0</v>
      </c>
      <c r="CM105" s="12"/>
      <c r="CN105" s="12">
        <f t="shared" si="131"/>
        <v>0</v>
      </c>
      <c r="CO105" s="32">
        <f t="shared" si="132"/>
        <v>0</v>
      </c>
      <c r="CP105" s="12"/>
      <c r="CQ105" s="12">
        <f t="shared" si="133"/>
        <v>0</v>
      </c>
      <c r="CR105" s="32">
        <f t="shared" si="134"/>
        <v>0</v>
      </c>
      <c r="CS105" s="12"/>
      <c r="CT105" s="12">
        <f t="shared" si="139"/>
        <v>0</v>
      </c>
      <c r="CU105" s="32">
        <f t="shared" si="140"/>
        <v>0</v>
      </c>
      <c r="CV105" s="12"/>
      <c r="CW105" s="12">
        <f t="shared" si="141"/>
        <v>0</v>
      </c>
      <c r="CX105" s="32">
        <f t="shared" si="142"/>
        <v>0</v>
      </c>
      <c r="CY105" s="12"/>
      <c r="CZ105" s="12">
        <f t="shared" si="143"/>
        <v>0</v>
      </c>
      <c r="DA105" s="32">
        <f t="shared" si="144"/>
        <v>0</v>
      </c>
      <c r="DB105" s="12"/>
      <c r="DC105" s="12">
        <f t="shared" si="145"/>
        <v>0</v>
      </c>
      <c r="DD105" s="32">
        <f t="shared" si="146"/>
        <v>0</v>
      </c>
      <c r="DE105" s="12"/>
      <c r="DF105" s="12">
        <f t="shared" si="147"/>
        <v>0</v>
      </c>
      <c r="DG105" s="32">
        <f t="shared" si="148"/>
        <v>0</v>
      </c>
      <c r="DH105" s="12"/>
      <c r="DI105" s="12">
        <f t="shared" si="135"/>
        <v>0</v>
      </c>
      <c r="DJ105" s="32">
        <f t="shared" si="149"/>
        <v>0</v>
      </c>
      <c r="DK105" s="12"/>
      <c r="DL105" s="12">
        <f t="shared" si="150"/>
        <v>0</v>
      </c>
      <c r="DM105" s="32">
        <f t="shared" si="151"/>
        <v>0</v>
      </c>
    </row>
    <row r="106" spans="1:117" s="6" customFormat="1" ht="22.25" customHeight="1" x14ac:dyDescent="0.35">
      <c r="A106" s="4">
        <v>100</v>
      </c>
      <c r="B106" s="4" t="s">
        <v>243</v>
      </c>
      <c r="C106" s="4" t="s">
        <v>244</v>
      </c>
      <c r="D106" s="7">
        <f t="shared" si="136"/>
        <v>0.32666666666666666</v>
      </c>
      <c r="E106" s="7">
        <f>98/300</f>
        <v>0.32666666666666666</v>
      </c>
      <c r="F106" s="7">
        <v>1</v>
      </c>
      <c r="G106" s="7">
        <v>1</v>
      </c>
      <c r="H106" s="7">
        <f t="shared" si="137"/>
        <v>4.8999999999999995E-2</v>
      </c>
      <c r="I106" s="9">
        <f t="shared" si="138"/>
        <v>0.37566666666666665</v>
      </c>
      <c r="J106" s="13"/>
      <c r="K106" s="12">
        <f t="shared" si="78"/>
        <v>0</v>
      </c>
      <c r="L106" s="32">
        <f t="shared" si="79"/>
        <v>0</v>
      </c>
      <c r="M106" s="12"/>
      <c r="N106" s="12">
        <f t="shared" si="80"/>
        <v>0</v>
      </c>
      <c r="O106" s="32">
        <f t="shared" si="81"/>
        <v>0</v>
      </c>
      <c r="P106" s="12"/>
      <c r="Q106" s="12">
        <f t="shared" si="152"/>
        <v>0</v>
      </c>
      <c r="R106" s="32">
        <f t="shared" si="82"/>
        <v>0</v>
      </c>
      <c r="S106" s="12"/>
      <c r="T106" s="12">
        <f t="shared" si="83"/>
        <v>0</v>
      </c>
      <c r="U106" s="32">
        <f t="shared" si="84"/>
        <v>0</v>
      </c>
      <c r="V106" s="12"/>
      <c r="W106" s="12">
        <f t="shared" si="85"/>
        <v>0</v>
      </c>
      <c r="X106" s="32">
        <f t="shared" si="86"/>
        <v>0</v>
      </c>
      <c r="Y106" s="12"/>
      <c r="Z106" s="12">
        <f t="shared" si="87"/>
        <v>0</v>
      </c>
      <c r="AA106" s="32">
        <f t="shared" si="88"/>
        <v>0</v>
      </c>
      <c r="AB106" s="12"/>
      <c r="AC106" s="12">
        <f t="shared" si="89"/>
        <v>0</v>
      </c>
      <c r="AD106" s="32">
        <f t="shared" si="90"/>
        <v>0</v>
      </c>
      <c r="AE106" s="12"/>
      <c r="AF106" s="37">
        <f t="shared" si="91"/>
        <v>0</v>
      </c>
      <c r="AG106" s="14">
        <f t="shared" si="92"/>
        <v>0</v>
      </c>
      <c r="AH106" s="12">
        <v>1</v>
      </c>
      <c r="AI106" s="12">
        <f t="shared" si="93"/>
        <v>0.32666666666666666</v>
      </c>
      <c r="AJ106" s="32">
        <f t="shared" si="94"/>
        <v>0.28718362759607602</v>
      </c>
      <c r="AK106" s="12">
        <v>1</v>
      </c>
      <c r="AL106" s="12">
        <f t="shared" si="95"/>
        <v>0.32666666666666666</v>
      </c>
      <c r="AM106" s="32">
        <f t="shared" si="96"/>
        <v>0.13323441965136137</v>
      </c>
      <c r="AN106" s="12"/>
      <c r="AO106" s="12">
        <f t="shared" si="97"/>
        <v>0</v>
      </c>
      <c r="AP106" s="32">
        <f t="shared" si="98"/>
        <v>0</v>
      </c>
      <c r="AQ106" s="12"/>
      <c r="AR106" s="12">
        <f t="shared" si="99"/>
        <v>0</v>
      </c>
      <c r="AS106" s="32">
        <f t="shared" si="100"/>
        <v>0</v>
      </c>
      <c r="AT106" s="12"/>
      <c r="AU106" s="12">
        <f t="shared" si="101"/>
        <v>0</v>
      </c>
      <c r="AV106" s="32">
        <f t="shared" si="102"/>
        <v>0</v>
      </c>
      <c r="AW106" s="12"/>
      <c r="AX106" s="12">
        <f t="shared" si="103"/>
        <v>0</v>
      </c>
      <c r="AY106" s="32">
        <f t="shared" si="104"/>
        <v>0</v>
      </c>
      <c r="AZ106" s="12"/>
      <c r="BA106" s="12">
        <f t="shared" si="105"/>
        <v>0</v>
      </c>
      <c r="BB106" s="32">
        <f t="shared" si="106"/>
        <v>0</v>
      </c>
      <c r="BC106" s="12"/>
      <c r="BD106" s="12">
        <f t="shared" si="107"/>
        <v>0</v>
      </c>
      <c r="BE106" s="32">
        <f t="shared" si="108"/>
        <v>0</v>
      </c>
      <c r="BF106" s="12"/>
      <c r="BG106" s="12">
        <f t="shared" si="109"/>
        <v>0</v>
      </c>
      <c r="BH106" s="32">
        <f t="shared" si="110"/>
        <v>0</v>
      </c>
      <c r="BI106" s="12"/>
      <c r="BJ106" s="12">
        <f t="shared" si="111"/>
        <v>0</v>
      </c>
      <c r="BK106" s="32">
        <f t="shared" si="112"/>
        <v>0</v>
      </c>
      <c r="BL106" s="12"/>
      <c r="BM106" s="12">
        <f t="shared" si="113"/>
        <v>0</v>
      </c>
      <c r="BN106" s="32">
        <f t="shared" si="114"/>
        <v>0</v>
      </c>
      <c r="BO106" s="12"/>
      <c r="BP106" s="12">
        <f t="shared" si="115"/>
        <v>0</v>
      </c>
      <c r="BQ106" s="32">
        <f t="shared" si="116"/>
        <v>0</v>
      </c>
      <c r="BR106" s="12"/>
      <c r="BS106" s="12">
        <f t="shared" si="117"/>
        <v>0</v>
      </c>
      <c r="BT106" s="32">
        <f t="shared" si="118"/>
        <v>0</v>
      </c>
      <c r="BU106" s="12"/>
      <c r="BV106" s="12">
        <f t="shared" si="119"/>
        <v>0</v>
      </c>
      <c r="BW106" s="32">
        <f t="shared" si="120"/>
        <v>0</v>
      </c>
      <c r="BX106" s="12"/>
      <c r="BY106" s="12">
        <f t="shared" si="121"/>
        <v>0</v>
      </c>
      <c r="BZ106" s="32">
        <f t="shared" si="122"/>
        <v>0</v>
      </c>
      <c r="CA106" s="12"/>
      <c r="CB106" s="12">
        <f t="shared" si="123"/>
        <v>0</v>
      </c>
      <c r="CC106" s="32">
        <f t="shared" si="124"/>
        <v>0</v>
      </c>
      <c r="CD106" s="12"/>
      <c r="CE106" s="12">
        <f t="shared" si="125"/>
        <v>0</v>
      </c>
      <c r="CF106" s="32">
        <f t="shared" si="126"/>
        <v>0</v>
      </c>
      <c r="CG106" s="12"/>
      <c r="CH106" s="12">
        <f t="shared" si="127"/>
        <v>0</v>
      </c>
      <c r="CI106" s="32">
        <f t="shared" si="128"/>
        <v>0</v>
      </c>
      <c r="CJ106" s="12"/>
      <c r="CK106" s="12">
        <f t="shared" si="129"/>
        <v>0</v>
      </c>
      <c r="CL106" s="32">
        <f t="shared" si="130"/>
        <v>0</v>
      </c>
      <c r="CM106" s="12"/>
      <c r="CN106" s="12">
        <f t="shared" si="131"/>
        <v>0</v>
      </c>
      <c r="CO106" s="32">
        <f t="shared" si="132"/>
        <v>0</v>
      </c>
      <c r="CP106" s="12"/>
      <c r="CQ106" s="12">
        <f t="shared" si="133"/>
        <v>0</v>
      </c>
      <c r="CR106" s="32">
        <f t="shared" si="134"/>
        <v>0</v>
      </c>
      <c r="CS106" s="12"/>
      <c r="CT106" s="12">
        <f t="shared" si="139"/>
        <v>0</v>
      </c>
      <c r="CU106" s="32">
        <f t="shared" si="140"/>
        <v>0</v>
      </c>
      <c r="CV106" s="12"/>
      <c r="CW106" s="12">
        <f t="shared" si="141"/>
        <v>0</v>
      </c>
      <c r="CX106" s="32">
        <f t="shared" si="142"/>
        <v>0</v>
      </c>
      <c r="CY106" s="12"/>
      <c r="CZ106" s="12">
        <f t="shared" si="143"/>
        <v>0</v>
      </c>
      <c r="DA106" s="32">
        <f t="shared" si="144"/>
        <v>0</v>
      </c>
      <c r="DB106" s="12"/>
      <c r="DC106" s="12">
        <f t="shared" si="145"/>
        <v>0</v>
      </c>
      <c r="DD106" s="32">
        <f t="shared" si="146"/>
        <v>0</v>
      </c>
      <c r="DE106" s="12"/>
      <c r="DF106" s="12">
        <f t="shared" si="147"/>
        <v>0</v>
      </c>
      <c r="DG106" s="32">
        <f t="shared" si="148"/>
        <v>0</v>
      </c>
      <c r="DH106" s="12"/>
      <c r="DI106" s="12">
        <f t="shared" ref="DI106:DI137" si="153">DH106*D106</f>
        <v>0</v>
      </c>
      <c r="DJ106" s="32">
        <f t="shared" si="149"/>
        <v>0</v>
      </c>
      <c r="DK106" s="12"/>
      <c r="DL106" s="12">
        <f t="shared" si="150"/>
        <v>0</v>
      </c>
      <c r="DM106" s="32">
        <f t="shared" si="151"/>
        <v>0</v>
      </c>
    </row>
    <row r="107" spans="1:117" s="6" customFormat="1" ht="22.25" customHeight="1" x14ac:dyDescent="0.35">
      <c r="A107" s="4">
        <v>101</v>
      </c>
      <c r="B107" s="4" t="s">
        <v>245</v>
      </c>
      <c r="C107" s="4" t="s">
        <v>246</v>
      </c>
      <c r="D107" s="7">
        <f t="shared" si="136"/>
        <v>0.32</v>
      </c>
      <c r="E107" s="7">
        <f>16/50</f>
        <v>0.32</v>
      </c>
      <c r="F107" s="7">
        <v>1</v>
      </c>
      <c r="G107" s="7">
        <v>1</v>
      </c>
      <c r="H107" s="7">
        <f t="shared" si="137"/>
        <v>4.8000000000000001E-2</v>
      </c>
      <c r="I107" s="9">
        <f t="shared" si="138"/>
        <v>0.36799999999999999</v>
      </c>
      <c r="J107" s="13">
        <v>5.0000000000000001E-3</v>
      </c>
      <c r="K107" s="12">
        <f t="shared" si="78"/>
        <v>1.6000000000000001E-3</v>
      </c>
      <c r="L107" s="32">
        <f t="shared" si="79"/>
        <v>1.6507719439145204E-4</v>
      </c>
      <c r="M107" s="12">
        <v>4.0000000000000001E-3</v>
      </c>
      <c r="N107" s="12">
        <f t="shared" si="80"/>
        <v>1.2800000000000001E-3</v>
      </c>
      <c r="O107" s="32">
        <f t="shared" si="81"/>
        <v>1.7139153861397806E-4</v>
      </c>
      <c r="P107" s="12">
        <v>5.0000000000000001E-3</v>
      </c>
      <c r="Q107" s="12">
        <f t="shared" si="152"/>
        <v>1.6000000000000001E-3</v>
      </c>
      <c r="R107" s="32">
        <f t="shared" si="82"/>
        <v>3.8345695041400516E-4</v>
      </c>
      <c r="S107" s="12">
        <v>5.0000000000000001E-3</v>
      </c>
      <c r="T107" s="12">
        <f t="shared" si="83"/>
        <v>1.6000000000000001E-3</v>
      </c>
      <c r="U107" s="32">
        <f t="shared" si="84"/>
        <v>3.1784401234253987E-4</v>
      </c>
      <c r="V107" s="12">
        <v>1E-3</v>
      </c>
      <c r="W107" s="12">
        <f t="shared" si="85"/>
        <v>3.2000000000000003E-4</v>
      </c>
      <c r="X107" s="32">
        <f t="shared" si="86"/>
        <v>4.8237913853972204E-5</v>
      </c>
      <c r="Y107" s="12"/>
      <c r="Z107" s="12">
        <f t="shared" si="87"/>
        <v>0</v>
      </c>
      <c r="AA107" s="32">
        <f t="shared" si="88"/>
        <v>0</v>
      </c>
      <c r="AB107" s="12"/>
      <c r="AC107" s="12">
        <f t="shared" si="89"/>
        <v>0</v>
      </c>
      <c r="AD107" s="32">
        <f t="shared" si="90"/>
        <v>0</v>
      </c>
      <c r="AE107" s="12"/>
      <c r="AF107" s="37">
        <f t="shared" si="91"/>
        <v>0</v>
      </c>
      <c r="AG107" s="14">
        <f t="shared" si="92"/>
        <v>0</v>
      </c>
      <c r="AH107" s="12"/>
      <c r="AI107" s="12">
        <f t="shared" si="93"/>
        <v>0</v>
      </c>
      <c r="AJ107" s="32">
        <f t="shared" si="94"/>
        <v>0</v>
      </c>
      <c r="AK107" s="12"/>
      <c r="AL107" s="12">
        <f t="shared" si="95"/>
        <v>0</v>
      </c>
      <c r="AM107" s="32">
        <f t="shared" si="96"/>
        <v>0</v>
      </c>
      <c r="AN107" s="12">
        <v>2E-3</v>
      </c>
      <c r="AO107" s="12">
        <f t="shared" si="97"/>
        <v>6.4000000000000005E-4</v>
      </c>
      <c r="AP107" s="32">
        <f t="shared" si="98"/>
        <v>1.5647003949836611E-4</v>
      </c>
      <c r="AQ107" s="12"/>
      <c r="AR107" s="12">
        <f t="shared" si="99"/>
        <v>0</v>
      </c>
      <c r="AS107" s="32">
        <f t="shared" si="100"/>
        <v>0</v>
      </c>
      <c r="AT107" s="12">
        <v>1E-3</v>
      </c>
      <c r="AU107" s="12">
        <f t="shared" si="101"/>
        <v>3.2000000000000003E-4</v>
      </c>
      <c r="AV107" s="32">
        <f t="shared" si="102"/>
        <v>2.3653048727828799E-4</v>
      </c>
      <c r="AW107" s="12">
        <v>2.5000000000000001E-3</v>
      </c>
      <c r="AX107" s="12">
        <f t="shared" si="103"/>
        <v>8.0000000000000004E-4</v>
      </c>
      <c r="AY107" s="32">
        <f t="shared" si="104"/>
        <v>3.6544312457645209E-4</v>
      </c>
      <c r="AZ107" s="12"/>
      <c r="BA107" s="12">
        <f t="shared" si="105"/>
        <v>0</v>
      </c>
      <c r="BB107" s="32">
        <f t="shared" si="106"/>
        <v>0</v>
      </c>
      <c r="BC107" s="12"/>
      <c r="BD107" s="12">
        <f t="shared" si="107"/>
        <v>0</v>
      </c>
      <c r="BE107" s="32">
        <f t="shared" si="108"/>
        <v>0</v>
      </c>
      <c r="BF107" s="12"/>
      <c r="BG107" s="12">
        <f t="shared" si="109"/>
        <v>0</v>
      </c>
      <c r="BH107" s="32">
        <f t="shared" si="110"/>
        <v>0</v>
      </c>
      <c r="BI107" s="12"/>
      <c r="BJ107" s="12">
        <f t="shared" si="111"/>
        <v>0</v>
      </c>
      <c r="BK107" s="32">
        <f t="shared" si="112"/>
        <v>0</v>
      </c>
      <c r="BL107" s="12">
        <v>2E-3</v>
      </c>
      <c r="BM107" s="12">
        <f t="shared" si="113"/>
        <v>6.4000000000000005E-4</v>
      </c>
      <c r="BN107" s="32">
        <f t="shared" si="114"/>
        <v>4.7032162423708222E-4</v>
      </c>
      <c r="BO107" s="12">
        <v>4.0000000000000002E-4</v>
      </c>
      <c r="BP107" s="12">
        <f t="shared" si="115"/>
        <v>1.2800000000000002E-4</v>
      </c>
      <c r="BQ107" s="32">
        <f t="shared" si="116"/>
        <v>5.571651948066704E-5</v>
      </c>
      <c r="BR107" s="12">
        <v>2E-3</v>
      </c>
      <c r="BS107" s="12">
        <f t="shared" si="117"/>
        <v>6.4000000000000005E-4</v>
      </c>
      <c r="BT107" s="32">
        <f t="shared" si="118"/>
        <v>1.7669585217090379E-4</v>
      </c>
      <c r="BU107" s="12">
        <v>4.0000000000000001E-3</v>
      </c>
      <c r="BV107" s="12">
        <f t="shared" si="119"/>
        <v>1.2800000000000001E-3</v>
      </c>
      <c r="BW107" s="32">
        <f t="shared" si="120"/>
        <v>3.8182989184436478E-4</v>
      </c>
      <c r="BX107" s="12"/>
      <c r="BY107" s="12">
        <f t="shared" si="121"/>
        <v>0</v>
      </c>
      <c r="BZ107" s="32">
        <f t="shared" si="122"/>
        <v>0</v>
      </c>
      <c r="CA107" s="12"/>
      <c r="CB107" s="12">
        <f t="shared" si="123"/>
        <v>0</v>
      </c>
      <c r="CC107" s="32">
        <f t="shared" si="124"/>
        <v>0</v>
      </c>
      <c r="CD107" s="12">
        <v>2.9999999999999997E-4</v>
      </c>
      <c r="CE107" s="12">
        <f t="shared" si="125"/>
        <v>9.5999999999999989E-5</v>
      </c>
      <c r="CF107" s="32">
        <f t="shared" si="126"/>
        <v>3.5813044821775232E-4</v>
      </c>
      <c r="CG107" s="12">
        <v>5.0000000000000001E-4</v>
      </c>
      <c r="CH107" s="12">
        <f t="shared" si="127"/>
        <v>1.6000000000000001E-4</v>
      </c>
      <c r="CI107" s="32">
        <f t="shared" si="128"/>
        <v>7.7995845291084259E-4</v>
      </c>
      <c r="CJ107" s="12"/>
      <c r="CK107" s="12">
        <f t="shared" si="129"/>
        <v>0</v>
      </c>
      <c r="CL107" s="32">
        <f t="shared" si="130"/>
        <v>0</v>
      </c>
      <c r="CM107" s="12">
        <v>5.0000000000000001E-4</v>
      </c>
      <c r="CN107" s="12">
        <f t="shared" si="131"/>
        <v>1.6000000000000001E-4</v>
      </c>
      <c r="CO107" s="32">
        <f t="shared" si="132"/>
        <v>1.0019648471977114E-3</v>
      </c>
      <c r="CP107" s="12">
        <v>2.9999999999999997E-4</v>
      </c>
      <c r="CQ107" s="12">
        <f t="shared" si="133"/>
        <v>9.5999999999999989E-5</v>
      </c>
      <c r="CR107" s="32">
        <f t="shared" si="134"/>
        <v>5.6599776219274072E-4</v>
      </c>
      <c r="CS107" s="12">
        <v>1.6E-2</v>
      </c>
      <c r="CT107" s="12">
        <f>CS107*D107</f>
        <v>5.1200000000000004E-3</v>
      </c>
      <c r="CU107" s="32">
        <f t="shared" si="140"/>
        <v>3.0186547316946175E-2</v>
      </c>
      <c r="CV107" s="12">
        <v>0.03</v>
      </c>
      <c r="CW107" s="12">
        <f t="shared" si="141"/>
        <v>9.5999999999999992E-3</v>
      </c>
      <c r="CX107" s="32">
        <f t="shared" si="142"/>
        <v>5.6599776219274069E-2</v>
      </c>
      <c r="CY107" s="12">
        <v>0.01</v>
      </c>
      <c r="CZ107" s="12">
        <f>CY107*D107</f>
        <v>3.2000000000000002E-3</v>
      </c>
      <c r="DA107" s="32">
        <f t="shared" si="144"/>
        <v>1.8866592073091361E-2</v>
      </c>
      <c r="DB107" s="12">
        <v>0.02</v>
      </c>
      <c r="DC107" s="12">
        <f t="shared" si="145"/>
        <v>1E-4</v>
      </c>
      <c r="DD107" s="32">
        <f t="shared" si="146"/>
        <v>5.8958100228410503E-4</v>
      </c>
      <c r="DE107" s="12">
        <v>1E-3</v>
      </c>
      <c r="DF107" s="12">
        <f t="shared" si="147"/>
        <v>3.2000000000000003E-4</v>
      </c>
      <c r="DG107" s="32">
        <f t="shared" si="148"/>
        <v>1.886659207309136E-3</v>
      </c>
      <c r="DH107" s="12">
        <v>0.02</v>
      </c>
      <c r="DI107" s="12">
        <f t="shared" si="153"/>
        <v>6.4000000000000003E-3</v>
      </c>
      <c r="DJ107" s="32">
        <f t="shared" si="149"/>
        <v>3.7733184146182722E-2</v>
      </c>
      <c r="DK107" s="12">
        <v>0.01</v>
      </c>
      <c r="DL107" s="12">
        <f t="shared" si="150"/>
        <v>3.2000000000000002E-3</v>
      </c>
      <c r="DM107" s="32">
        <f t="shared" si="151"/>
        <v>1.8866592073091361E-2</v>
      </c>
    </row>
    <row r="108" spans="1:117" s="6" customFormat="1" ht="22.25" customHeight="1" x14ac:dyDescent="0.35">
      <c r="A108" s="4">
        <v>102</v>
      </c>
      <c r="B108" s="4" t="s">
        <v>247</v>
      </c>
      <c r="C108" s="4" t="s">
        <v>248</v>
      </c>
      <c r="D108" s="7">
        <f t="shared" si="136"/>
        <v>67.399999999999991</v>
      </c>
      <c r="E108" s="7">
        <f>13.48/0.2</f>
        <v>67.399999999999991</v>
      </c>
      <c r="F108" s="7">
        <v>1</v>
      </c>
      <c r="G108" s="7">
        <v>1</v>
      </c>
      <c r="H108" s="7">
        <f t="shared" si="137"/>
        <v>10.109999999999998</v>
      </c>
      <c r="I108" s="9">
        <f t="shared" si="138"/>
        <v>77.509999999999991</v>
      </c>
      <c r="J108" s="13"/>
      <c r="K108" s="12">
        <f t="shared" si="78"/>
        <v>0</v>
      </c>
      <c r="L108" s="32">
        <f t="shared" si="79"/>
        <v>0</v>
      </c>
      <c r="M108" s="12"/>
      <c r="N108" s="12">
        <f t="shared" si="80"/>
        <v>0</v>
      </c>
      <c r="O108" s="32">
        <f t="shared" si="81"/>
        <v>0</v>
      </c>
      <c r="P108" s="12"/>
      <c r="Q108" s="12">
        <f t="shared" si="152"/>
        <v>0</v>
      </c>
      <c r="R108" s="32">
        <f t="shared" si="82"/>
        <v>0</v>
      </c>
      <c r="S108" s="12"/>
      <c r="T108" s="12">
        <f t="shared" si="83"/>
        <v>0</v>
      </c>
      <c r="U108" s="32">
        <f t="shared" si="84"/>
        <v>0</v>
      </c>
      <c r="V108" s="12"/>
      <c r="W108" s="12">
        <f t="shared" si="85"/>
        <v>0</v>
      </c>
      <c r="X108" s="32">
        <f t="shared" si="86"/>
        <v>0</v>
      </c>
      <c r="Y108" s="12"/>
      <c r="Z108" s="12">
        <f t="shared" si="87"/>
        <v>0</v>
      </c>
      <c r="AA108" s="32">
        <f t="shared" si="88"/>
        <v>0</v>
      </c>
      <c r="AB108" s="12"/>
      <c r="AC108" s="12">
        <f t="shared" si="89"/>
        <v>0</v>
      </c>
      <c r="AD108" s="32">
        <f t="shared" si="90"/>
        <v>0</v>
      </c>
      <c r="AE108" s="12"/>
      <c r="AF108" s="37">
        <f t="shared" si="91"/>
        <v>0</v>
      </c>
      <c r="AG108" s="14">
        <f t="shared" si="92"/>
        <v>0</v>
      </c>
      <c r="AH108" s="12"/>
      <c r="AI108" s="12">
        <f t="shared" si="93"/>
        <v>0</v>
      </c>
      <c r="AJ108" s="32">
        <f t="shared" si="94"/>
        <v>0</v>
      </c>
      <c r="AK108" s="12"/>
      <c r="AL108" s="12">
        <f t="shared" si="95"/>
        <v>0</v>
      </c>
      <c r="AM108" s="32">
        <f t="shared" si="96"/>
        <v>0</v>
      </c>
      <c r="AN108" s="12"/>
      <c r="AO108" s="12">
        <f t="shared" si="97"/>
        <v>0</v>
      </c>
      <c r="AP108" s="32">
        <f t="shared" si="98"/>
        <v>0</v>
      </c>
      <c r="AQ108" s="12"/>
      <c r="AR108" s="12">
        <f t="shared" si="99"/>
        <v>0</v>
      </c>
      <c r="AS108" s="32">
        <f t="shared" si="100"/>
        <v>0</v>
      </c>
      <c r="AT108" s="12"/>
      <c r="AU108" s="12">
        <f t="shared" si="101"/>
        <v>0</v>
      </c>
      <c r="AV108" s="32">
        <f t="shared" si="102"/>
        <v>0</v>
      </c>
      <c r="AW108" s="12"/>
      <c r="AX108" s="12">
        <f t="shared" si="103"/>
        <v>0</v>
      </c>
      <c r="AY108" s="32">
        <f t="shared" si="104"/>
        <v>0</v>
      </c>
      <c r="AZ108" s="12"/>
      <c r="BA108" s="12">
        <f t="shared" si="105"/>
        <v>0</v>
      </c>
      <c r="BB108" s="32">
        <f t="shared" si="106"/>
        <v>0</v>
      </c>
      <c r="BC108" s="12"/>
      <c r="BD108" s="12">
        <f t="shared" si="107"/>
        <v>0</v>
      </c>
      <c r="BE108" s="32">
        <f t="shared" si="108"/>
        <v>0</v>
      </c>
      <c r="BF108" s="12"/>
      <c r="BG108" s="12">
        <f t="shared" si="109"/>
        <v>0</v>
      </c>
      <c r="BH108" s="32">
        <f t="shared" si="110"/>
        <v>0</v>
      </c>
      <c r="BI108" s="12"/>
      <c r="BJ108" s="12">
        <f t="shared" si="111"/>
        <v>0</v>
      </c>
      <c r="BK108" s="32">
        <f t="shared" si="112"/>
        <v>0</v>
      </c>
      <c r="BL108" s="12"/>
      <c r="BM108" s="12">
        <f t="shared" si="113"/>
        <v>0</v>
      </c>
      <c r="BN108" s="32">
        <f t="shared" si="114"/>
        <v>0</v>
      </c>
      <c r="BO108" s="12"/>
      <c r="BP108" s="12">
        <f t="shared" si="115"/>
        <v>0</v>
      </c>
      <c r="BQ108" s="32">
        <f t="shared" si="116"/>
        <v>0</v>
      </c>
      <c r="BR108" s="12"/>
      <c r="BS108" s="12">
        <f t="shared" si="117"/>
        <v>0</v>
      </c>
      <c r="BT108" s="32">
        <f t="shared" si="118"/>
        <v>0</v>
      </c>
      <c r="BU108" s="12"/>
      <c r="BV108" s="12">
        <f t="shared" si="119"/>
        <v>0</v>
      </c>
      <c r="BW108" s="32">
        <f t="shared" si="120"/>
        <v>0</v>
      </c>
      <c r="BX108" s="12"/>
      <c r="BY108" s="12">
        <f t="shared" si="121"/>
        <v>0</v>
      </c>
      <c r="BZ108" s="32">
        <f t="shared" si="122"/>
        <v>0</v>
      </c>
      <c r="CA108" s="12"/>
      <c r="CB108" s="12">
        <f t="shared" si="123"/>
        <v>0</v>
      </c>
      <c r="CC108" s="32">
        <f t="shared" si="124"/>
        <v>0</v>
      </c>
      <c r="CD108" s="12"/>
      <c r="CE108" s="12">
        <f t="shared" si="125"/>
        <v>0</v>
      </c>
      <c r="CF108" s="32">
        <f t="shared" si="126"/>
        <v>0</v>
      </c>
      <c r="CG108" s="12"/>
      <c r="CH108" s="12">
        <f t="shared" si="127"/>
        <v>0</v>
      </c>
      <c r="CI108" s="32">
        <f t="shared" si="128"/>
        <v>0</v>
      </c>
      <c r="CJ108" s="12"/>
      <c r="CK108" s="12">
        <f t="shared" si="129"/>
        <v>0</v>
      </c>
      <c r="CL108" s="32">
        <f t="shared" si="130"/>
        <v>0</v>
      </c>
      <c r="CM108" s="12"/>
      <c r="CN108" s="12">
        <f t="shared" si="131"/>
        <v>0</v>
      </c>
      <c r="CO108" s="32">
        <f t="shared" si="132"/>
        <v>0</v>
      </c>
      <c r="CP108" s="12"/>
      <c r="CQ108" s="12">
        <f t="shared" si="133"/>
        <v>0</v>
      </c>
      <c r="CR108" s="32">
        <f t="shared" si="134"/>
        <v>0</v>
      </c>
      <c r="CS108" s="12"/>
      <c r="CT108" s="12">
        <f t="shared" si="139"/>
        <v>0</v>
      </c>
      <c r="CU108" s="32">
        <f t="shared" si="140"/>
        <v>0</v>
      </c>
      <c r="CV108" s="12"/>
      <c r="CW108" s="12">
        <f t="shared" si="141"/>
        <v>0</v>
      </c>
      <c r="CX108" s="32">
        <f t="shared" si="142"/>
        <v>0</v>
      </c>
      <c r="CY108" s="12"/>
      <c r="CZ108" s="12">
        <f t="shared" si="143"/>
        <v>0</v>
      </c>
      <c r="DA108" s="32">
        <f t="shared" si="144"/>
        <v>0</v>
      </c>
      <c r="DB108" s="12"/>
      <c r="DC108" s="12">
        <f t="shared" si="145"/>
        <v>0</v>
      </c>
      <c r="DD108" s="32">
        <f t="shared" si="146"/>
        <v>0</v>
      </c>
      <c r="DE108" s="12"/>
      <c r="DF108" s="12">
        <f t="shared" si="147"/>
        <v>0</v>
      </c>
      <c r="DG108" s="32">
        <f t="shared" si="148"/>
        <v>0</v>
      </c>
      <c r="DH108" s="12"/>
      <c r="DI108" s="12">
        <f t="shared" si="153"/>
        <v>0</v>
      </c>
      <c r="DJ108" s="32">
        <f t="shared" si="149"/>
        <v>0</v>
      </c>
      <c r="DK108" s="12"/>
      <c r="DL108" s="12">
        <f t="shared" si="150"/>
        <v>0</v>
      </c>
      <c r="DM108" s="32">
        <f t="shared" si="151"/>
        <v>0</v>
      </c>
    </row>
    <row r="109" spans="1:117" s="6" customFormat="1" ht="22.25" customHeight="1" x14ac:dyDescent="0.35">
      <c r="A109" s="4">
        <v>103</v>
      </c>
      <c r="B109" s="4" t="s">
        <v>249</v>
      </c>
      <c r="C109" s="4" t="s">
        <v>250</v>
      </c>
      <c r="D109" s="7">
        <f t="shared" si="136"/>
        <v>6.25E-2</v>
      </c>
      <c r="E109" s="7">
        <f>125/2000</f>
        <v>6.25E-2</v>
      </c>
      <c r="F109" s="7">
        <v>1</v>
      </c>
      <c r="G109" s="7">
        <v>1</v>
      </c>
      <c r="H109" s="7">
        <f t="shared" si="137"/>
        <v>9.3749999999999997E-3</v>
      </c>
      <c r="I109" s="9">
        <f t="shared" si="138"/>
        <v>7.1874999999999994E-2</v>
      </c>
      <c r="J109" s="13"/>
      <c r="K109" s="12">
        <f t="shared" si="78"/>
        <v>0</v>
      </c>
      <c r="L109" s="32">
        <f t="shared" si="79"/>
        <v>0</v>
      </c>
      <c r="M109" s="12"/>
      <c r="N109" s="12">
        <f t="shared" si="80"/>
        <v>0</v>
      </c>
      <c r="O109" s="32">
        <f t="shared" si="81"/>
        <v>0</v>
      </c>
      <c r="P109" s="12"/>
      <c r="Q109" s="12">
        <f t="shared" si="152"/>
        <v>0</v>
      </c>
      <c r="R109" s="32">
        <f t="shared" si="82"/>
        <v>0</v>
      </c>
      <c r="S109" s="12"/>
      <c r="T109" s="12">
        <f t="shared" si="83"/>
        <v>0</v>
      </c>
      <c r="U109" s="32">
        <f t="shared" si="84"/>
        <v>0</v>
      </c>
      <c r="V109" s="12"/>
      <c r="W109" s="12">
        <f t="shared" si="85"/>
        <v>0</v>
      </c>
      <c r="X109" s="32">
        <f t="shared" si="86"/>
        <v>0</v>
      </c>
      <c r="Y109" s="12"/>
      <c r="Z109" s="12">
        <f t="shared" si="87"/>
        <v>0</v>
      </c>
      <c r="AA109" s="32">
        <f t="shared" si="88"/>
        <v>0</v>
      </c>
      <c r="AB109" s="12"/>
      <c r="AC109" s="12">
        <f t="shared" si="89"/>
        <v>0</v>
      </c>
      <c r="AD109" s="32">
        <f t="shared" si="90"/>
        <v>0</v>
      </c>
      <c r="AE109" s="12"/>
      <c r="AF109" s="37">
        <f t="shared" si="91"/>
        <v>0</v>
      </c>
      <c r="AG109" s="14">
        <f t="shared" si="92"/>
        <v>0</v>
      </c>
      <c r="AH109" s="12"/>
      <c r="AI109" s="12">
        <f t="shared" si="93"/>
        <v>0</v>
      </c>
      <c r="AJ109" s="32">
        <f t="shared" si="94"/>
        <v>0</v>
      </c>
      <c r="AK109" s="12"/>
      <c r="AL109" s="12">
        <f t="shared" si="95"/>
        <v>0</v>
      </c>
      <c r="AM109" s="32">
        <f t="shared" si="96"/>
        <v>0</v>
      </c>
      <c r="AN109" s="12"/>
      <c r="AO109" s="12">
        <f t="shared" si="97"/>
        <v>0</v>
      </c>
      <c r="AP109" s="32">
        <f t="shared" si="98"/>
        <v>0</v>
      </c>
      <c r="AQ109" s="12"/>
      <c r="AR109" s="12">
        <f t="shared" si="99"/>
        <v>0</v>
      </c>
      <c r="AS109" s="32">
        <f t="shared" si="100"/>
        <v>0</v>
      </c>
      <c r="AT109" s="12"/>
      <c r="AU109" s="12">
        <f t="shared" si="101"/>
        <v>0</v>
      </c>
      <c r="AV109" s="32">
        <f t="shared" si="102"/>
        <v>0</v>
      </c>
      <c r="AW109" s="12"/>
      <c r="AX109" s="12">
        <f t="shared" si="103"/>
        <v>0</v>
      </c>
      <c r="AY109" s="32">
        <f t="shared" si="104"/>
        <v>0</v>
      </c>
      <c r="AZ109" s="12"/>
      <c r="BA109" s="12">
        <f t="shared" si="105"/>
        <v>0</v>
      </c>
      <c r="BB109" s="32">
        <f t="shared" si="106"/>
        <v>0</v>
      </c>
      <c r="BC109" s="12"/>
      <c r="BD109" s="12">
        <f t="shared" si="107"/>
        <v>0</v>
      </c>
      <c r="BE109" s="32">
        <f t="shared" si="108"/>
        <v>0</v>
      </c>
      <c r="BF109" s="12"/>
      <c r="BG109" s="12">
        <f t="shared" si="109"/>
        <v>0</v>
      </c>
      <c r="BH109" s="32">
        <f t="shared" si="110"/>
        <v>0</v>
      </c>
      <c r="BI109" s="12"/>
      <c r="BJ109" s="12">
        <f t="shared" si="111"/>
        <v>0</v>
      </c>
      <c r="BK109" s="32">
        <f t="shared" si="112"/>
        <v>0</v>
      </c>
      <c r="BL109" s="12"/>
      <c r="BM109" s="12">
        <f t="shared" si="113"/>
        <v>0</v>
      </c>
      <c r="BN109" s="32">
        <f t="shared" si="114"/>
        <v>0</v>
      </c>
      <c r="BO109" s="12"/>
      <c r="BP109" s="12">
        <f t="shared" si="115"/>
        <v>0</v>
      </c>
      <c r="BQ109" s="32">
        <f t="shared" si="116"/>
        <v>0</v>
      </c>
      <c r="BR109" s="12"/>
      <c r="BS109" s="12">
        <f t="shared" si="117"/>
        <v>0</v>
      </c>
      <c r="BT109" s="32">
        <f t="shared" si="118"/>
        <v>0</v>
      </c>
      <c r="BU109" s="12"/>
      <c r="BV109" s="12">
        <f t="shared" si="119"/>
        <v>0</v>
      </c>
      <c r="BW109" s="32">
        <f t="shared" si="120"/>
        <v>0</v>
      </c>
      <c r="BX109" s="12"/>
      <c r="BY109" s="12">
        <f t="shared" si="121"/>
        <v>0</v>
      </c>
      <c r="BZ109" s="32">
        <f t="shared" si="122"/>
        <v>0</v>
      </c>
      <c r="CA109" s="12"/>
      <c r="CB109" s="12">
        <f t="shared" si="123"/>
        <v>0</v>
      </c>
      <c r="CC109" s="32">
        <f t="shared" si="124"/>
        <v>0</v>
      </c>
      <c r="CD109" s="12">
        <v>1</v>
      </c>
      <c r="CE109" s="12">
        <f t="shared" si="125"/>
        <v>6.25E-2</v>
      </c>
      <c r="CF109" s="32">
        <f t="shared" si="126"/>
        <v>0.23315784389176586</v>
      </c>
      <c r="CG109" s="12">
        <v>1</v>
      </c>
      <c r="CH109" s="12">
        <f t="shared" si="127"/>
        <v>6.25E-2</v>
      </c>
      <c r="CI109" s="32">
        <f t="shared" si="128"/>
        <v>0.30467127066829786</v>
      </c>
      <c r="CJ109" s="12">
        <v>1</v>
      </c>
      <c r="CK109" s="12">
        <f t="shared" si="129"/>
        <v>6.25E-2</v>
      </c>
      <c r="CL109" s="32">
        <f t="shared" si="130"/>
        <v>0.16296412181894035</v>
      </c>
      <c r="CM109" s="12">
        <v>1</v>
      </c>
      <c r="CN109" s="12">
        <f t="shared" si="131"/>
        <v>6.25E-2</v>
      </c>
      <c r="CO109" s="32">
        <f t="shared" si="132"/>
        <v>0.391392518436606</v>
      </c>
      <c r="CP109" s="12">
        <v>1</v>
      </c>
      <c r="CQ109" s="12">
        <f t="shared" si="133"/>
        <v>6.25E-2</v>
      </c>
      <c r="CR109" s="32">
        <f t="shared" si="134"/>
        <v>0.36848812642756562</v>
      </c>
      <c r="CS109" s="12"/>
      <c r="CT109" s="12">
        <f t="shared" si="139"/>
        <v>0</v>
      </c>
      <c r="CU109" s="32">
        <f t="shared" si="140"/>
        <v>0</v>
      </c>
      <c r="CV109" s="12"/>
      <c r="CW109" s="12">
        <f t="shared" si="141"/>
        <v>0</v>
      </c>
      <c r="CX109" s="32">
        <f t="shared" si="142"/>
        <v>0</v>
      </c>
      <c r="CY109" s="12"/>
      <c r="CZ109" s="12">
        <f t="shared" si="143"/>
        <v>0</v>
      </c>
      <c r="DA109" s="32">
        <f t="shared" si="144"/>
        <v>0</v>
      </c>
      <c r="DB109" s="12"/>
      <c r="DC109" s="12">
        <f t="shared" si="145"/>
        <v>0</v>
      </c>
      <c r="DD109" s="32">
        <f t="shared" si="146"/>
        <v>0</v>
      </c>
      <c r="DE109" s="12"/>
      <c r="DF109" s="12">
        <f t="shared" si="147"/>
        <v>0</v>
      </c>
      <c r="DG109" s="32">
        <f t="shared" si="148"/>
        <v>0</v>
      </c>
      <c r="DH109" s="12"/>
      <c r="DI109" s="12">
        <f t="shared" si="153"/>
        <v>0</v>
      </c>
      <c r="DJ109" s="32">
        <f t="shared" si="149"/>
        <v>0</v>
      </c>
      <c r="DK109" s="12"/>
      <c r="DL109" s="12">
        <f t="shared" si="150"/>
        <v>0</v>
      </c>
      <c r="DM109" s="32">
        <f t="shared" si="151"/>
        <v>0</v>
      </c>
    </row>
    <row r="110" spans="1:117" s="6" customFormat="1" ht="22.25" customHeight="1" x14ac:dyDescent="0.35">
      <c r="A110" s="4">
        <v>104</v>
      </c>
      <c r="B110" s="4" t="s">
        <v>251</v>
      </c>
      <c r="C110" s="4" t="s">
        <v>252</v>
      </c>
      <c r="D110" s="7">
        <f t="shared" si="136"/>
        <v>8</v>
      </c>
      <c r="E110" s="7">
        <v>8</v>
      </c>
      <c r="F110" s="7">
        <v>1</v>
      </c>
      <c r="G110" s="7">
        <v>1</v>
      </c>
      <c r="H110" s="7">
        <f t="shared" si="137"/>
        <v>1.2</v>
      </c>
      <c r="I110" s="9">
        <f t="shared" si="138"/>
        <v>9.1999999999999993</v>
      </c>
      <c r="J110" s="13"/>
      <c r="K110" s="12">
        <f t="shared" si="78"/>
        <v>0</v>
      </c>
      <c r="L110" s="32">
        <f t="shared" si="79"/>
        <v>0</v>
      </c>
      <c r="M110" s="12"/>
      <c r="N110" s="12">
        <f t="shared" si="80"/>
        <v>0</v>
      </c>
      <c r="O110" s="32">
        <f t="shared" si="81"/>
        <v>0</v>
      </c>
      <c r="P110" s="12"/>
      <c r="Q110" s="12">
        <f t="shared" si="152"/>
        <v>0</v>
      </c>
      <c r="R110" s="32">
        <f t="shared" si="82"/>
        <v>0</v>
      </c>
      <c r="S110" s="12"/>
      <c r="T110" s="12">
        <f t="shared" si="83"/>
        <v>0</v>
      </c>
      <c r="U110" s="32">
        <f t="shared" si="84"/>
        <v>0</v>
      </c>
      <c r="V110" s="12"/>
      <c r="W110" s="12">
        <f t="shared" si="85"/>
        <v>0</v>
      </c>
      <c r="X110" s="32">
        <f t="shared" si="86"/>
        <v>0</v>
      </c>
      <c r="Y110" s="12"/>
      <c r="Z110" s="12">
        <f t="shared" si="87"/>
        <v>0</v>
      </c>
      <c r="AA110" s="32">
        <f t="shared" si="88"/>
        <v>0</v>
      </c>
      <c r="AB110" s="12"/>
      <c r="AC110" s="12">
        <f t="shared" si="89"/>
        <v>0</v>
      </c>
      <c r="AD110" s="32">
        <f t="shared" si="90"/>
        <v>0</v>
      </c>
      <c r="AE110" s="12"/>
      <c r="AF110" s="37">
        <f t="shared" si="91"/>
        <v>0</v>
      </c>
      <c r="AG110" s="14">
        <f t="shared" si="92"/>
        <v>0</v>
      </c>
      <c r="AH110" s="12"/>
      <c r="AI110" s="12">
        <f t="shared" si="93"/>
        <v>0</v>
      </c>
      <c r="AJ110" s="32">
        <f t="shared" si="94"/>
        <v>0</v>
      </c>
      <c r="AK110" s="12"/>
      <c r="AL110" s="12">
        <f t="shared" si="95"/>
        <v>0</v>
      </c>
      <c r="AM110" s="32">
        <f t="shared" si="96"/>
        <v>0</v>
      </c>
      <c r="AN110" s="12"/>
      <c r="AO110" s="12">
        <f t="shared" si="97"/>
        <v>0</v>
      </c>
      <c r="AP110" s="32">
        <f t="shared" si="98"/>
        <v>0</v>
      </c>
      <c r="AQ110" s="12"/>
      <c r="AR110" s="12">
        <f t="shared" si="99"/>
        <v>0</v>
      </c>
      <c r="AS110" s="32">
        <f t="shared" si="100"/>
        <v>0</v>
      </c>
      <c r="AT110" s="12"/>
      <c r="AU110" s="12">
        <f t="shared" si="101"/>
        <v>0</v>
      </c>
      <c r="AV110" s="32">
        <f t="shared" si="102"/>
        <v>0</v>
      </c>
      <c r="AW110" s="12"/>
      <c r="AX110" s="12">
        <f t="shared" si="103"/>
        <v>0</v>
      </c>
      <c r="AY110" s="32">
        <f t="shared" si="104"/>
        <v>0</v>
      </c>
      <c r="AZ110" s="12"/>
      <c r="BA110" s="12">
        <f t="shared" si="105"/>
        <v>0</v>
      </c>
      <c r="BB110" s="32">
        <f t="shared" si="106"/>
        <v>0</v>
      </c>
      <c r="BC110" s="12">
        <v>5.0000000000000001E-3</v>
      </c>
      <c r="BD110" s="12">
        <f t="shared" si="107"/>
        <v>0.04</v>
      </c>
      <c r="BE110" s="32">
        <f t="shared" si="108"/>
        <v>2.770236711391369E-2</v>
      </c>
      <c r="BF110" s="12">
        <v>5.0000000000000001E-3</v>
      </c>
      <c r="BG110" s="12">
        <f t="shared" si="109"/>
        <v>0.04</v>
      </c>
      <c r="BH110" s="32">
        <f t="shared" si="110"/>
        <v>1.3098960646244492E-2</v>
      </c>
      <c r="BI110" s="12"/>
      <c r="BJ110" s="12">
        <f t="shared" si="111"/>
        <v>0</v>
      </c>
      <c r="BK110" s="32">
        <f t="shared" si="112"/>
        <v>0</v>
      </c>
      <c r="BL110" s="12"/>
      <c r="BM110" s="12">
        <f t="shared" si="113"/>
        <v>0</v>
      </c>
      <c r="BN110" s="32">
        <f t="shared" si="114"/>
        <v>0</v>
      </c>
      <c r="BO110" s="12"/>
      <c r="BP110" s="12">
        <f t="shared" si="115"/>
        <v>0</v>
      </c>
      <c r="BQ110" s="32">
        <f t="shared" si="116"/>
        <v>0</v>
      </c>
      <c r="BR110" s="12"/>
      <c r="BS110" s="12">
        <f t="shared" si="117"/>
        <v>0</v>
      </c>
      <c r="BT110" s="32">
        <f t="shared" si="118"/>
        <v>0</v>
      </c>
      <c r="BU110" s="12"/>
      <c r="BV110" s="12">
        <f t="shared" si="119"/>
        <v>0</v>
      </c>
      <c r="BW110" s="32">
        <f t="shared" si="120"/>
        <v>0</v>
      </c>
      <c r="BX110" s="12"/>
      <c r="BY110" s="12">
        <f t="shared" si="121"/>
        <v>0</v>
      </c>
      <c r="BZ110" s="32">
        <f t="shared" si="122"/>
        <v>0</v>
      </c>
      <c r="CA110" s="12"/>
      <c r="CB110" s="12">
        <f t="shared" si="123"/>
        <v>0</v>
      </c>
      <c r="CC110" s="32">
        <f t="shared" si="124"/>
        <v>0</v>
      </c>
      <c r="CD110" s="12"/>
      <c r="CE110" s="12">
        <f t="shared" si="125"/>
        <v>0</v>
      </c>
      <c r="CF110" s="32">
        <f t="shared" si="126"/>
        <v>0</v>
      </c>
      <c r="CG110" s="12"/>
      <c r="CH110" s="12">
        <f t="shared" si="127"/>
        <v>0</v>
      </c>
      <c r="CI110" s="32">
        <f t="shared" si="128"/>
        <v>0</v>
      </c>
      <c r="CJ110" s="12"/>
      <c r="CK110" s="12">
        <f t="shared" si="129"/>
        <v>0</v>
      </c>
      <c r="CL110" s="32">
        <f t="shared" si="130"/>
        <v>0</v>
      </c>
      <c r="CM110" s="12"/>
      <c r="CN110" s="12">
        <f t="shared" si="131"/>
        <v>0</v>
      </c>
      <c r="CO110" s="32">
        <f t="shared" si="132"/>
        <v>0</v>
      </c>
      <c r="CP110" s="12"/>
      <c r="CQ110" s="12">
        <f t="shared" si="133"/>
        <v>0</v>
      </c>
      <c r="CR110" s="32">
        <f t="shared" si="134"/>
        <v>0</v>
      </c>
      <c r="CS110" s="12"/>
      <c r="CT110" s="12">
        <f t="shared" si="139"/>
        <v>0</v>
      </c>
      <c r="CU110" s="32">
        <f t="shared" si="140"/>
        <v>0</v>
      </c>
      <c r="CV110" s="12"/>
      <c r="CW110" s="12">
        <f t="shared" si="141"/>
        <v>0</v>
      </c>
      <c r="CX110" s="32">
        <f t="shared" si="142"/>
        <v>0</v>
      </c>
      <c r="CY110" s="12"/>
      <c r="CZ110" s="12">
        <f t="shared" si="143"/>
        <v>0</v>
      </c>
      <c r="DA110" s="32">
        <f t="shared" si="144"/>
        <v>0</v>
      </c>
      <c r="DB110" s="12"/>
      <c r="DC110" s="12">
        <f t="shared" si="145"/>
        <v>0</v>
      </c>
      <c r="DD110" s="32">
        <f t="shared" si="146"/>
        <v>0</v>
      </c>
      <c r="DE110" s="12">
        <f>0.02/50</f>
        <v>4.0000000000000002E-4</v>
      </c>
      <c r="DF110" s="12">
        <f t="shared" si="147"/>
        <v>3.2000000000000002E-3</v>
      </c>
      <c r="DG110" s="32">
        <f t="shared" si="148"/>
        <v>1.8866592073091361E-2</v>
      </c>
      <c r="DH110" s="12"/>
      <c r="DI110" s="12">
        <f t="shared" si="153"/>
        <v>0</v>
      </c>
      <c r="DJ110" s="32">
        <f t="shared" si="149"/>
        <v>0</v>
      </c>
      <c r="DK110" s="12"/>
      <c r="DL110" s="12">
        <f t="shared" si="150"/>
        <v>0</v>
      </c>
      <c r="DM110" s="32">
        <f t="shared" si="151"/>
        <v>0</v>
      </c>
    </row>
    <row r="111" spans="1:117" s="6" customFormat="1" ht="22.25" customHeight="1" x14ac:dyDescent="0.35">
      <c r="A111" s="4">
        <v>105</v>
      </c>
      <c r="B111" s="4" t="s">
        <v>253</v>
      </c>
      <c r="C111" s="4" t="s">
        <v>254</v>
      </c>
      <c r="D111" s="7">
        <f t="shared" si="136"/>
        <v>51.282051282051277</v>
      </c>
      <c r="E111" s="7">
        <f>120/(12*195)*1000</f>
        <v>51.282051282051277</v>
      </c>
      <c r="F111" s="7">
        <v>1</v>
      </c>
      <c r="G111" s="7">
        <v>1</v>
      </c>
      <c r="H111" s="7">
        <f t="shared" si="137"/>
        <v>7.6923076923076916</v>
      </c>
      <c r="I111" s="9">
        <f t="shared" si="138"/>
        <v>58.974358974358971</v>
      </c>
      <c r="J111" s="74">
        <v>0</v>
      </c>
      <c r="K111" s="12">
        <f t="shared" si="78"/>
        <v>0</v>
      </c>
      <c r="L111" s="32">
        <f t="shared" si="79"/>
        <v>0</v>
      </c>
      <c r="M111" s="12"/>
      <c r="N111" s="12">
        <f t="shared" si="80"/>
        <v>0</v>
      </c>
      <c r="O111" s="32">
        <f t="shared" si="81"/>
        <v>0</v>
      </c>
      <c r="P111" s="12"/>
      <c r="Q111" s="12">
        <f t="shared" si="152"/>
        <v>0</v>
      </c>
      <c r="R111" s="32">
        <f t="shared" si="82"/>
        <v>0</v>
      </c>
      <c r="S111" s="12"/>
      <c r="T111" s="12">
        <f t="shared" si="83"/>
        <v>0</v>
      </c>
      <c r="U111" s="32">
        <f t="shared" si="84"/>
        <v>0</v>
      </c>
      <c r="V111" s="12"/>
      <c r="W111" s="12">
        <f t="shared" si="85"/>
        <v>0</v>
      </c>
      <c r="X111" s="32">
        <f t="shared" si="86"/>
        <v>0</v>
      </c>
      <c r="Y111" s="12"/>
      <c r="Z111" s="12">
        <f t="shared" si="87"/>
        <v>0</v>
      </c>
      <c r="AA111" s="32">
        <f t="shared" si="88"/>
        <v>0</v>
      </c>
      <c r="AB111" s="12"/>
      <c r="AC111" s="12">
        <f t="shared" si="89"/>
        <v>0</v>
      </c>
      <c r="AD111" s="32">
        <f t="shared" si="90"/>
        <v>0</v>
      </c>
      <c r="AE111" s="12"/>
      <c r="AF111" s="37">
        <f t="shared" si="91"/>
        <v>0</v>
      </c>
      <c r="AG111" s="14">
        <f t="shared" si="92"/>
        <v>0</v>
      </c>
      <c r="AH111" s="12"/>
      <c r="AI111" s="12">
        <f t="shared" si="93"/>
        <v>0</v>
      </c>
      <c r="AJ111" s="32">
        <f t="shared" si="94"/>
        <v>0</v>
      </c>
      <c r="AK111" s="12"/>
      <c r="AL111" s="12">
        <f t="shared" si="95"/>
        <v>0</v>
      </c>
      <c r="AM111" s="32">
        <f t="shared" si="96"/>
        <v>0</v>
      </c>
      <c r="AN111" s="12"/>
      <c r="AO111" s="12">
        <f t="shared" si="97"/>
        <v>0</v>
      </c>
      <c r="AP111" s="32">
        <f t="shared" si="98"/>
        <v>0</v>
      </c>
      <c r="AQ111" s="12"/>
      <c r="AR111" s="12">
        <f t="shared" si="99"/>
        <v>0</v>
      </c>
      <c r="AS111" s="32">
        <f t="shared" si="100"/>
        <v>0</v>
      </c>
      <c r="AT111" s="12"/>
      <c r="AU111" s="12">
        <f t="shared" si="101"/>
        <v>0</v>
      </c>
      <c r="AV111" s="32">
        <f t="shared" si="102"/>
        <v>0</v>
      </c>
      <c r="AW111" s="12"/>
      <c r="AX111" s="12">
        <f t="shared" si="103"/>
        <v>0</v>
      </c>
      <c r="AY111" s="32">
        <f t="shared" si="104"/>
        <v>0</v>
      </c>
      <c r="AZ111" s="12"/>
      <c r="BA111" s="12">
        <f t="shared" si="105"/>
        <v>0</v>
      </c>
      <c r="BB111" s="32">
        <f t="shared" si="106"/>
        <v>0</v>
      </c>
      <c r="BC111" s="12"/>
      <c r="BD111" s="12">
        <f t="shared" si="107"/>
        <v>0</v>
      </c>
      <c r="BE111" s="32">
        <f t="shared" si="108"/>
        <v>0</v>
      </c>
      <c r="BF111" s="12"/>
      <c r="BG111" s="12">
        <f t="shared" si="109"/>
        <v>0</v>
      </c>
      <c r="BH111" s="32">
        <f t="shared" si="110"/>
        <v>0</v>
      </c>
      <c r="BI111" s="12"/>
      <c r="BJ111" s="12">
        <f t="shared" si="111"/>
        <v>0</v>
      </c>
      <c r="BK111" s="32">
        <f t="shared" si="112"/>
        <v>0</v>
      </c>
      <c r="BL111" s="12"/>
      <c r="BM111" s="12">
        <f t="shared" si="113"/>
        <v>0</v>
      </c>
      <c r="BN111" s="32">
        <f t="shared" si="114"/>
        <v>0</v>
      </c>
      <c r="BO111" s="12"/>
      <c r="BP111" s="12">
        <f t="shared" si="115"/>
        <v>0</v>
      </c>
      <c r="BQ111" s="32">
        <f t="shared" si="116"/>
        <v>0</v>
      </c>
      <c r="BR111" s="12"/>
      <c r="BS111" s="12">
        <f t="shared" si="117"/>
        <v>0</v>
      </c>
      <c r="BT111" s="32">
        <f t="shared" si="118"/>
        <v>0</v>
      </c>
      <c r="BU111" s="12"/>
      <c r="BV111" s="12">
        <f t="shared" si="119"/>
        <v>0</v>
      </c>
      <c r="BW111" s="32">
        <f t="shared" si="120"/>
        <v>0</v>
      </c>
      <c r="BX111" s="12"/>
      <c r="BY111" s="12">
        <f t="shared" si="121"/>
        <v>0</v>
      </c>
      <c r="BZ111" s="32">
        <f t="shared" si="122"/>
        <v>0</v>
      </c>
      <c r="CA111" s="12"/>
      <c r="CB111" s="12">
        <f t="shared" si="123"/>
        <v>0</v>
      </c>
      <c r="CC111" s="32">
        <f t="shared" si="124"/>
        <v>0</v>
      </c>
      <c r="CD111" s="12"/>
      <c r="CE111" s="12">
        <f t="shared" si="125"/>
        <v>0</v>
      </c>
      <c r="CF111" s="32">
        <f t="shared" si="126"/>
        <v>0</v>
      </c>
      <c r="CG111" s="12"/>
      <c r="CH111" s="12">
        <f t="shared" si="127"/>
        <v>0</v>
      </c>
      <c r="CI111" s="32">
        <f t="shared" si="128"/>
        <v>0</v>
      </c>
      <c r="CJ111" s="12"/>
      <c r="CK111" s="12">
        <f t="shared" si="129"/>
        <v>0</v>
      </c>
      <c r="CL111" s="32">
        <f t="shared" si="130"/>
        <v>0</v>
      </c>
      <c r="CM111" s="12"/>
      <c r="CN111" s="12">
        <f t="shared" si="131"/>
        <v>0</v>
      </c>
      <c r="CO111" s="32">
        <f t="shared" si="132"/>
        <v>0</v>
      </c>
      <c r="CP111" s="12"/>
      <c r="CQ111" s="12">
        <f t="shared" si="133"/>
        <v>0</v>
      </c>
      <c r="CR111" s="32">
        <f t="shared" si="134"/>
        <v>0</v>
      </c>
      <c r="CS111" s="12"/>
      <c r="CT111" s="12">
        <f t="shared" si="139"/>
        <v>0</v>
      </c>
      <c r="CU111" s="32">
        <f t="shared" si="140"/>
        <v>0</v>
      </c>
      <c r="CV111" s="12"/>
      <c r="CW111" s="12">
        <f t="shared" si="141"/>
        <v>0</v>
      </c>
      <c r="CX111" s="32">
        <f t="shared" si="142"/>
        <v>0</v>
      </c>
      <c r="CY111" s="12"/>
      <c r="CZ111" s="12">
        <f t="shared" si="143"/>
        <v>0</v>
      </c>
      <c r="DA111" s="32">
        <f t="shared" si="144"/>
        <v>0</v>
      </c>
      <c r="DB111" s="12"/>
      <c r="DC111" s="12">
        <f t="shared" si="145"/>
        <v>0</v>
      </c>
      <c r="DD111" s="32">
        <f t="shared" si="146"/>
        <v>0</v>
      </c>
      <c r="DE111" s="12"/>
      <c r="DF111" s="12">
        <f t="shared" si="147"/>
        <v>0</v>
      </c>
      <c r="DG111" s="32">
        <f t="shared" si="148"/>
        <v>0</v>
      </c>
      <c r="DH111" s="12"/>
      <c r="DI111" s="12">
        <f t="shared" si="153"/>
        <v>0</v>
      </c>
      <c r="DJ111" s="32">
        <f t="shared" si="149"/>
        <v>0</v>
      </c>
      <c r="DK111" s="12"/>
      <c r="DL111" s="12">
        <f t="shared" si="150"/>
        <v>0</v>
      </c>
      <c r="DM111" s="32">
        <f t="shared" si="151"/>
        <v>0</v>
      </c>
    </row>
    <row r="112" spans="1:117" s="6" customFormat="1" ht="22.25" customHeight="1" x14ac:dyDescent="0.35">
      <c r="A112" s="4">
        <v>106</v>
      </c>
      <c r="B112" s="4" t="s">
        <v>255</v>
      </c>
      <c r="C112" s="4" t="s">
        <v>256</v>
      </c>
      <c r="D112" s="7">
        <f t="shared" si="136"/>
        <v>9.5</v>
      </c>
      <c r="E112" s="7">
        <f>95/10</f>
        <v>9.5</v>
      </c>
      <c r="F112" s="7">
        <v>1</v>
      </c>
      <c r="G112" s="7">
        <v>1</v>
      </c>
      <c r="H112" s="7">
        <f t="shared" si="137"/>
        <v>1.425</v>
      </c>
      <c r="I112" s="9">
        <f t="shared" si="138"/>
        <v>10.925000000000001</v>
      </c>
      <c r="J112" s="13"/>
      <c r="K112" s="12">
        <f t="shared" si="78"/>
        <v>0</v>
      </c>
      <c r="L112" s="32">
        <f t="shared" si="79"/>
        <v>0</v>
      </c>
      <c r="M112" s="12"/>
      <c r="N112" s="12">
        <f t="shared" si="80"/>
        <v>0</v>
      </c>
      <c r="O112" s="32">
        <f t="shared" si="81"/>
        <v>0</v>
      </c>
      <c r="P112" s="12"/>
      <c r="Q112" s="12">
        <f t="shared" si="152"/>
        <v>0</v>
      </c>
      <c r="R112" s="32">
        <f t="shared" si="82"/>
        <v>0</v>
      </c>
      <c r="S112" s="12"/>
      <c r="T112" s="12">
        <f t="shared" si="83"/>
        <v>0</v>
      </c>
      <c r="U112" s="32">
        <f t="shared" si="84"/>
        <v>0</v>
      </c>
      <c r="V112" s="12"/>
      <c r="W112" s="12">
        <f t="shared" si="85"/>
        <v>0</v>
      </c>
      <c r="X112" s="32">
        <f t="shared" si="86"/>
        <v>0</v>
      </c>
      <c r="Y112" s="12"/>
      <c r="Z112" s="12">
        <f t="shared" si="87"/>
        <v>0</v>
      </c>
      <c r="AA112" s="32">
        <f t="shared" si="88"/>
        <v>0</v>
      </c>
      <c r="AB112" s="12"/>
      <c r="AC112" s="12">
        <f t="shared" si="89"/>
        <v>0</v>
      </c>
      <c r="AD112" s="32">
        <f t="shared" si="90"/>
        <v>0</v>
      </c>
      <c r="AE112" s="12"/>
      <c r="AF112" s="37">
        <f t="shared" si="91"/>
        <v>0</v>
      </c>
      <c r="AG112" s="14">
        <f t="shared" si="92"/>
        <v>0</v>
      </c>
      <c r="AH112" s="12"/>
      <c r="AI112" s="12">
        <f t="shared" si="93"/>
        <v>0</v>
      </c>
      <c r="AJ112" s="32">
        <f t="shared" si="94"/>
        <v>0</v>
      </c>
      <c r="AK112" s="12"/>
      <c r="AL112" s="12">
        <f t="shared" si="95"/>
        <v>0</v>
      </c>
      <c r="AM112" s="32">
        <f t="shared" si="96"/>
        <v>0</v>
      </c>
      <c r="AN112" s="12"/>
      <c r="AO112" s="12">
        <f t="shared" si="97"/>
        <v>0</v>
      </c>
      <c r="AP112" s="32">
        <f t="shared" si="98"/>
        <v>0</v>
      </c>
      <c r="AQ112" s="12"/>
      <c r="AR112" s="12">
        <f t="shared" si="99"/>
        <v>0</v>
      </c>
      <c r="AS112" s="32">
        <f t="shared" si="100"/>
        <v>0</v>
      </c>
      <c r="AT112" s="12"/>
      <c r="AU112" s="12">
        <f t="shared" si="101"/>
        <v>0</v>
      </c>
      <c r="AV112" s="32">
        <f t="shared" si="102"/>
        <v>0</v>
      </c>
      <c r="AW112" s="12">
        <v>0.05</v>
      </c>
      <c r="AX112" s="12">
        <f t="shared" si="103"/>
        <v>0.47500000000000003</v>
      </c>
      <c r="AY112" s="32">
        <f t="shared" si="104"/>
        <v>0.21698185521726845</v>
      </c>
      <c r="AZ112" s="12"/>
      <c r="BA112" s="12">
        <f t="shared" si="105"/>
        <v>0</v>
      </c>
      <c r="BB112" s="32">
        <f t="shared" si="106"/>
        <v>0</v>
      </c>
      <c r="BC112" s="12"/>
      <c r="BD112" s="12">
        <f t="shared" si="107"/>
        <v>0</v>
      </c>
      <c r="BE112" s="32">
        <f t="shared" si="108"/>
        <v>0</v>
      </c>
      <c r="BF112" s="12"/>
      <c r="BG112" s="12">
        <f t="shared" si="109"/>
        <v>0</v>
      </c>
      <c r="BH112" s="32">
        <f t="shared" si="110"/>
        <v>0</v>
      </c>
      <c r="BI112" s="12"/>
      <c r="BJ112" s="12">
        <f t="shared" si="111"/>
        <v>0</v>
      </c>
      <c r="BK112" s="32">
        <f t="shared" si="112"/>
        <v>0</v>
      </c>
      <c r="BL112" s="12"/>
      <c r="BM112" s="12">
        <f t="shared" si="113"/>
        <v>0</v>
      </c>
      <c r="BN112" s="32">
        <f t="shared" si="114"/>
        <v>0</v>
      </c>
      <c r="BO112" s="12"/>
      <c r="BP112" s="12">
        <f t="shared" si="115"/>
        <v>0</v>
      </c>
      <c r="BQ112" s="32">
        <f t="shared" si="116"/>
        <v>0</v>
      </c>
      <c r="BR112" s="12"/>
      <c r="BS112" s="12">
        <f t="shared" si="117"/>
        <v>0</v>
      </c>
      <c r="BT112" s="32">
        <f t="shared" si="118"/>
        <v>0</v>
      </c>
      <c r="BU112" s="12"/>
      <c r="BV112" s="12">
        <f t="shared" si="119"/>
        <v>0</v>
      </c>
      <c r="BW112" s="32">
        <f t="shared" si="120"/>
        <v>0</v>
      </c>
      <c r="BX112" s="12"/>
      <c r="BY112" s="12">
        <f t="shared" si="121"/>
        <v>0</v>
      </c>
      <c r="BZ112" s="32">
        <f t="shared" si="122"/>
        <v>0</v>
      </c>
      <c r="CA112" s="12"/>
      <c r="CB112" s="12">
        <f t="shared" si="123"/>
        <v>0</v>
      </c>
      <c r="CC112" s="32">
        <f t="shared" si="124"/>
        <v>0</v>
      </c>
      <c r="CD112" s="12"/>
      <c r="CE112" s="12">
        <f t="shared" si="125"/>
        <v>0</v>
      </c>
      <c r="CF112" s="32">
        <f t="shared" si="126"/>
        <v>0</v>
      </c>
      <c r="CG112" s="12">
        <v>0.01</v>
      </c>
      <c r="CH112" s="12">
        <f t="shared" si="127"/>
        <v>9.5000000000000001E-2</v>
      </c>
      <c r="CI112" s="32">
        <f t="shared" si="128"/>
        <v>0.46310033141581275</v>
      </c>
      <c r="CJ112" s="12"/>
      <c r="CK112" s="12">
        <f t="shared" si="129"/>
        <v>0</v>
      </c>
      <c r="CL112" s="32">
        <f t="shared" si="130"/>
        <v>0</v>
      </c>
      <c r="CM112" s="12"/>
      <c r="CN112" s="12">
        <f t="shared" si="131"/>
        <v>0</v>
      </c>
      <c r="CO112" s="32">
        <f t="shared" si="132"/>
        <v>0</v>
      </c>
      <c r="CP112" s="12"/>
      <c r="CQ112" s="12">
        <f t="shared" si="133"/>
        <v>0</v>
      </c>
      <c r="CR112" s="32">
        <f t="shared" si="134"/>
        <v>0</v>
      </c>
      <c r="CS112" s="12">
        <v>0.1</v>
      </c>
      <c r="CT112" s="12">
        <f>CS112*D112</f>
        <v>0.95000000000000007</v>
      </c>
      <c r="CU112" s="32">
        <f t="shared" si="140"/>
        <v>5.6010195216989977</v>
      </c>
      <c r="CV112" s="12"/>
      <c r="CW112" s="12">
        <f t="shared" si="141"/>
        <v>0</v>
      </c>
      <c r="CX112" s="32">
        <f t="shared" si="142"/>
        <v>0</v>
      </c>
      <c r="CY112" s="12">
        <v>0.12</v>
      </c>
      <c r="CZ112" s="12">
        <f>CY112*D112</f>
        <v>1.1399999999999999</v>
      </c>
      <c r="DA112" s="32">
        <f t="shared" si="144"/>
        <v>6.7212234260387964</v>
      </c>
      <c r="DB112" s="12"/>
      <c r="DC112" s="12">
        <f t="shared" si="145"/>
        <v>0</v>
      </c>
      <c r="DD112" s="32">
        <f t="shared" si="146"/>
        <v>0</v>
      </c>
      <c r="DE112" s="12"/>
      <c r="DF112" s="12">
        <f t="shared" si="147"/>
        <v>0</v>
      </c>
      <c r="DG112" s="32">
        <f t="shared" si="148"/>
        <v>0</v>
      </c>
      <c r="DH112" s="12"/>
      <c r="DI112" s="12">
        <f t="shared" si="153"/>
        <v>0</v>
      </c>
      <c r="DJ112" s="32">
        <f t="shared" si="149"/>
        <v>0</v>
      </c>
      <c r="DK112" s="12"/>
      <c r="DL112" s="12">
        <f t="shared" si="150"/>
        <v>0</v>
      </c>
      <c r="DM112" s="32">
        <f t="shared" si="151"/>
        <v>0</v>
      </c>
    </row>
    <row r="113" spans="1:117" s="6" customFormat="1" ht="22.25" customHeight="1" x14ac:dyDescent="0.35">
      <c r="A113" s="4">
        <v>107</v>
      </c>
      <c r="B113" s="4" t="s">
        <v>257</v>
      </c>
      <c r="C113" s="4" t="s">
        <v>258</v>
      </c>
      <c r="D113" s="7">
        <f t="shared" si="136"/>
        <v>50</v>
      </c>
      <c r="E113" s="7">
        <v>50</v>
      </c>
      <c r="F113" s="7">
        <v>1</v>
      </c>
      <c r="G113" s="7">
        <v>1</v>
      </c>
      <c r="H113" s="7">
        <f t="shared" si="137"/>
        <v>7.5</v>
      </c>
      <c r="I113" s="9">
        <f t="shared" si="138"/>
        <v>57.5</v>
      </c>
      <c r="J113" s="13"/>
      <c r="K113" s="12">
        <f t="shared" si="78"/>
        <v>0</v>
      </c>
      <c r="L113" s="32">
        <f t="shared" si="79"/>
        <v>0</v>
      </c>
      <c r="M113" s="12"/>
      <c r="N113" s="12">
        <f t="shared" si="80"/>
        <v>0</v>
      </c>
      <c r="O113" s="32">
        <f t="shared" si="81"/>
        <v>0</v>
      </c>
      <c r="P113" s="12"/>
      <c r="Q113" s="12">
        <f t="shared" si="152"/>
        <v>0</v>
      </c>
      <c r="R113" s="32">
        <f t="shared" si="82"/>
        <v>0</v>
      </c>
      <c r="S113" s="12"/>
      <c r="T113" s="12">
        <f t="shared" si="83"/>
        <v>0</v>
      </c>
      <c r="U113" s="32">
        <f t="shared" si="84"/>
        <v>0</v>
      </c>
      <c r="V113" s="12">
        <v>1E-3</v>
      </c>
      <c r="W113" s="12">
        <f t="shared" si="85"/>
        <v>0.05</v>
      </c>
      <c r="X113" s="32">
        <f t="shared" si="86"/>
        <v>7.5371740396831559E-3</v>
      </c>
      <c r="Y113" s="12"/>
      <c r="Z113" s="12">
        <f t="shared" si="87"/>
        <v>0</v>
      </c>
      <c r="AA113" s="32">
        <f t="shared" si="88"/>
        <v>0</v>
      </c>
      <c r="AB113" s="12"/>
      <c r="AC113" s="12">
        <f t="shared" si="89"/>
        <v>0</v>
      </c>
      <c r="AD113" s="32">
        <f t="shared" si="90"/>
        <v>0</v>
      </c>
      <c r="AE113" s="12"/>
      <c r="AF113" s="37">
        <f t="shared" si="91"/>
        <v>0</v>
      </c>
      <c r="AG113" s="14">
        <f t="shared" si="92"/>
        <v>0</v>
      </c>
      <c r="AH113" s="12"/>
      <c r="AI113" s="12">
        <f t="shared" si="93"/>
        <v>0</v>
      </c>
      <c r="AJ113" s="32">
        <f t="shared" si="94"/>
        <v>0</v>
      </c>
      <c r="AK113" s="12"/>
      <c r="AL113" s="12">
        <f t="shared" si="95"/>
        <v>0</v>
      </c>
      <c r="AM113" s="32">
        <f t="shared" si="96"/>
        <v>0</v>
      </c>
      <c r="AN113" s="12"/>
      <c r="AO113" s="12">
        <f t="shared" si="97"/>
        <v>0</v>
      </c>
      <c r="AP113" s="32">
        <f t="shared" si="98"/>
        <v>0</v>
      </c>
      <c r="AQ113" s="12"/>
      <c r="AR113" s="12">
        <f t="shared" si="99"/>
        <v>0</v>
      </c>
      <c r="AS113" s="32">
        <f t="shared" si="100"/>
        <v>0</v>
      </c>
      <c r="AT113" s="12"/>
      <c r="AU113" s="12">
        <f t="shared" si="101"/>
        <v>0</v>
      </c>
      <c r="AV113" s="32">
        <f t="shared" si="102"/>
        <v>0</v>
      </c>
      <c r="AW113" s="12"/>
      <c r="AX113" s="12">
        <f t="shared" si="103"/>
        <v>0</v>
      </c>
      <c r="AY113" s="32">
        <f t="shared" si="104"/>
        <v>0</v>
      </c>
      <c r="AZ113" s="12"/>
      <c r="BA113" s="12">
        <f t="shared" si="105"/>
        <v>0</v>
      </c>
      <c r="BB113" s="32">
        <f t="shared" si="106"/>
        <v>0</v>
      </c>
      <c r="BC113" s="12"/>
      <c r="BD113" s="12">
        <f t="shared" si="107"/>
        <v>0</v>
      </c>
      <c r="BE113" s="32">
        <f t="shared" si="108"/>
        <v>0</v>
      </c>
      <c r="BF113" s="12"/>
      <c r="BG113" s="12">
        <f t="shared" si="109"/>
        <v>0</v>
      </c>
      <c r="BH113" s="32">
        <f t="shared" si="110"/>
        <v>0</v>
      </c>
      <c r="BI113" s="12"/>
      <c r="BJ113" s="12">
        <f t="shared" si="111"/>
        <v>0</v>
      </c>
      <c r="BK113" s="32">
        <f t="shared" si="112"/>
        <v>0</v>
      </c>
      <c r="BL113" s="12"/>
      <c r="BM113" s="12">
        <f t="shared" si="113"/>
        <v>0</v>
      </c>
      <c r="BN113" s="32">
        <f t="shared" si="114"/>
        <v>0</v>
      </c>
      <c r="BO113" s="12"/>
      <c r="BP113" s="12">
        <f t="shared" si="115"/>
        <v>0</v>
      </c>
      <c r="BQ113" s="32">
        <f t="shared" si="116"/>
        <v>0</v>
      </c>
      <c r="BR113" s="12"/>
      <c r="BS113" s="12">
        <f t="shared" si="117"/>
        <v>0</v>
      </c>
      <c r="BT113" s="32">
        <f t="shared" si="118"/>
        <v>0</v>
      </c>
      <c r="BU113" s="12"/>
      <c r="BV113" s="12">
        <f t="shared" si="119"/>
        <v>0</v>
      </c>
      <c r="BW113" s="32">
        <f t="shared" si="120"/>
        <v>0</v>
      </c>
      <c r="BX113" s="12"/>
      <c r="BY113" s="12">
        <f t="shared" si="121"/>
        <v>0</v>
      </c>
      <c r="BZ113" s="32">
        <f t="shared" si="122"/>
        <v>0</v>
      </c>
      <c r="CA113" s="12"/>
      <c r="CB113" s="12">
        <f t="shared" si="123"/>
        <v>0</v>
      </c>
      <c r="CC113" s="32">
        <f t="shared" si="124"/>
        <v>0</v>
      </c>
      <c r="CD113" s="12"/>
      <c r="CE113" s="12">
        <f t="shared" si="125"/>
        <v>0</v>
      </c>
      <c r="CF113" s="32">
        <f t="shared" si="126"/>
        <v>0</v>
      </c>
      <c r="CG113" s="12"/>
      <c r="CH113" s="12">
        <f t="shared" si="127"/>
        <v>0</v>
      </c>
      <c r="CI113" s="32">
        <f t="shared" si="128"/>
        <v>0</v>
      </c>
      <c r="CJ113" s="12"/>
      <c r="CK113" s="12">
        <f t="shared" si="129"/>
        <v>0</v>
      </c>
      <c r="CL113" s="32">
        <f t="shared" si="130"/>
        <v>0</v>
      </c>
      <c r="CM113" s="12"/>
      <c r="CN113" s="12">
        <f t="shared" si="131"/>
        <v>0</v>
      </c>
      <c r="CO113" s="32">
        <f t="shared" si="132"/>
        <v>0</v>
      </c>
      <c r="CP113" s="12"/>
      <c r="CQ113" s="12">
        <f t="shared" si="133"/>
        <v>0</v>
      </c>
      <c r="CR113" s="32">
        <f t="shared" si="134"/>
        <v>0</v>
      </c>
      <c r="CS113" s="12"/>
      <c r="CT113" s="12">
        <f t="shared" si="139"/>
        <v>0</v>
      </c>
      <c r="CU113" s="32">
        <f t="shared" si="140"/>
        <v>0</v>
      </c>
      <c r="CV113" s="12"/>
      <c r="CW113" s="12">
        <f t="shared" si="141"/>
        <v>0</v>
      </c>
      <c r="CX113" s="32">
        <f t="shared" si="142"/>
        <v>0</v>
      </c>
      <c r="CY113" s="12"/>
      <c r="CZ113" s="12">
        <f t="shared" si="143"/>
        <v>0</v>
      </c>
      <c r="DA113" s="32">
        <f t="shared" si="144"/>
        <v>0</v>
      </c>
      <c r="DB113" s="12"/>
      <c r="DC113" s="12">
        <f t="shared" si="145"/>
        <v>0</v>
      </c>
      <c r="DD113" s="32">
        <f t="shared" si="146"/>
        <v>0</v>
      </c>
      <c r="DE113" s="12"/>
      <c r="DF113" s="12">
        <f t="shared" si="147"/>
        <v>0</v>
      </c>
      <c r="DG113" s="32">
        <f t="shared" si="148"/>
        <v>0</v>
      </c>
      <c r="DH113" s="12"/>
      <c r="DI113" s="12">
        <f t="shared" si="153"/>
        <v>0</v>
      </c>
      <c r="DJ113" s="32">
        <f t="shared" si="149"/>
        <v>0</v>
      </c>
      <c r="DK113" s="12"/>
      <c r="DL113" s="12">
        <f t="shared" si="150"/>
        <v>0</v>
      </c>
      <c r="DM113" s="32">
        <f t="shared" si="151"/>
        <v>0</v>
      </c>
    </row>
    <row r="114" spans="1:117" s="6" customFormat="1" ht="22.25" customHeight="1" x14ac:dyDescent="0.35">
      <c r="A114" s="4">
        <v>108</v>
      </c>
      <c r="B114" s="4" t="s">
        <v>259</v>
      </c>
      <c r="C114" s="4" t="s">
        <v>260</v>
      </c>
      <c r="D114" s="7">
        <f t="shared" si="136"/>
        <v>6.179775280898876</v>
      </c>
      <c r="E114" s="7">
        <f>165/(6*4.45)</f>
        <v>6.179775280898876</v>
      </c>
      <c r="F114" s="7">
        <v>1</v>
      </c>
      <c r="G114" s="7">
        <v>1</v>
      </c>
      <c r="H114" s="7">
        <f t="shared" si="137"/>
        <v>0.92696629213483139</v>
      </c>
      <c r="I114" s="9">
        <f t="shared" si="138"/>
        <v>7.1067415730337071</v>
      </c>
      <c r="J114" s="13"/>
      <c r="K114" s="12">
        <f t="shared" si="78"/>
        <v>0</v>
      </c>
      <c r="L114" s="32">
        <f t="shared" si="79"/>
        <v>0</v>
      </c>
      <c r="M114" s="12"/>
      <c r="N114" s="12">
        <f t="shared" si="80"/>
        <v>0</v>
      </c>
      <c r="O114" s="32">
        <f t="shared" si="81"/>
        <v>0</v>
      </c>
      <c r="P114" s="12">
        <v>5.0000000000000001E-3</v>
      </c>
      <c r="Q114" s="12">
        <f t="shared" si="152"/>
        <v>3.0898876404494381E-2</v>
      </c>
      <c r="R114" s="32">
        <f t="shared" si="82"/>
        <v>7.4052430733041715E-3</v>
      </c>
      <c r="S114" s="12"/>
      <c r="T114" s="12">
        <f t="shared" si="83"/>
        <v>0</v>
      </c>
      <c r="U114" s="32">
        <f t="shared" si="84"/>
        <v>0</v>
      </c>
      <c r="V114" s="12"/>
      <c r="W114" s="12">
        <f t="shared" si="85"/>
        <v>0</v>
      </c>
      <c r="X114" s="32">
        <f t="shared" si="86"/>
        <v>0</v>
      </c>
      <c r="Y114" s="12"/>
      <c r="Z114" s="12">
        <f t="shared" si="87"/>
        <v>0</v>
      </c>
      <c r="AA114" s="32">
        <f t="shared" si="88"/>
        <v>0</v>
      </c>
      <c r="AB114" s="12"/>
      <c r="AC114" s="12">
        <f t="shared" si="89"/>
        <v>0</v>
      </c>
      <c r="AD114" s="32">
        <f t="shared" si="90"/>
        <v>0</v>
      </c>
      <c r="AE114" s="12"/>
      <c r="AF114" s="37">
        <f t="shared" si="91"/>
        <v>0</v>
      </c>
      <c r="AG114" s="14">
        <f t="shared" si="92"/>
        <v>0</v>
      </c>
      <c r="AH114" s="12"/>
      <c r="AI114" s="12">
        <f t="shared" si="93"/>
        <v>0</v>
      </c>
      <c r="AJ114" s="32">
        <f t="shared" si="94"/>
        <v>0</v>
      </c>
      <c r="AK114" s="12"/>
      <c r="AL114" s="12">
        <f t="shared" si="95"/>
        <v>0</v>
      </c>
      <c r="AM114" s="32">
        <f t="shared" si="96"/>
        <v>0</v>
      </c>
      <c r="AN114" s="12"/>
      <c r="AO114" s="12">
        <f t="shared" si="97"/>
        <v>0</v>
      </c>
      <c r="AP114" s="32">
        <f t="shared" si="98"/>
        <v>0</v>
      </c>
      <c r="AQ114" s="12"/>
      <c r="AR114" s="12">
        <f t="shared" si="99"/>
        <v>0</v>
      </c>
      <c r="AS114" s="32">
        <f t="shared" si="100"/>
        <v>0</v>
      </c>
      <c r="AT114" s="12">
        <v>4.0000000000000001E-3</v>
      </c>
      <c r="AU114" s="12">
        <f t="shared" si="101"/>
        <v>2.4719101123595506E-2</v>
      </c>
      <c r="AV114" s="32">
        <f t="shared" si="102"/>
        <v>1.8271315730766628E-2</v>
      </c>
      <c r="AW114" s="12"/>
      <c r="AX114" s="12">
        <f t="shared" si="103"/>
        <v>0</v>
      </c>
      <c r="AY114" s="32">
        <f t="shared" si="104"/>
        <v>0</v>
      </c>
      <c r="AZ114" s="12"/>
      <c r="BA114" s="12">
        <f t="shared" si="105"/>
        <v>0</v>
      </c>
      <c r="BB114" s="32">
        <f t="shared" si="106"/>
        <v>0</v>
      </c>
      <c r="BC114" s="12"/>
      <c r="BD114" s="12">
        <f t="shared" si="107"/>
        <v>0</v>
      </c>
      <c r="BE114" s="32">
        <f t="shared" si="108"/>
        <v>0</v>
      </c>
      <c r="BF114" s="12"/>
      <c r="BG114" s="12">
        <f t="shared" si="109"/>
        <v>0</v>
      </c>
      <c r="BH114" s="32">
        <f t="shared" si="110"/>
        <v>0</v>
      </c>
      <c r="BI114" s="12"/>
      <c r="BJ114" s="12">
        <f t="shared" si="111"/>
        <v>0</v>
      </c>
      <c r="BK114" s="32">
        <f t="shared" si="112"/>
        <v>0</v>
      </c>
      <c r="BL114" s="12"/>
      <c r="BM114" s="12">
        <f t="shared" si="113"/>
        <v>0</v>
      </c>
      <c r="BN114" s="32">
        <f t="shared" si="114"/>
        <v>0</v>
      </c>
      <c r="BO114" s="12"/>
      <c r="BP114" s="12">
        <f t="shared" si="115"/>
        <v>0</v>
      </c>
      <c r="BQ114" s="32">
        <f t="shared" si="116"/>
        <v>0</v>
      </c>
      <c r="BR114" s="12"/>
      <c r="BS114" s="12">
        <f t="shared" si="117"/>
        <v>0</v>
      </c>
      <c r="BT114" s="32">
        <f t="shared" si="118"/>
        <v>0</v>
      </c>
      <c r="BU114" s="12"/>
      <c r="BV114" s="12">
        <f t="shared" si="119"/>
        <v>0</v>
      </c>
      <c r="BW114" s="32">
        <f t="shared" si="120"/>
        <v>0</v>
      </c>
      <c r="BX114" s="12"/>
      <c r="BY114" s="12">
        <f t="shared" si="121"/>
        <v>0</v>
      </c>
      <c r="BZ114" s="32">
        <f t="shared" si="122"/>
        <v>0</v>
      </c>
      <c r="CA114" s="12"/>
      <c r="CB114" s="12">
        <f t="shared" si="123"/>
        <v>0</v>
      </c>
      <c r="CC114" s="32">
        <f t="shared" si="124"/>
        <v>0</v>
      </c>
      <c r="CD114" s="12"/>
      <c r="CE114" s="12">
        <f t="shared" si="125"/>
        <v>0</v>
      </c>
      <c r="CF114" s="32">
        <f t="shared" si="126"/>
        <v>0</v>
      </c>
      <c r="CG114" s="12"/>
      <c r="CH114" s="12">
        <f t="shared" si="127"/>
        <v>0</v>
      </c>
      <c r="CI114" s="32">
        <f t="shared" si="128"/>
        <v>0</v>
      </c>
      <c r="CJ114" s="12"/>
      <c r="CK114" s="12">
        <f t="shared" si="129"/>
        <v>0</v>
      </c>
      <c r="CL114" s="32">
        <f t="shared" si="130"/>
        <v>0</v>
      </c>
      <c r="CM114" s="12"/>
      <c r="CN114" s="12">
        <f t="shared" si="131"/>
        <v>0</v>
      </c>
      <c r="CO114" s="32">
        <f t="shared" si="132"/>
        <v>0</v>
      </c>
      <c r="CP114" s="12"/>
      <c r="CQ114" s="12">
        <f t="shared" si="133"/>
        <v>0</v>
      </c>
      <c r="CR114" s="32">
        <f t="shared" si="134"/>
        <v>0</v>
      </c>
      <c r="CS114" s="12"/>
      <c r="CT114" s="12">
        <f t="shared" si="139"/>
        <v>0</v>
      </c>
      <c r="CU114" s="32">
        <f t="shared" si="140"/>
        <v>0</v>
      </c>
      <c r="CV114" s="12"/>
      <c r="CW114" s="12">
        <f t="shared" si="141"/>
        <v>0</v>
      </c>
      <c r="CX114" s="32">
        <f t="shared" si="142"/>
        <v>0</v>
      </c>
      <c r="CY114" s="12"/>
      <c r="CZ114" s="12">
        <f t="shared" si="143"/>
        <v>0</v>
      </c>
      <c r="DA114" s="32">
        <f t="shared" si="144"/>
        <v>0</v>
      </c>
      <c r="DB114" s="12"/>
      <c r="DC114" s="12">
        <f t="shared" si="145"/>
        <v>0</v>
      </c>
      <c r="DD114" s="32">
        <f t="shared" si="146"/>
        <v>0</v>
      </c>
      <c r="DE114" s="12"/>
      <c r="DF114" s="12">
        <f t="shared" si="147"/>
        <v>0</v>
      </c>
      <c r="DG114" s="32">
        <f t="shared" si="148"/>
        <v>0</v>
      </c>
      <c r="DH114" s="12"/>
      <c r="DI114" s="12">
        <f t="shared" si="153"/>
        <v>0</v>
      </c>
      <c r="DJ114" s="32">
        <f t="shared" si="149"/>
        <v>0</v>
      </c>
      <c r="DK114" s="12">
        <v>2.5000000000000001E-2</v>
      </c>
      <c r="DL114" s="12">
        <f t="shared" si="150"/>
        <v>0.1544943820224719</v>
      </c>
      <c r="DM114" s="32">
        <f t="shared" si="151"/>
        <v>0.91086952600072391</v>
      </c>
    </row>
    <row r="115" spans="1:117" s="6" customFormat="1" ht="22.25" customHeight="1" x14ac:dyDescent="0.35">
      <c r="A115" s="4">
        <v>109</v>
      </c>
      <c r="B115" s="4" t="s">
        <v>261</v>
      </c>
      <c r="C115" s="4" t="s">
        <v>262</v>
      </c>
      <c r="D115" s="7">
        <f t="shared" si="136"/>
        <v>3.8888888888888888</v>
      </c>
      <c r="E115" s="7">
        <f>105/(6*4.5)</f>
        <v>3.8888888888888888</v>
      </c>
      <c r="F115" s="7">
        <v>1</v>
      </c>
      <c r="G115" s="7">
        <v>1</v>
      </c>
      <c r="H115" s="7">
        <f t="shared" si="137"/>
        <v>0.58333333333333326</v>
      </c>
      <c r="I115" s="9">
        <f t="shared" si="138"/>
        <v>4.4722222222222223</v>
      </c>
      <c r="J115" s="13"/>
      <c r="K115" s="12">
        <f t="shared" si="78"/>
        <v>0</v>
      </c>
      <c r="L115" s="32">
        <f t="shared" si="79"/>
        <v>0</v>
      </c>
      <c r="M115" s="12"/>
      <c r="N115" s="12">
        <f t="shared" si="80"/>
        <v>0</v>
      </c>
      <c r="O115" s="32">
        <f t="shared" si="81"/>
        <v>0</v>
      </c>
      <c r="P115" s="12"/>
      <c r="Q115" s="12">
        <f t="shared" si="152"/>
        <v>0</v>
      </c>
      <c r="R115" s="32">
        <f t="shared" si="82"/>
        <v>0</v>
      </c>
      <c r="S115" s="12"/>
      <c r="T115" s="12">
        <f t="shared" si="83"/>
        <v>0</v>
      </c>
      <c r="U115" s="32">
        <f t="shared" si="84"/>
        <v>0</v>
      </c>
      <c r="V115" s="12"/>
      <c r="W115" s="12">
        <f t="shared" si="85"/>
        <v>0</v>
      </c>
      <c r="X115" s="32">
        <f t="shared" si="86"/>
        <v>0</v>
      </c>
      <c r="Y115" s="12"/>
      <c r="Z115" s="12">
        <f t="shared" si="87"/>
        <v>0</v>
      </c>
      <c r="AA115" s="32">
        <f t="shared" si="88"/>
        <v>0</v>
      </c>
      <c r="AB115" s="12">
        <v>0.03</v>
      </c>
      <c r="AC115" s="12">
        <f t="shared" si="89"/>
        <v>0.11666666666666665</v>
      </c>
      <c r="AD115" s="32">
        <f t="shared" si="90"/>
        <v>3.1626243061531029E-2</v>
      </c>
      <c r="AE115" s="12"/>
      <c r="AF115" s="37">
        <f t="shared" si="91"/>
        <v>0</v>
      </c>
      <c r="AG115" s="14">
        <f t="shared" si="92"/>
        <v>0</v>
      </c>
      <c r="AH115" s="12"/>
      <c r="AI115" s="12">
        <f t="shared" si="93"/>
        <v>0</v>
      </c>
      <c r="AJ115" s="32">
        <f t="shared" si="94"/>
        <v>0</v>
      </c>
      <c r="AK115" s="12"/>
      <c r="AL115" s="12">
        <f t="shared" si="95"/>
        <v>0</v>
      </c>
      <c r="AM115" s="32">
        <f t="shared" si="96"/>
        <v>0</v>
      </c>
      <c r="AN115" s="12"/>
      <c r="AO115" s="12">
        <f t="shared" si="97"/>
        <v>0</v>
      </c>
      <c r="AP115" s="32">
        <f t="shared" si="98"/>
        <v>0</v>
      </c>
      <c r="AQ115" s="12"/>
      <c r="AR115" s="12">
        <f t="shared" si="99"/>
        <v>0</v>
      </c>
      <c r="AS115" s="32">
        <f t="shared" si="100"/>
        <v>0</v>
      </c>
      <c r="AT115" s="12"/>
      <c r="AU115" s="12">
        <f t="shared" si="101"/>
        <v>0</v>
      </c>
      <c r="AV115" s="32">
        <f t="shared" si="102"/>
        <v>0</v>
      </c>
      <c r="AW115" s="12"/>
      <c r="AX115" s="12">
        <f t="shared" si="103"/>
        <v>0</v>
      </c>
      <c r="AY115" s="32">
        <f t="shared" si="104"/>
        <v>0</v>
      </c>
      <c r="AZ115" s="12"/>
      <c r="BA115" s="12">
        <f t="shared" si="105"/>
        <v>0</v>
      </c>
      <c r="BB115" s="32">
        <f t="shared" si="106"/>
        <v>0</v>
      </c>
      <c r="BC115" s="12"/>
      <c r="BD115" s="12">
        <f t="shared" si="107"/>
        <v>0</v>
      </c>
      <c r="BE115" s="32">
        <f t="shared" si="108"/>
        <v>0</v>
      </c>
      <c r="BF115" s="12"/>
      <c r="BG115" s="12">
        <f t="shared" si="109"/>
        <v>0</v>
      </c>
      <c r="BH115" s="32">
        <f t="shared" si="110"/>
        <v>0</v>
      </c>
      <c r="BI115" s="12"/>
      <c r="BJ115" s="12">
        <f t="shared" si="111"/>
        <v>0</v>
      </c>
      <c r="BK115" s="32">
        <f t="shared" si="112"/>
        <v>0</v>
      </c>
      <c r="BL115" s="12"/>
      <c r="BM115" s="12">
        <f t="shared" si="113"/>
        <v>0</v>
      </c>
      <c r="BN115" s="32">
        <f t="shared" si="114"/>
        <v>0</v>
      </c>
      <c r="BO115" s="12"/>
      <c r="BP115" s="12">
        <f t="shared" si="115"/>
        <v>0</v>
      </c>
      <c r="BQ115" s="32">
        <f t="shared" si="116"/>
        <v>0</v>
      </c>
      <c r="BR115" s="12"/>
      <c r="BS115" s="12">
        <f t="shared" si="117"/>
        <v>0</v>
      </c>
      <c r="BT115" s="32">
        <f t="shared" si="118"/>
        <v>0</v>
      </c>
      <c r="BU115" s="12"/>
      <c r="BV115" s="12">
        <f t="shared" si="119"/>
        <v>0</v>
      </c>
      <c r="BW115" s="32">
        <f t="shared" si="120"/>
        <v>0</v>
      </c>
      <c r="BX115" s="12"/>
      <c r="BY115" s="12">
        <f t="shared" si="121"/>
        <v>0</v>
      </c>
      <c r="BZ115" s="32">
        <f t="shared" si="122"/>
        <v>0</v>
      </c>
      <c r="CA115" s="12"/>
      <c r="CB115" s="12">
        <f t="shared" si="123"/>
        <v>0</v>
      </c>
      <c r="CC115" s="32">
        <f t="shared" si="124"/>
        <v>0</v>
      </c>
      <c r="CD115" s="12"/>
      <c r="CE115" s="12">
        <f t="shared" si="125"/>
        <v>0</v>
      </c>
      <c r="CF115" s="32">
        <f t="shared" si="126"/>
        <v>0</v>
      </c>
      <c r="CG115" s="12"/>
      <c r="CH115" s="12">
        <f t="shared" si="127"/>
        <v>0</v>
      </c>
      <c r="CI115" s="32">
        <f t="shared" si="128"/>
        <v>0</v>
      </c>
      <c r="CJ115" s="12"/>
      <c r="CK115" s="12">
        <f t="shared" si="129"/>
        <v>0</v>
      </c>
      <c r="CL115" s="32">
        <f t="shared" si="130"/>
        <v>0</v>
      </c>
      <c r="CM115" s="12"/>
      <c r="CN115" s="12">
        <f t="shared" si="131"/>
        <v>0</v>
      </c>
      <c r="CO115" s="32">
        <f t="shared" si="132"/>
        <v>0</v>
      </c>
      <c r="CP115" s="12"/>
      <c r="CQ115" s="12">
        <f t="shared" si="133"/>
        <v>0</v>
      </c>
      <c r="CR115" s="32">
        <f t="shared" si="134"/>
        <v>0</v>
      </c>
      <c r="CS115" s="12"/>
      <c r="CT115" s="12">
        <f t="shared" si="139"/>
        <v>0</v>
      </c>
      <c r="CU115" s="32">
        <f t="shared" si="140"/>
        <v>0</v>
      </c>
      <c r="CV115" s="12"/>
      <c r="CW115" s="12">
        <f t="shared" si="141"/>
        <v>0</v>
      </c>
      <c r="CX115" s="32">
        <f t="shared" si="142"/>
        <v>0</v>
      </c>
      <c r="CY115" s="12"/>
      <c r="CZ115" s="12">
        <f t="shared" si="143"/>
        <v>0</v>
      </c>
      <c r="DA115" s="32">
        <f t="shared" si="144"/>
        <v>0</v>
      </c>
      <c r="DB115" s="12"/>
      <c r="DC115" s="12">
        <f t="shared" si="145"/>
        <v>0</v>
      </c>
      <c r="DD115" s="32">
        <f t="shared" si="146"/>
        <v>0</v>
      </c>
      <c r="DE115" s="12"/>
      <c r="DF115" s="12">
        <f t="shared" si="147"/>
        <v>0</v>
      </c>
      <c r="DG115" s="32">
        <f t="shared" si="148"/>
        <v>0</v>
      </c>
      <c r="DH115" s="12"/>
      <c r="DI115" s="12">
        <f t="shared" si="153"/>
        <v>0</v>
      </c>
      <c r="DJ115" s="32">
        <f t="shared" si="149"/>
        <v>0</v>
      </c>
      <c r="DK115" s="12"/>
      <c r="DL115" s="12">
        <f t="shared" si="150"/>
        <v>0</v>
      </c>
      <c r="DM115" s="32">
        <f t="shared" si="151"/>
        <v>0</v>
      </c>
    </row>
    <row r="116" spans="1:117" s="6" customFormat="1" ht="22.25" customHeight="1" x14ac:dyDescent="0.35">
      <c r="A116" s="4">
        <v>110</v>
      </c>
      <c r="B116" s="4" t="s">
        <v>263</v>
      </c>
      <c r="C116" s="4" t="s">
        <v>264</v>
      </c>
      <c r="D116" s="7">
        <f t="shared" si="136"/>
        <v>2</v>
      </c>
      <c r="E116" s="7">
        <v>1.5</v>
      </c>
      <c r="F116" s="7">
        <v>1</v>
      </c>
      <c r="G116" s="7">
        <v>0.75</v>
      </c>
      <c r="H116" s="7">
        <f t="shared" si="137"/>
        <v>0.3</v>
      </c>
      <c r="I116" s="9">
        <f t="shared" si="138"/>
        <v>2.2999999999999998</v>
      </c>
      <c r="J116" s="13"/>
      <c r="K116" s="12">
        <f t="shared" si="78"/>
        <v>0</v>
      </c>
      <c r="L116" s="32">
        <f t="shared" si="79"/>
        <v>0</v>
      </c>
      <c r="M116" s="12"/>
      <c r="N116" s="12">
        <f t="shared" si="80"/>
        <v>0</v>
      </c>
      <c r="O116" s="32">
        <f t="shared" si="81"/>
        <v>0</v>
      </c>
      <c r="P116" s="12"/>
      <c r="Q116" s="12">
        <f t="shared" si="152"/>
        <v>0</v>
      </c>
      <c r="R116" s="32">
        <f t="shared" si="82"/>
        <v>0</v>
      </c>
      <c r="S116" s="12"/>
      <c r="T116" s="12">
        <f t="shared" si="83"/>
        <v>0</v>
      </c>
      <c r="U116" s="32">
        <f t="shared" si="84"/>
        <v>0</v>
      </c>
      <c r="V116" s="12"/>
      <c r="W116" s="12">
        <f t="shared" si="85"/>
        <v>0</v>
      </c>
      <c r="X116" s="32">
        <f t="shared" si="86"/>
        <v>0</v>
      </c>
      <c r="Y116" s="12"/>
      <c r="Z116" s="12">
        <f t="shared" si="87"/>
        <v>0</v>
      </c>
      <c r="AA116" s="32">
        <f t="shared" si="88"/>
        <v>0</v>
      </c>
      <c r="AB116" s="12"/>
      <c r="AC116" s="12">
        <f t="shared" si="89"/>
        <v>0</v>
      </c>
      <c r="AD116" s="32">
        <f t="shared" si="90"/>
        <v>0</v>
      </c>
      <c r="AE116" s="12"/>
      <c r="AF116" s="37">
        <f t="shared" si="91"/>
        <v>0</v>
      </c>
      <c r="AG116" s="14">
        <f t="shared" si="92"/>
        <v>0</v>
      </c>
      <c r="AH116" s="12"/>
      <c r="AI116" s="12">
        <f t="shared" si="93"/>
        <v>0</v>
      </c>
      <c r="AJ116" s="32">
        <f t="shared" si="94"/>
        <v>0</v>
      </c>
      <c r="AK116" s="12"/>
      <c r="AL116" s="12">
        <f t="shared" si="95"/>
        <v>0</v>
      </c>
      <c r="AM116" s="32">
        <f t="shared" si="96"/>
        <v>0</v>
      </c>
      <c r="AN116" s="12"/>
      <c r="AO116" s="12">
        <f t="shared" si="97"/>
        <v>0</v>
      </c>
      <c r="AP116" s="32">
        <f t="shared" si="98"/>
        <v>0</v>
      </c>
      <c r="AQ116" s="12"/>
      <c r="AR116" s="12">
        <f t="shared" si="99"/>
        <v>0</v>
      </c>
      <c r="AS116" s="32">
        <f t="shared" si="100"/>
        <v>0</v>
      </c>
      <c r="AT116" s="12"/>
      <c r="AU116" s="12">
        <f t="shared" si="101"/>
        <v>0</v>
      </c>
      <c r="AV116" s="32">
        <f t="shared" si="102"/>
        <v>0</v>
      </c>
      <c r="AW116" s="12"/>
      <c r="AX116" s="12">
        <f t="shared" si="103"/>
        <v>0</v>
      </c>
      <c r="AY116" s="32">
        <f t="shared" si="104"/>
        <v>0</v>
      </c>
      <c r="AZ116" s="12"/>
      <c r="BA116" s="12">
        <f t="shared" si="105"/>
        <v>0</v>
      </c>
      <c r="BB116" s="32">
        <f t="shared" si="106"/>
        <v>0</v>
      </c>
      <c r="BC116" s="12"/>
      <c r="BD116" s="12">
        <f t="shared" si="107"/>
        <v>0</v>
      </c>
      <c r="BE116" s="32">
        <f t="shared" si="108"/>
        <v>0</v>
      </c>
      <c r="BF116" s="12"/>
      <c r="BG116" s="12">
        <f t="shared" si="109"/>
        <v>0</v>
      </c>
      <c r="BH116" s="32">
        <f t="shared" si="110"/>
        <v>0</v>
      </c>
      <c r="BI116" s="12"/>
      <c r="BJ116" s="12">
        <f t="shared" si="111"/>
        <v>0</v>
      </c>
      <c r="BK116" s="32">
        <f t="shared" si="112"/>
        <v>0</v>
      </c>
      <c r="BL116" s="12"/>
      <c r="BM116" s="12">
        <f t="shared" si="113"/>
        <v>0</v>
      </c>
      <c r="BN116" s="32">
        <f t="shared" si="114"/>
        <v>0</v>
      </c>
      <c r="BO116" s="12"/>
      <c r="BP116" s="12">
        <f t="shared" si="115"/>
        <v>0</v>
      </c>
      <c r="BQ116" s="32">
        <f t="shared" si="116"/>
        <v>0</v>
      </c>
      <c r="BR116" s="12"/>
      <c r="BS116" s="12">
        <f t="shared" si="117"/>
        <v>0</v>
      </c>
      <c r="BT116" s="32">
        <f t="shared" si="118"/>
        <v>0</v>
      </c>
      <c r="BU116" s="12"/>
      <c r="BV116" s="12">
        <f t="shared" si="119"/>
        <v>0</v>
      </c>
      <c r="BW116" s="32">
        <f t="shared" si="120"/>
        <v>0</v>
      </c>
      <c r="BX116" s="12"/>
      <c r="BY116" s="12">
        <f t="shared" si="121"/>
        <v>0</v>
      </c>
      <c r="BZ116" s="32">
        <f t="shared" si="122"/>
        <v>0</v>
      </c>
      <c r="CA116" s="12"/>
      <c r="CB116" s="12">
        <f t="shared" si="123"/>
        <v>0</v>
      </c>
      <c r="CC116" s="32">
        <f t="shared" si="124"/>
        <v>0</v>
      </c>
      <c r="CD116" s="12"/>
      <c r="CE116" s="12">
        <f t="shared" si="125"/>
        <v>0</v>
      </c>
      <c r="CF116" s="32">
        <f t="shared" si="126"/>
        <v>0</v>
      </c>
      <c r="CG116" s="12"/>
      <c r="CH116" s="12">
        <f t="shared" si="127"/>
        <v>0</v>
      </c>
      <c r="CI116" s="32">
        <f t="shared" si="128"/>
        <v>0</v>
      </c>
      <c r="CJ116" s="12"/>
      <c r="CK116" s="12">
        <f t="shared" si="129"/>
        <v>0</v>
      </c>
      <c r="CL116" s="32">
        <f t="shared" si="130"/>
        <v>0</v>
      </c>
      <c r="CM116" s="12"/>
      <c r="CN116" s="12">
        <f t="shared" si="131"/>
        <v>0</v>
      </c>
      <c r="CO116" s="32">
        <f t="shared" si="132"/>
        <v>0</v>
      </c>
      <c r="CP116" s="12"/>
      <c r="CQ116" s="12">
        <f t="shared" si="133"/>
        <v>0</v>
      </c>
      <c r="CR116" s="32">
        <f t="shared" si="134"/>
        <v>0</v>
      </c>
      <c r="CS116" s="12"/>
      <c r="CT116" s="12">
        <f t="shared" si="139"/>
        <v>0</v>
      </c>
      <c r="CU116" s="32">
        <f t="shared" si="140"/>
        <v>0</v>
      </c>
      <c r="CV116" s="12"/>
      <c r="CW116" s="12">
        <f t="shared" si="141"/>
        <v>0</v>
      </c>
      <c r="CX116" s="32">
        <f t="shared" si="142"/>
        <v>0</v>
      </c>
      <c r="CY116" s="12"/>
      <c r="CZ116" s="12">
        <f t="shared" si="143"/>
        <v>0</v>
      </c>
      <c r="DA116" s="32">
        <f t="shared" si="144"/>
        <v>0</v>
      </c>
      <c r="DB116" s="12"/>
      <c r="DC116" s="12">
        <f t="shared" si="145"/>
        <v>0</v>
      </c>
      <c r="DD116" s="32">
        <f t="shared" si="146"/>
        <v>0</v>
      </c>
      <c r="DE116" s="12"/>
      <c r="DF116" s="12">
        <f t="shared" si="147"/>
        <v>0</v>
      </c>
      <c r="DG116" s="32">
        <f t="shared" si="148"/>
        <v>0</v>
      </c>
      <c r="DH116" s="12"/>
      <c r="DI116" s="12">
        <f t="shared" si="153"/>
        <v>0</v>
      </c>
      <c r="DJ116" s="32">
        <f t="shared" si="149"/>
        <v>0</v>
      </c>
      <c r="DK116" s="12"/>
      <c r="DL116" s="12">
        <f t="shared" si="150"/>
        <v>0</v>
      </c>
      <c r="DM116" s="32">
        <f t="shared" si="151"/>
        <v>0</v>
      </c>
    </row>
    <row r="117" spans="1:117" s="6" customFormat="1" ht="22.25" customHeight="1" x14ac:dyDescent="0.35">
      <c r="A117" s="4">
        <v>111</v>
      </c>
      <c r="B117" s="4" t="s">
        <v>265</v>
      </c>
      <c r="C117" s="4" t="s">
        <v>266</v>
      </c>
      <c r="D117" s="7">
        <f t="shared" si="136"/>
        <v>1.6304347826086956</v>
      </c>
      <c r="E117" s="7">
        <v>1.5</v>
      </c>
      <c r="F117" s="7">
        <v>1</v>
      </c>
      <c r="G117" s="7">
        <v>0.92</v>
      </c>
      <c r="H117" s="7">
        <f t="shared" si="137"/>
        <v>0.24456521739130432</v>
      </c>
      <c r="I117" s="9">
        <f t="shared" si="138"/>
        <v>1.875</v>
      </c>
      <c r="J117" s="13"/>
      <c r="K117" s="12">
        <f t="shared" si="78"/>
        <v>0</v>
      </c>
      <c r="L117" s="32">
        <f t="shared" si="79"/>
        <v>0</v>
      </c>
      <c r="M117" s="12"/>
      <c r="N117" s="12">
        <f t="shared" si="80"/>
        <v>0</v>
      </c>
      <c r="O117" s="32">
        <f t="shared" si="81"/>
        <v>0</v>
      </c>
      <c r="P117" s="12"/>
      <c r="Q117" s="12">
        <f t="shared" si="152"/>
        <v>0</v>
      </c>
      <c r="R117" s="32">
        <f t="shared" si="82"/>
        <v>0</v>
      </c>
      <c r="S117" s="12"/>
      <c r="T117" s="12">
        <f t="shared" si="83"/>
        <v>0</v>
      </c>
      <c r="U117" s="32">
        <f t="shared" si="84"/>
        <v>0</v>
      </c>
      <c r="V117" s="12"/>
      <c r="W117" s="12">
        <f t="shared" si="85"/>
        <v>0</v>
      </c>
      <c r="X117" s="32">
        <f t="shared" si="86"/>
        <v>0</v>
      </c>
      <c r="Y117" s="12"/>
      <c r="Z117" s="12">
        <f t="shared" si="87"/>
        <v>0</v>
      </c>
      <c r="AA117" s="32">
        <f t="shared" si="88"/>
        <v>0</v>
      </c>
      <c r="AB117" s="12"/>
      <c r="AC117" s="12">
        <f t="shared" si="89"/>
        <v>0</v>
      </c>
      <c r="AD117" s="32">
        <f t="shared" si="90"/>
        <v>0</v>
      </c>
      <c r="AE117" s="12"/>
      <c r="AF117" s="37">
        <f t="shared" si="91"/>
        <v>0</v>
      </c>
      <c r="AG117" s="14">
        <f t="shared" si="92"/>
        <v>0</v>
      </c>
      <c r="AH117" s="12">
        <v>0.1</v>
      </c>
      <c r="AI117" s="12">
        <f t="shared" si="93"/>
        <v>0.16304347826086957</v>
      </c>
      <c r="AJ117" s="32">
        <f t="shared" si="94"/>
        <v>0.14333699247807699</v>
      </c>
      <c r="AK117" s="12">
        <v>0.05</v>
      </c>
      <c r="AL117" s="12">
        <f t="shared" si="95"/>
        <v>8.1521739130434784E-2</v>
      </c>
      <c r="AM117" s="32">
        <f t="shared" si="96"/>
        <v>3.3249494700040273E-2</v>
      </c>
      <c r="AN117" s="12">
        <v>0.1</v>
      </c>
      <c r="AO117" s="12">
        <f t="shared" si="97"/>
        <v>0.16304347826086957</v>
      </c>
      <c r="AP117" s="32">
        <f t="shared" si="98"/>
        <v>3.9861592942858216E-2</v>
      </c>
      <c r="AQ117" s="12"/>
      <c r="AR117" s="12">
        <f t="shared" si="99"/>
        <v>0</v>
      </c>
      <c r="AS117" s="32">
        <f t="shared" si="100"/>
        <v>0</v>
      </c>
      <c r="AT117" s="12">
        <v>0.04</v>
      </c>
      <c r="AU117" s="12">
        <f t="shared" si="101"/>
        <v>6.5217391304347824E-2</v>
      </c>
      <c r="AV117" s="32">
        <f t="shared" si="102"/>
        <v>4.8205941700738039E-2</v>
      </c>
      <c r="AW117" s="12"/>
      <c r="AX117" s="12">
        <f t="shared" si="103"/>
        <v>0</v>
      </c>
      <c r="AY117" s="32">
        <f t="shared" si="104"/>
        <v>0</v>
      </c>
      <c r="AZ117" s="12"/>
      <c r="BA117" s="12">
        <f t="shared" si="105"/>
        <v>0</v>
      </c>
      <c r="BB117" s="32">
        <f t="shared" si="106"/>
        <v>0</v>
      </c>
      <c r="BC117" s="12"/>
      <c r="BD117" s="12">
        <f t="shared" si="107"/>
        <v>0</v>
      </c>
      <c r="BE117" s="32">
        <f t="shared" si="108"/>
        <v>0</v>
      </c>
      <c r="BF117" s="12"/>
      <c r="BG117" s="12">
        <f t="shared" si="109"/>
        <v>0</v>
      </c>
      <c r="BH117" s="32">
        <f t="shared" si="110"/>
        <v>0</v>
      </c>
      <c r="BI117" s="12"/>
      <c r="BJ117" s="12">
        <f t="shared" si="111"/>
        <v>0</v>
      </c>
      <c r="BK117" s="32">
        <f t="shared" si="112"/>
        <v>0</v>
      </c>
      <c r="BL117" s="12"/>
      <c r="BM117" s="12">
        <f t="shared" si="113"/>
        <v>0</v>
      </c>
      <c r="BN117" s="32">
        <f t="shared" si="114"/>
        <v>0</v>
      </c>
      <c r="BO117" s="12"/>
      <c r="BP117" s="12">
        <f t="shared" si="115"/>
        <v>0</v>
      </c>
      <c r="BQ117" s="32">
        <f t="shared" si="116"/>
        <v>0</v>
      </c>
      <c r="BR117" s="12"/>
      <c r="BS117" s="12">
        <f t="shared" si="117"/>
        <v>0</v>
      </c>
      <c r="BT117" s="32">
        <f t="shared" si="118"/>
        <v>0</v>
      </c>
      <c r="BU117" s="12"/>
      <c r="BV117" s="12">
        <f t="shared" si="119"/>
        <v>0</v>
      </c>
      <c r="BW117" s="32">
        <f t="shared" si="120"/>
        <v>0</v>
      </c>
      <c r="BX117" s="12"/>
      <c r="BY117" s="12">
        <f t="shared" si="121"/>
        <v>0</v>
      </c>
      <c r="BZ117" s="32">
        <f t="shared" si="122"/>
        <v>0</v>
      </c>
      <c r="CA117" s="12"/>
      <c r="CB117" s="12">
        <f t="shared" si="123"/>
        <v>0</v>
      </c>
      <c r="CC117" s="32">
        <f t="shared" si="124"/>
        <v>0</v>
      </c>
      <c r="CD117" s="12"/>
      <c r="CE117" s="12">
        <f t="shared" si="125"/>
        <v>0</v>
      </c>
      <c r="CF117" s="32">
        <f t="shared" si="126"/>
        <v>0</v>
      </c>
      <c r="CG117" s="12"/>
      <c r="CH117" s="12">
        <f t="shared" si="127"/>
        <v>0</v>
      </c>
      <c r="CI117" s="32">
        <f t="shared" si="128"/>
        <v>0</v>
      </c>
      <c r="CJ117" s="12"/>
      <c r="CK117" s="12">
        <f t="shared" si="129"/>
        <v>0</v>
      </c>
      <c r="CL117" s="32">
        <f t="shared" si="130"/>
        <v>0</v>
      </c>
      <c r="CM117" s="12"/>
      <c r="CN117" s="12">
        <f t="shared" si="131"/>
        <v>0</v>
      </c>
      <c r="CO117" s="32">
        <f t="shared" si="132"/>
        <v>0</v>
      </c>
      <c r="CP117" s="12"/>
      <c r="CQ117" s="12">
        <f t="shared" si="133"/>
        <v>0</v>
      </c>
      <c r="CR117" s="32">
        <f t="shared" si="134"/>
        <v>0</v>
      </c>
      <c r="CS117" s="12"/>
      <c r="CT117" s="12">
        <f t="shared" si="139"/>
        <v>0</v>
      </c>
      <c r="CU117" s="32">
        <f t="shared" si="140"/>
        <v>0</v>
      </c>
      <c r="CV117" s="12"/>
      <c r="CW117" s="12">
        <f t="shared" si="141"/>
        <v>0</v>
      </c>
      <c r="CX117" s="32">
        <f t="shared" si="142"/>
        <v>0</v>
      </c>
      <c r="CY117" s="12"/>
      <c r="CZ117" s="12">
        <f t="shared" si="143"/>
        <v>0</v>
      </c>
      <c r="DA117" s="32">
        <f t="shared" si="144"/>
        <v>0</v>
      </c>
      <c r="DB117" s="12">
        <v>0.25</v>
      </c>
      <c r="DC117" s="12">
        <f>DB117*D117</f>
        <v>0.40760869565217389</v>
      </c>
      <c r="DD117" s="32">
        <f t="shared" si="146"/>
        <v>2.403183433223254</v>
      </c>
      <c r="DE117" s="12"/>
      <c r="DF117" s="12">
        <f t="shared" si="147"/>
        <v>0</v>
      </c>
      <c r="DG117" s="32">
        <f t="shared" si="148"/>
        <v>0</v>
      </c>
      <c r="DH117" s="12">
        <f>0.5/15</f>
        <v>3.3333333333333333E-2</v>
      </c>
      <c r="DI117" s="12">
        <f t="shared" si="153"/>
        <v>5.434782608695652E-2</v>
      </c>
      <c r="DJ117" s="32">
        <f t="shared" si="149"/>
        <v>0.32042445776310052</v>
      </c>
      <c r="DK117" s="12">
        <v>1</v>
      </c>
      <c r="DL117" s="12">
        <f t="shared" si="150"/>
        <v>1.6304347826086956</v>
      </c>
      <c r="DM117" s="32">
        <f t="shared" si="151"/>
        <v>9.612733732893016</v>
      </c>
    </row>
    <row r="118" spans="1:117" s="6" customFormat="1" ht="22.25" customHeight="1" x14ac:dyDescent="0.35">
      <c r="A118" s="4">
        <v>112</v>
      </c>
      <c r="B118" s="4" t="s">
        <v>267</v>
      </c>
      <c r="C118" s="4" t="s">
        <v>268</v>
      </c>
      <c r="D118" s="7">
        <f t="shared" si="136"/>
        <v>76.05</v>
      </c>
      <c r="E118" s="7">
        <f>15.21/0.2</f>
        <v>76.05</v>
      </c>
      <c r="F118" s="7">
        <v>1</v>
      </c>
      <c r="G118" s="7">
        <v>1</v>
      </c>
      <c r="H118" s="7">
        <f t="shared" si="137"/>
        <v>11.407499999999999</v>
      </c>
      <c r="I118" s="9">
        <f t="shared" si="138"/>
        <v>87.457499999999996</v>
      </c>
      <c r="J118" s="13"/>
      <c r="K118" s="12">
        <f t="shared" si="78"/>
        <v>0</v>
      </c>
      <c r="L118" s="32">
        <f t="shared" si="79"/>
        <v>0</v>
      </c>
      <c r="M118" s="12"/>
      <c r="N118" s="12">
        <f t="shared" si="80"/>
        <v>0</v>
      </c>
      <c r="O118" s="32">
        <f t="shared" si="81"/>
        <v>0</v>
      </c>
      <c r="P118" s="12"/>
      <c r="Q118" s="12">
        <f t="shared" si="152"/>
        <v>0</v>
      </c>
      <c r="R118" s="32">
        <f t="shared" si="82"/>
        <v>0</v>
      </c>
      <c r="S118" s="12"/>
      <c r="T118" s="12">
        <f t="shared" si="83"/>
        <v>0</v>
      </c>
      <c r="U118" s="32">
        <f t="shared" si="84"/>
        <v>0</v>
      </c>
      <c r="V118" s="12"/>
      <c r="W118" s="12">
        <f t="shared" si="85"/>
        <v>0</v>
      </c>
      <c r="X118" s="32">
        <f t="shared" si="86"/>
        <v>0</v>
      </c>
      <c r="Y118" s="12"/>
      <c r="Z118" s="12">
        <f t="shared" si="87"/>
        <v>0</v>
      </c>
      <c r="AA118" s="32">
        <f t="shared" si="88"/>
        <v>0</v>
      </c>
      <c r="AB118" s="12"/>
      <c r="AC118" s="12">
        <f t="shared" si="89"/>
        <v>0</v>
      </c>
      <c r="AD118" s="32">
        <f t="shared" si="90"/>
        <v>0</v>
      </c>
      <c r="AE118" s="12"/>
      <c r="AF118" s="37">
        <f t="shared" si="91"/>
        <v>0</v>
      </c>
      <c r="AG118" s="14">
        <f t="shared" si="92"/>
        <v>0</v>
      </c>
      <c r="AH118" s="12"/>
      <c r="AI118" s="12">
        <f t="shared" si="93"/>
        <v>0</v>
      </c>
      <c r="AJ118" s="32">
        <f t="shared" si="94"/>
        <v>0</v>
      </c>
      <c r="AK118" s="12"/>
      <c r="AL118" s="12">
        <f t="shared" si="95"/>
        <v>0</v>
      </c>
      <c r="AM118" s="32">
        <f t="shared" si="96"/>
        <v>0</v>
      </c>
      <c r="AN118" s="12"/>
      <c r="AO118" s="12">
        <f t="shared" si="97"/>
        <v>0</v>
      </c>
      <c r="AP118" s="32">
        <f t="shared" si="98"/>
        <v>0</v>
      </c>
      <c r="AQ118" s="12"/>
      <c r="AR118" s="12">
        <f t="shared" si="99"/>
        <v>0</v>
      </c>
      <c r="AS118" s="32">
        <f t="shared" si="100"/>
        <v>0</v>
      </c>
      <c r="AT118" s="12"/>
      <c r="AU118" s="12">
        <f t="shared" si="101"/>
        <v>0</v>
      </c>
      <c r="AV118" s="32">
        <f t="shared" si="102"/>
        <v>0</v>
      </c>
      <c r="AW118" s="12"/>
      <c r="AX118" s="12">
        <f t="shared" si="103"/>
        <v>0</v>
      </c>
      <c r="AY118" s="32">
        <f t="shared" si="104"/>
        <v>0</v>
      </c>
      <c r="AZ118" s="12"/>
      <c r="BA118" s="12">
        <f t="shared" si="105"/>
        <v>0</v>
      </c>
      <c r="BB118" s="32">
        <f t="shared" si="106"/>
        <v>0</v>
      </c>
      <c r="BC118" s="12"/>
      <c r="BD118" s="12">
        <f t="shared" si="107"/>
        <v>0</v>
      </c>
      <c r="BE118" s="32">
        <f t="shared" si="108"/>
        <v>0</v>
      </c>
      <c r="BF118" s="12"/>
      <c r="BG118" s="12">
        <f t="shared" si="109"/>
        <v>0</v>
      </c>
      <c r="BH118" s="32">
        <f t="shared" si="110"/>
        <v>0</v>
      </c>
      <c r="BI118" s="12"/>
      <c r="BJ118" s="12">
        <f t="shared" si="111"/>
        <v>0</v>
      </c>
      <c r="BK118" s="32">
        <f t="shared" si="112"/>
        <v>0</v>
      </c>
      <c r="BL118" s="12"/>
      <c r="BM118" s="12">
        <f t="shared" si="113"/>
        <v>0</v>
      </c>
      <c r="BN118" s="32">
        <f t="shared" si="114"/>
        <v>0</v>
      </c>
      <c r="BO118" s="12"/>
      <c r="BP118" s="12">
        <f t="shared" si="115"/>
        <v>0</v>
      </c>
      <c r="BQ118" s="32">
        <f t="shared" si="116"/>
        <v>0</v>
      </c>
      <c r="BR118" s="12"/>
      <c r="BS118" s="12">
        <f t="shared" si="117"/>
        <v>0</v>
      </c>
      <c r="BT118" s="32">
        <f t="shared" si="118"/>
        <v>0</v>
      </c>
      <c r="BU118" s="12"/>
      <c r="BV118" s="12">
        <f t="shared" si="119"/>
        <v>0</v>
      </c>
      <c r="BW118" s="32">
        <f t="shared" si="120"/>
        <v>0</v>
      </c>
      <c r="BX118" s="12"/>
      <c r="BY118" s="12">
        <f t="shared" si="121"/>
        <v>0</v>
      </c>
      <c r="BZ118" s="32">
        <f t="shared" si="122"/>
        <v>0</v>
      </c>
      <c r="CA118" s="12"/>
      <c r="CB118" s="12">
        <f t="shared" si="123"/>
        <v>0</v>
      </c>
      <c r="CC118" s="32">
        <f t="shared" si="124"/>
        <v>0</v>
      </c>
      <c r="CD118" s="12"/>
      <c r="CE118" s="12">
        <f t="shared" si="125"/>
        <v>0</v>
      </c>
      <c r="CF118" s="32">
        <f t="shared" si="126"/>
        <v>0</v>
      </c>
      <c r="CG118" s="12"/>
      <c r="CH118" s="12">
        <f t="shared" si="127"/>
        <v>0</v>
      </c>
      <c r="CI118" s="32">
        <f t="shared" si="128"/>
        <v>0</v>
      </c>
      <c r="CJ118" s="12"/>
      <c r="CK118" s="12">
        <f t="shared" si="129"/>
        <v>0</v>
      </c>
      <c r="CL118" s="32">
        <f t="shared" si="130"/>
        <v>0</v>
      </c>
      <c r="CM118" s="12"/>
      <c r="CN118" s="12">
        <f t="shared" si="131"/>
        <v>0</v>
      </c>
      <c r="CO118" s="32">
        <f t="shared" si="132"/>
        <v>0</v>
      </c>
      <c r="CP118" s="12"/>
      <c r="CQ118" s="12">
        <f t="shared" si="133"/>
        <v>0</v>
      </c>
      <c r="CR118" s="32">
        <f t="shared" si="134"/>
        <v>0</v>
      </c>
      <c r="CS118" s="12"/>
      <c r="CT118" s="12">
        <f t="shared" si="139"/>
        <v>0</v>
      </c>
      <c r="CU118" s="32">
        <f t="shared" si="140"/>
        <v>0</v>
      </c>
      <c r="CV118" s="12"/>
      <c r="CW118" s="12">
        <f t="shared" si="141"/>
        <v>0</v>
      </c>
      <c r="CX118" s="32">
        <f t="shared" si="142"/>
        <v>0</v>
      </c>
      <c r="CY118" s="12"/>
      <c r="CZ118" s="12">
        <f t="shared" si="143"/>
        <v>0</v>
      </c>
      <c r="DA118" s="32">
        <f t="shared" si="144"/>
        <v>0</v>
      </c>
      <c r="DB118" s="12"/>
      <c r="DC118" s="12">
        <f t="shared" si="145"/>
        <v>0</v>
      </c>
      <c r="DD118" s="32">
        <f t="shared" si="146"/>
        <v>0</v>
      </c>
      <c r="DE118" s="12"/>
      <c r="DF118" s="12">
        <f t="shared" si="147"/>
        <v>0</v>
      </c>
      <c r="DG118" s="32">
        <f t="shared" si="148"/>
        <v>0</v>
      </c>
      <c r="DH118" s="12"/>
      <c r="DI118" s="12">
        <f t="shared" si="153"/>
        <v>0</v>
      </c>
      <c r="DJ118" s="32">
        <f t="shared" si="149"/>
        <v>0</v>
      </c>
      <c r="DK118" s="12"/>
      <c r="DL118" s="12">
        <f t="shared" si="150"/>
        <v>0</v>
      </c>
      <c r="DM118" s="32">
        <f t="shared" si="151"/>
        <v>0</v>
      </c>
    </row>
    <row r="119" spans="1:117" s="6" customFormat="1" ht="22.25" customHeight="1" x14ac:dyDescent="0.35">
      <c r="A119" s="4">
        <v>113</v>
      </c>
      <c r="B119" s="4" t="s">
        <v>269</v>
      </c>
      <c r="C119" s="4" t="s">
        <v>270</v>
      </c>
      <c r="D119" s="7">
        <f t="shared" si="136"/>
        <v>33</v>
      </c>
      <c r="E119" s="7">
        <v>33</v>
      </c>
      <c r="F119" s="7">
        <v>1</v>
      </c>
      <c r="G119" s="7">
        <v>1</v>
      </c>
      <c r="H119" s="7">
        <f t="shared" si="137"/>
        <v>4.95</v>
      </c>
      <c r="I119" s="9">
        <f t="shared" si="138"/>
        <v>37.950000000000003</v>
      </c>
      <c r="J119" s="13"/>
      <c r="K119" s="12">
        <f t="shared" si="78"/>
        <v>0</v>
      </c>
      <c r="L119" s="32">
        <f t="shared" si="79"/>
        <v>0</v>
      </c>
      <c r="M119" s="12"/>
      <c r="N119" s="12">
        <f t="shared" si="80"/>
        <v>0</v>
      </c>
      <c r="O119" s="32">
        <f t="shared" si="81"/>
        <v>0</v>
      </c>
      <c r="P119" s="12"/>
      <c r="Q119" s="12">
        <f t="shared" si="152"/>
        <v>0</v>
      </c>
      <c r="R119" s="32">
        <f t="shared" si="82"/>
        <v>0</v>
      </c>
      <c r="S119" s="12"/>
      <c r="T119" s="12">
        <f t="shared" si="83"/>
        <v>0</v>
      </c>
      <c r="U119" s="32">
        <f t="shared" si="84"/>
        <v>0</v>
      </c>
      <c r="V119" s="12"/>
      <c r="W119" s="12">
        <f t="shared" si="85"/>
        <v>0</v>
      </c>
      <c r="X119" s="32">
        <f t="shared" si="86"/>
        <v>0</v>
      </c>
      <c r="Y119" s="12"/>
      <c r="Z119" s="12">
        <f t="shared" si="87"/>
        <v>0</v>
      </c>
      <c r="AA119" s="32">
        <f t="shared" si="88"/>
        <v>0</v>
      </c>
      <c r="AB119" s="12">
        <v>0.01</v>
      </c>
      <c r="AC119" s="12">
        <f t="shared" si="89"/>
        <v>0.33</v>
      </c>
      <c r="AD119" s="32">
        <f t="shared" si="90"/>
        <v>8.9457087516902067E-2</v>
      </c>
      <c r="AE119" s="12"/>
      <c r="AF119" s="37">
        <f t="shared" si="91"/>
        <v>0</v>
      </c>
      <c r="AG119" s="14">
        <f t="shared" si="92"/>
        <v>0</v>
      </c>
      <c r="AH119" s="12"/>
      <c r="AI119" s="12">
        <f t="shared" si="93"/>
        <v>0</v>
      </c>
      <c r="AJ119" s="32">
        <f t="shared" si="94"/>
        <v>0</v>
      </c>
      <c r="AK119" s="12"/>
      <c r="AL119" s="12">
        <f t="shared" si="95"/>
        <v>0</v>
      </c>
      <c r="AM119" s="32">
        <f t="shared" si="96"/>
        <v>0</v>
      </c>
      <c r="AN119" s="12"/>
      <c r="AO119" s="12">
        <f t="shared" si="97"/>
        <v>0</v>
      </c>
      <c r="AP119" s="32">
        <f t="shared" si="98"/>
        <v>0</v>
      </c>
      <c r="AQ119" s="12"/>
      <c r="AR119" s="12">
        <f t="shared" si="99"/>
        <v>0</v>
      </c>
      <c r="AS119" s="32">
        <f t="shared" si="100"/>
        <v>0</v>
      </c>
      <c r="AT119" s="12"/>
      <c r="AU119" s="12">
        <f t="shared" si="101"/>
        <v>0</v>
      </c>
      <c r="AV119" s="32">
        <f t="shared" si="102"/>
        <v>0</v>
      </c>
      <c r="AW119" s="12"/>
      <c r="AX119" s="12">
        <f t="shared" si="103"/>
        <v>0</v>
      </c>
      <c r="AY119" s="32">
        <f t="shared" si="104"/>
        <v>0</v>
      </c>
      <c r="AZ119" s="12"/>
      <c r="BA119" s="12">
        <f t="shared" si="105"/>
        <v>0</v>
      </c>
      <c r="BB119" s="32">
        <f t="shared" si="106"/>
        <v>0</v>
      </c>
      <c r="BC119" s="12"/>
      <c r="BD119" s="12">
        <f t="shared" si="107"/>
        <v>0</v>
      </c>
      <c r="BE119" s="32">
        <f t="shared" si="108"/>
        <v>0</v>
      </c>
      <c r="BF119" s="12"/>
      <c r="BG119" s="12">
        <f t="shared" si="109"/>
        <v>0</v>
      </c>
      <c r="BH119" s="32">
        <f t="shared" si="110"/>
        <v>0</v>
      </c>
      <c r="BI119" s="12"/>
      <c r="BJ119" s="12">
        <f t="shared" si="111"/>
        <v>0</v>
      </c>
      <c r="BK119" s="32">
        <f t="shared" si="112"/>
        <v>0</v>
      </c>
      <c r="BL119" s="12"/>
      <c r="BM119" s="12">
        <f t="shared" si="113"/>
        <v>0</v>
      </c>
      <c r="BN119" s="32">
        <f t="shared" si="114"/>
        <v>0</v>
      </c>
      <c r="BO119" s="12"/>
      <c r="BP119" s="12">
        <f t="shared" si="115"/>
        <v>0</v>
      </c>
      <c r="BQ119" s="32">
        <f t="shared" si="116"/>
        <v>0</v>
      </c>
      <c r="BR119" s="12"/>
      <c r="BS119" s="12">
        <f t="shared" si="117"/>
        <v>0</v>
      </c>
      <c r="BT119" s="32">
        <f t="shared" si="118"/>
        <v>0</v>
      </c>
      <c r="BU119" s="12"/>
      <c r="BV119" s="12">
        <f t="shared" si="119"/>
        <v>0</v>
      </c>
      <c r="BW119" s="32">
        <f t="shared" si="120"/>
        <v>0</v>
      </c>
      <c r="BX119" s="12"/>
      <c r="BY119" s="12">
        <f t="shared" si="121"/>
        <v>0</v>
      </c>
      <c r="BZ119" s="32">
        <f t="shared" si="122"/>
        <v>0</v>
      </c>
      <c r="CA119" s="12"/>
      <c r="CB119" s="12">
        <f t="shared" si="123"/>
        <v>0</v>
      </c>
      <c r="CC119" s="32">
        <f t="shared" si="124"/>
        <v>0</v>
      </c>
      <c r="CD119" s="12"/>
      <c r="CE119" s="12">
        <f t="shared" si="125"/>
        <v>0</v>
      </c>
      <c r="CF119" s="32">
        <f t="shared" si="126"/>
        <v>0</v>
      </c>
      <c r="CG119" s="12"/>
      <c r="CH119" s="12">
        <f t="shared" si="127"/>
        <v>0</v>
      </c>
      <c r="CI119" s="32">
        <f t="shared" si="128"/>
        <v>0</v>
      </c>
      <c r="CJ119" s="12"/>
      <c r="CK119" s="12">
        <f t="shared" si="129"/>
        <v>0</v>
      </c>
      <c r="CL119" s="32">
        <f t="shared" si="130"/>
        <v>0</v>
      </c>
      <c r="CM119" s="12"/>
      <c r="CN119" s="12">
        <f t="shared" si="131"/>
        <v>0</v>
      </c>
      <c r="CO119" s="32">
        <f t="shared" si="132"/>
        <v>0</v>
      </c>
      <c r="CP119" s="12"/>
      <c r="CQ119" s="12">
        <f t="shared" si="133"/>
        <v>0</v>
      </c>
      <c r="CR119" s="32">
        <f t="shared" si="134"/>
        <v>0</v>
      </c>
      <c r="CS119" s="12"/>
      <c r="CT119" s="12">
        <f t="shared" si="139"/>
        <v>0</v>
      </c>
      <c r="CU119" s="32">
        <f t="shared" si="140"/>
        <v>0</v>
      </c>
      <c r="CV119" s="12"/>
      <c r="CW119" s="12">
        <f t="shared" si="141"/>
        <v>0</v>
      </c>
      <c r="CX119" s="32">
        <f t="shared" si="142"/>
        <v>0</v>
      </c>
      <c r="CY119" s="12"/>
      <c r="CZ119" s="12">
        <f t="shared" si="143"/>
        <v>0</v>
      </c>
      <c r="DA119" s="32">
        <f t="shared" si="144"/>
        <v>0</v>
      </c>
      <c r="DB119" s="12"/>
      <c r="DC119" s="12">
        <f t="shared" si="145"/>
        <v>0</v>
      </c>
      <c r="DD119" s="32">
        <f t="shared" si="146"/>
        <v>0</v>
      </c>
      <c r="DE119" s="12"/>
      <c r="DF119" s="12">
        <f t="shared" si="147"/>
        <v>0</v>
      </c>
      <c r="DG119" s="32">
        <f t="shared" si="148"/>
        <v>0</v>
      </c>
      <c r="DH119" s="12"/>
      <c r="DI119" s="12">
        <f t="shared" si="153"/>
        <v>0</v>
      </c>
      <c r="DJ119" s="32">
        <f t="shared" si="149"/>
        <v>0</v>
      </c>
      <c r="DK119" s="12"/>
      <c r="DL119" s="12">
        <f t="shared" si="150"/>
        <v>0</v>
      </c>
      <c r="DM119" s="32">
        <f t="shared" si="151"/>
        <v>0</v>
      </c>
    </row>
    <row r="120" spans="1:117" s="6" customFormat="1" ht="22.25" customHeight="1" x14ac:dyDescent="0.35">
      <c r="A120" s="4">
        <v>114</v>
      </c>
      <c r="B120" s="4" t="s">
        <v>271</v>
      </c>
      <c r="C120" s="4" t="s">
        <v>272</v>
      </c>
      <c r="D120" s="7">
        <f t="shared" si="136"/>
        <v>0.41709999999999997</v>
      </c>
      <c r="E120" s="7">
        <f>125.13/300</f>
        <v>0.41709999999999997</v>
      </c>
      <c r="F120" s="7">
        <v>1</v>
      </c>
      <c r="G120" s="7">
        <v>1</v>
      </c>
      <c r="H120" s="7">
        <f t="shared" si="137"/>
        <v>6.2564999999999996E-2</v>
      </c>
      <c r="I120" s="9">
        <f t="shared" si="138"/>
        <v>0.47966499999999995</v>
      </c>
      <c r="J120" s="13"/>
      <c r="K120" s="12">
        <f t="shared" si="78"/>
        <v>0</v>
      </c>
      <c r="L120" s="32">
        <f t="shared" si="79"/>
        <v>0</v>
      </c>
      <c r="M120" s="12"/>
      <c r="N120" s="12">
        <f t="shared" si="80"/>
        <v>0</v>
      </c>
      <c r="O120" s="32">
        <f t="shared" si="81"/>
        <v>0</v>
      </c>
      <c r="P120" s="12"/>
      <c r="Q120" s="12">
        <f t="shared" si="152"/>
        <v>0</v>
      </c>
      <c r="R120" s="32">
        <f t="shared" si="82"/>
        <v>0</v>
      </c>
      <c r="S120" s="12"/>
      <c r="T120" s="12">
        <f t="shared" si="83"/>
        <v>0</v>
      </c>
      <c r="U120" s="32">
        <f t="shared" si="84"/>
        <v>0</v>
      </c>
      <c r="V120" s="12"/>
      <c r="W120" s="12">
        <f t="shared" si="85"/>
        <v>0</v>
      </c>
      <c r="X120" s="32">
        <f t="shared" si="86"/>
        <v>0</v>
      </c>
      <c r="Y120" s="12"/>
      <c r="Z120" s="12">
        <f t="shared" si="87"/>
        <v>0</v>
      </c>
      <c r="AA120" s="32">
        <f t="shared" si="88"/>
        <v>0</v>
      </c>
      <c r="AB120" s="12"/>
      <c r="AC120" s="12">
        <f t="shared" si="89"/>
        <v>0</v>
      </c>
      <c r="AD120" s="32">
        <f t="shared" si="90"/>
        <v>0</v>
      </c>
      <c r="AE120" s="12"/>
      <c r="AF120" s="37">
        <f t="shared" si="91"/>
        <v>0</v>
      </c>
      <c r="AG120" s="14">
        <f t="shared" si="92"/>
        <v>0</v>
      </c>
      <c r="AH120" s="12"/>
      <c r="AI120" s="12">
        <f t="shared" si="93"/>
        <v>0</v>
      </c>
      <c r="AJ120" s="32">
        <f t="shared" si="94"/>
        <v>0</v>
      </c>
      <c r="AK120" s="12"/>
      <c r="AL120" s="12">
        <f t="shared" si="95"/>
        <v>0</v>
      </c>
      <c r="AM120" s="32">
        <f t="shared" si="96"/>
        <v>0</v>
      </c>
      <c r="AN120" s="12"/>
      <c r="AO120" s="12">
        <f t="shared" si="97"/>
        <v>0</v>
      </c>
      <c r="AP120" s="32">
        <f t="shared" si="98"/>
        <v>0</v>
      </c>
      <c r="AQ120" s="12">
        <v>6</v>
      </c>
      <c r="AR120" s="12">
        <f t="shared" si="99"/>
        <v>2.5025999999999997</v>
      </c>
      <c r="AS120" s="32">
        <f t="shared" si="100"/>
        <v>0.57310253060201233</v>
      </c>
      <c r="AT120" s="12"/>
      <c r="AU120" s="12">
        <f t="shared" si="101"/>
        <v>0</v>
      </c>
      <c r="AV120" s="32">
        <f t="shared" si="102"/>
        <v>0</v>
      </c>
      <c r="AW120" s="12"/>
      <c r="AX120" s="12">
        <f t="shared" si="103"/>
        <v>0</v>
      </c>
      <c r="AY120" s="32">
        <f t="shared" si="104"/>
        <v>0</v>
      </c>
      <c r="AZ120" s="12"/>
      <c r="BA120" s="12">
        <f t="shared" si="105"/>
        <v>0</v>
      </c>
      <c r="BB120" s="32">
        <f t="shared" si="106"/>
        <v>0</v>
      </c>
      <c r="BC120" s="12"/>
      <c r="BD120" s="12">
        <f t="shared" si="107"/>
        <v>0</v>
      </c>
      <c r="BE120" s="32">
        <f t="shared" si="108"/>
        <v>0</v>
      </c>
      <c r="BF120" s="12"/>
      <c r="BG120" s="12">
        <f t="shared" si="109"/>
        <v>0</v>
      </c>
      <c r="BH120" s="32">
        <f t="shared" si="110"/>
        <v>0</v>
      </c>
      <c r="BI120" s="12"/>
      <c r="BJ120" s="12">
        <f t="shared" si="111"/>
        <v>0</v>
      </c>
      <c r="BK120" s="32">
        <f t="shared" si="112"/>
        <v>0</v>
      </c>
      <c r="BL120" s="12"/>
      <c r="BM120" s="12">
        <f t="shared" si="113"/>
        <v>0</v>
      </c>
      <c r="BN120" s="32">
        <f t="shared" si="114"/>
        <v>0</v>
      </c>
      <c r="BO120" s="12"/>
      <c r="BP120" s="12">
        <f t="shared" si="115"/>
        <v>0</v>
      </c>
      <c r="BQ120" s="32">
        <f t="shared" si="116"/>
        <v>0</v>
      </c>
      <c r="BR120" s="12"/>
      <c r="BS120" s="12">
        <f t="shared" si="117"/>
        <v>0</v>
      </c>
      <c r="BT120" s="32">
        <f t="shared" si="118"/>
        <v>0</v>
      </c>
      <c r="BU120" s="12"/>
      <c r="BV120" s="12">
        <f t="shared" si="119"/>
        <v>0</v>
      </c>
      <c r="BW120" s="32">
        <f t="shared" si="120"/>
        <v>0</v>
      </c>
      <c r="BX120" s="12"/>
      <c r="BY120" s="12">
        <f t="shared" si="121"/>
        <v>0</v>
      </c>
      <c r="BZ120" s="32">
        <f t="shared" si="122"/>
        <v>0</v>
      </c>
      <c r="CA120" s="12"/>
      <c r="CB120" s="12">
        <f t="shared" si="123"/>
        <v>0</v>
      </c>
      <c r="CC120" s="32">
        <f t="shared" si="124"/>
        <v>0</v>
      </c>
      <c r="CD120" s="12"/>
      <c r="CE120" s="12">
        <f t="shared" si="125"/>
        <v>0</v>
      </c>
      <c r="CF120" s="32">
        <f t="shared" si="126"/>
        <v>0</v>
      </c>
      <c r="CG120" s="12"/>
      <c r="CH120" s="12">
        <f t="shared" si="127"/>
        <v>0</v>
      </c>
      <c r="CI120" s="32">
        <f t="shared" si="128"/>
        <v>0</v>
      </c>
      <c r="CJ120" s="12"/>
      <c r="CK120" s="12">
        <f t="shared" si="129"/>
        <v>0</v>
      </c>
      <c r="CL120" s="32">
        <f t="shared" si="130"/>
        <v>0</v>
      </c>
      <c r="CM120" s="12"/>
      <c r="CN120" s="12">
        <f t="shared" si="131"/>
        <v>0</v>
      </c>
      <c r="CO120" s="32">
        <f t="shared" si="132"/>
        <v>0</v>
      </c>
      <c r="CP120" s="12"/>
      <c r="CQ120" s="12">
        <f t="shared" si="133"/>
        <v>0</v>
      </c>
      <c r="CR120" s="32">
        <f t="shared" si="134"/>
        <v>0</v>
      </c>
      <c r="CS120" s="12"/>
      <c r="CT120" s="12">
        <f t="shared" si="139"/>
        <v>0</v>
      </c>
      <c r="CU120" s="32">
        <f t="shared" si="140"/>
        <v>0</v>
      </c>
      <c r="CV120" s="12"/>
      <c r="CW120" s="12">
        <f t="shared" si="141"/>
        <v>0</v>
      </c>
      <c r="CX120" s="32">
        <f t="shared" si="142"/>
        <v>0</v>
      </c>
      <c r="CY120" s="12"/>
      <c r="CZ120" s="12">
        <f t="shared" si="143"/>
        <v>0</v>
      </c>
      <c r="DA120" s="32">
        <f t="shared" si="144"/>
        <v>0</v>
      </c>
      <c r="DB120" s="12"/>
      <c r="DC120" s="12">
        <f t="shared" si="145"/>
        <v>0</v>
      </c>
      <c r="DD120" s="32">
        <f t="shared" si="146"/>
        <v>0</v>
      </c>
      <c r="DE120" s="12"/>
      <c r="DF120" s="12">
        <f t="shared" si="147"/>
        <v>0</v>
      </c>
      <c r="DG120" s="32">
        <f t="shared" si="148"/>
        <v>0</v>
      </c>
      <c r="DH120" s="12"/>
      <c r="DI120" s="12">
        <f t="shared" si="153"/>
        <v>0</v>
      </c>
      <c r="DJ120" s="32">
        <f t="shared" si="149"/>
        <v>0</v>
      </c>
      <c r="DK120" s="12"/>
      <c r="DL120" s="12">
        <f t="shared" si="150"/>
        <v>0</v>
      </c>
      <c r="DM120" s="32">
        <f t="shared" si="151"/>
        <v>0</v>
      </c>
    </row>
    <row r="121" spans="1:117" s="6" customFormat="1" ht="22.25" customHeight="1" x14ac:dyDescent="0.35">
      <c r="A121" s="4">
        <v>115</v>
      </c>
      <c r="B121" s="4" t="s">
        <v>273</v>
      </c>
      <c r="C121" s="4" t="s">
        <v>274</v>
      </c>
      <c r="D121" s="7">
        <f t="shared" si="136"/>
        <v>29</v>
      </c>
      <c r="E121" s="7">
        <v>29</v>
      </c>
      <c r="F121" s="7">
        <v>1</v>
      </c>
      <c r="G121" s="7">
        <v>1</v>
      </c>
      <c r="H121" s="7">
        <f t="shared" si="137"/>
        <v>4.3499999999999996</v>
      </c>
      <c r="I121" s="9">
        <f t="shared" si="138"/>
        <v>33.35</v>
      </c>
      <c r="J121" s="13"/>
      <c r="K121" s="12">
        <f t="shared" si="78"/>
        <v>0</v>
      </c>
      <c r="L121" s="32">
        <f t="shared" si="79"/>
        <v>0</v>
      </c>
      <c r="M121" s="12"/>
      <c r="N121" s="12">
        <f t="shared" si="80"/>
        <v>0</v>
      </c>
      <c r="O121" s="32">
        <f t="shared" si="81"/>
        <v>0</v>
      </c>
      <c r="P121" s="12"/>
      <c r="Q121" s="12">
        <f t="shared" si="152"/>
        <v>0</v>
      </c>
      <c r="R121" s="32">
        <f t="shared" si="82"/>
        <v>0</v>
      </c>
      <c r="S121" s="12"/>
      <c r="T121" s="12">
        <f t="shared" si="83"/>
        <v>0</v>
      </c>
      <c r="U121" s="32">
        <f t="shared" si="84"/>
        <v>0</v>
      </c>
      <c r="V121" s="12"/>
      <c r="W121" s="12">
        <f t="shared" si="85"/>
        <v>0</v>
      </c>
      <c r="X121" s="32">
        <f t="shared" si="86"/>
        <v>0</v>
      </c>
      <c r="Y121" s="12"/>
      <c r="Z121" s="12">
        <f t="shared" si="87"/>
        <v>0</v>
      </c>
      <c r="AA121" s="32">
        <f t="shared" si="88"/>
        <v>0</v>
      </c>
      <c r="AB121" s="12"/>
      <c r="AC121" s="12">
        <f t="shared" si="89"/>
        <v>0</v>
      </c>
      <c r="AD121" s="32">
        <f t="shared" si="90"/>
        <v>0</v>
      </c>
      <c r="AE121" s="12"/>
      <c r="AF121" s="37">
        <f t="shared" si="91"/>
        <v>0</v>
      </c>
      <c r="AG121" s="14">
        <f t="shared" si="92"/>
        <v>0</v>
      </c>
      <c r="AH121" s="12"/>
      <c r="AI121" s="12">
        <f t="shared" si="93"/>
        <v>0</v>
      </c>
      <c r="AJ121" s="32">
        <f t="shared" si="94"/>
        <v>0</v>
      </c>
      <c r="AK121" s="12"/>
      <c r="AL121" s="12">
        <f t="shared" si="95"/>
        <v>0</v>
      </c>
      <c r="AM121" s="32">
        <f t="shared" si="96"/>
        <v>0</v>
      </c>
      <c r="AN121" s="12"/>
      <c r="AO121" s="12">
        <f t="shared" si="97"/>
        <v>0</v>
      </c>
      <c r="AP121" s="32">
        <f t="shared" si="98"/>
        <v>0</v>
      </c>
      <c r="AQ121" s="12"/>
      <c r="AR121" s="12">
        <f t="shared" si="99"/>
        <v>0</v>
      </c>
      <c r="AS121" s="32">
        <f t="shared" si="100"/>
        <v>0</v>
      </c>
      <c r="AT121" s="12"/>
      <c r="AU121" s="12">
        <f t="shared" si="101"/>
        <v>0</v>
      </c>
      <c r="AV121" s="32">
        <f t="shared" si="102"/>
        <v>0</v>
      </c>
      <c r="AW121" s="12"/>
      <c r="AX121" s="12">
        <f t="shared" si="103"/>
        <v>0</v>
      </c>
      <c r="AY121" s="32">
        <f t="shared" si="104"/>
        <v>0</v>
      </c>
      <c r="AZ121" s="12"/>
      <c r="BA121" s="12">
        <f t="shared" si="105"/>
        <v>0</v>
      </c>
      <c r="BB121" s="32">
        <f t="shared" si="106"/>
        <v>0</v>
      </c>
      <c r="BC121" s="12"/>
      <c r="BD121" s="12">
        <f t="shared" si="107"/>
        <v>0</v>
      </c>
      <c r="BE121" s="32">
        <f t="shared" si="108"/>
        <v>0</v>
      </c>
      <c r="BF121" s="12"/>
      <c r="BG121" s="12">
        <f t="shared" si="109"/>
        <v>0</v>
      </c>
      <c r="BH121" s="32">
        <f t="shared" si="110"/>
        <v>0</v>
      </c>
      <c r="BI121" s="12">
        <v>2E-3</v>
      </c>
      <c r="BJ121" s="12">
        <f t="shared" si="111"/>
        <v>5.8000000000000003E-2</v>
      </c>
      <c r="BK121" s="32">
        <f t="shared" si="112"/>
        <v>1.6832856520279573E-2</v>
      </c>
      <c r="BL121" s="12"/>
      <c r="BM121" s="12">
        <f t="shared" si="113"/>
        <v>0</v>
      </c>
      <c r="BN121" s="32">
        <f t="shared" si="114"/>
        <v>0</v>
      </c>
      <c r="BO121" s="12"/>
      <c r="BP121" s="12">
        <f t="shared" si="115"/>
        <v>0</v>
      </c>
      <c r="BQ121" s="32">
        <f t="shared" si="116"/>
        <v>0</v>
      </c>
      <c r="BR121" s="12"/>
      <c r="BS121" s="12">
        <f t="shared" si="117"/>
        <v>0</v>
      </c>
      <c r="BT121" s="32">
        <f t="shared" si="118"/>
        <v>0</v>
      </c>
      <c r="BU121" s="12"/>
      <c r="BV121" s="12">
        <f t="shared" si="119"/>
        <v>0</v>
      </c>
      <c r="BW121" s="32">
        <f t="shared" si="120"/>
        <v>0</v>
      </c>
      <c r="BX121" s="12"/>
      <c r="BY121" s="12">
        <f t="shared" si="121"/>
        <v>0</v>
      </c>
      <c r="BZ121" s="32">
        <f t="shared" si="122"/>
        <v>0</v>
      </c>
      <c r="CA121" s="12"/>
      <c r="CB121" s="12">
        <f t="shared" si="123"/>
        <v>0</v>
      </c>
      <c r="CC121" s="32">
        <f t="shared" si="124"/>
        <v>0</v>
      </c>
      <c r="CD121" s="12"/>
      <c r="CE121" s="12">
        <f t="shared" si="125"/>
        <v>0</v>
      </c>
      <c r="CF121" s="32">
        <f t="shared" si="126"/>
        <v>0</v>
      </c>
      <c r="CG121" s="12"/>
      <c r="CH121" s="12">
        <f t="shared" si="127"/>
        <v>0</v>
      </c>
      <c r="CI121" s="32">
        <f t="shared" si="128"/>
        <v>0</v>
      </c>
      <c r="CJ121" s="12"/>
      <c r="CK121" s="12">
        <f t="shared" si="129"/>
        <v>0</v>
      </c>
      <c r="CL121" s="32">
        <f t="shared" si="130"/>
        <v>0</v>
      </c>
      <c r="CM121" s="12"/>
      <c r="CN121" s="12">
        <f t="shared" si="131"/>
        <v>0</v>
      </c>
      <c r="CO121" s="32">
        <f t="shared" si="132"/>
        <v>0</v>
      </c>
      <c r="CP121" s="12"/>
      <c r="CQ121" s="12">
        <f t="shared" si="133"/>
        <v>0</v>
      </c>
      <c r="CR121" s="32">
        <f t="shared" si="134"/>
        <v>0</v>
      </c>
      <c r="CS121" s="12"/>
      <c r="CT121" s="12">
        <f t="shared" si="139"/>
        <v>0</v>
      </c>
      <c r="CU121" s="32">
        <f t="shared" si="140"/>
        <v>0</v>
      </c>
      <c r="CV121" s="12"/>
      <c r="CW121" s="12">
        <f t="shared" si="141"/>
        <v>0</v>
      </c>
      <c r="CX121" s="32">
        <f t="shared" si="142"/>
        <v>0</v>
      </c>
      <c r="CY121" s="12"/>
      <c r="CZ121" s="12">
        <f t="shared" si="143"/>
        <v>0</v>
      </c>
      <c r="DA121" s="32">
        <f t="shared" si="144"/>
        <v>0</v>
      </c>
      <c r="DB121" s="12"/>
      <c r="DC121" s="12">
        <f t="shared" si="145"/>
        <v>0</v>
      </c>
      <c r="DD121" s="32">
        <f t="shared" si="146"/>
        <v>0</v>
      </c>
      <c r="DE121" s="12"/>
      <c r="DF121" s="12">
        <f t="shared" si="147"/>
        <v>0</v>
      </c>
      <c r="DG121" s="32">
        <f t="shared" si="148"/>
        <v>0</v>
      </c>
      <c r="DH121" s="12"/>
      <c r="DI121" s="12">
        <f t="shared" si="153"/>
        <v>0</v>
      </c>
      <c r="DJ121" s="32">
        <f t="shared" si="149"/>
        <v>0</v>
      </c>
      <c r="DK121" s="12"/>
      <c r="DL121" s="12">
        <f t="shared" si="150"/>
        <v>0</v>
      </c>
      <c r="DM121" s="32">
        <f t="shared" si="151"/>
        <v>0</v>
      </c>
    </row>
    <row r="122" spans="1:117" s="6" customFormat="1" ht="22.25" customHeight="1" x14ac:dyDescent="0.35">
      <c r="A122" s="4">
        <v>116</v>
      </c>
      <c r="B122" s="4" t="s">
        <v>275</v>
      </c>
      <c r="C122" s="4" t="s">
        <v>276</v>
      </c>
      <c r="D122" s="7">
        <f t="shared" si="136"/>
        <v>5.882352941176471</v>
      </c>
      <c r="E122" s="7">
        <f>35/7</f>
        <v>5</v>
      </c>
      <c r="F122" s="7">
        <v>1</v>
      </c>
      <c r="G122" s="7">
        <v>0.85</v>
      </c>
      <c r="H122" s="7">
        <f t="shared" si="137"/>
        <v>0.88235294117647067</v>
      </c>
      <c r="I122" s="9">
        <f t="shared" si="138"/>
        <v>6.764705882352942</v>
      </c>
      <c r="J122" s="13"/>
      <c r="K122" s="12">
        <f t="shared" si="78"/>
        <v>0</v>
      </c>
      <c r="L122" s="32">
        <f t="shared" si="79"/>
        <v>0</v>
      </c>
      <c r="M122" s="12"/>
      <c r="N122" s="12">
        <f t="shared" si="80"/>
        <v>0</v>
      </c>
      <c r="O122" s="32">
        <f t="shared" si="81"/>
        <v>0</v>
      </c>
      <c r="P122" s="12"/>
      <c r="Q122" s="12">
        <f t="shared" si="152"/>
        <v>0</v>
      </c>
      <c r="R122" s="32">
        <f t="shared" si="82"/>
        <v>0</v>
      </c>
      <c r="S122" s="12"/>
      <c r="T122" s="12">
        <f t="shared" si="83"/>
        <v>0</v>
      </c>
      <c r="U122" s="32">
        <f t="shared" si="84"/>
        <v>0</v>
      </c>
      <c r="V122" s="12"/>
      <c r="W122" s="12">
        <f t="shared" si="85"/>
        <v>0</v>
      </c>
      <c r="X122" s="32">
        <f t="shared" si="86"/>
        <v>0</v>
      </c>
      <c r="Y122" s="12">
        <v>0.02</v>
      </c>
      <c r="Z122" s="12">
        <f t="shared" si="87"/>
        <v>0.11764705882352942</v>
      </c>
      <c r="AA122" s="32">
        <f t="shared" si="88"/>
        <v>2.738626535581868E-2</v>
      </c>
      <c r="AB122" s="12">
        <v>0.01</v>
      </c>
      <c r="AC122" s="12">
        <f t="shared" si="89"/>
        <v>5.8823529411764712E-2</v>
      </c>
      <c r="AD122" s="32">
        <f t="shared" si="90"/>
        <v>1.5946004904973634E-2</v>
      </c>
      <c r="AE122" s="12"/>
      <c r="AF122" s="37">
        <f t="shared" si="91"/>
        <v>0</v>
      </c>
      <c r="AG122" s="14">
        <f t="shared" si="92"/>
        <v>0</v>
      </c>
      <c r="AH122" s="12"/>
      <c r="AI122" s="12">
        <f t="shared" si="93"/>
        <v>0</v>
      </c>
      <c r="AJ122" s="32">
        <f t="shared" si="94"/>
        <v>0</v>
      </c>
      <c r="AK122" s="12"/>
      <c r="AL122" s="12">
        <f t="shared" si="95"/>
        <v>0</v>
      </c>
      <c r="AM122" s="32">
        <f t="shared" si="96"/>
        <v>0</v>
      </c>
      <c r="AN122" s="12"/>
      <c r="AO122" s="12">
        <f t="shared" si="97"/>
        <v>0</v>
      </c>
      <c r="AP122" s="32">
        <f t="shared" si="98"/>
        <v>0</v>
      </c>
      <c r="AQ122" s="12"/>
      <c r="AR122" s="12">
        <f t="shared" si="99"/>
        <v>0</v>
      </c>
      <c r="AS122" s="32">
        <f t="shared" si="100"/>
        <v>0</v>
      </c>
      <c r="AT122" s="12"/>
      <c r="AU122" s="12">
        <f t="shared" si="101"/>
        <v>0</v>
      </c>
      <c r="AV122" s="32">
        <f t="shared" si="102"/>
        <v>0</v>
      </c>
      <c r="AW122" s="12"/>
      <c r="AX122" s="12">
        <f t="shared" si="103"/>
        <v>0</v>
      </c>
      <c r="AY122" s="32">
        <f t="shared" si="104"/>
        <v>0</v>
      </c>
      <c r="AZ122" s="12"/>
      <c r="BA122" s="12">
        <f t="shared" si="105"/>
        <v>0</v>
      </c>
      <c r="BB122" s="32">
        <f t="shared" si="106"/>
        <v>0</v>
      </c>
      <c r="BC122" s="12"/>
      <c r="BD122" s="12">
        <f t="shared" si="107"/>
        <v>0</v>
      </c>
      <c r="BE122" s="32">
        <f t="shared" si="108"/>
        <v>0</v>
      </c>
      <c r="BF122" s="12"/>
      <c r="BG122" s="12">
        <f t="shared" si="109"/>
        <v>0</v>
      </c>
      <c r="BH122" s="32">
        <f t="shared" si="110"/>
        <v>0</v>
      </c>
      <c r="BI122" s="12"/>
      <c r="BJ122" s="12">
        <f t="shared" si="111"/>
        <v>0</v>
      </c>
      <c r="BK122" s="32">
        <f t="shared" si="112"/>
        <v>0</v>
      </c>
      <c r="BL122" s="12"/>
      <c r="BM122" s="12">
        <f t="shared" si="113"/>
        <v>0</v>
      </c>
      <c r="BN122" s="32">
        <f t="shared" si="114"/>
        <v>0</v>
      </c>
      <c r="BO122" s="12"/>
      <c r="BP122" s="12">
        <f t="shared" si="115"/>
        <v>0</v>
      </c>
      <c r="BQ122" s="32">
        <f t="shared" si="116"/>
        <v>0</v>
      </c>
      <c r="BR122" s="12"/>
      <c r="BS122" s="12">
        <f t="shared" si="117"/>
        <v>0</v>
      </c>
      <c r="BT122" s="32">
        <f t="shared" si="118"/>
        <v>0</v>
      </c>
      <c r="BU122" s="12"/>
      <c r="BV122" s="12">
        <f t="shared" si="119"/>
        <v>0</v>
      </c>
      <c r="BW122" s="32">
        <f t="shared" si="120"/>
        <v>0</v>
      </c>
      <c r="BX122" s="12"/>
      <c r="BY122" s="12">
        <f t="shared" si="121"/>
        <v>0</v>
      </c>
      <c r="BZ122" s="32">
        <f t="shared" si="122"/>
        <v>0</v>
      </c>
      <c r="CA122" s="12"/>
      <c r="CB122" s="12">
        <f t="shared" si="123"/>
        <v>0</v>
      </c>
      <c r="CC122" s="32">
        <f t="shared" si="124"/>
        <v>0</v>
      </c>
      <c r="CD122" s="12"/>
      <c r="CE122" s="12">
        <f t="shared" si="125"/>
        <v>0</v>
      </c>
      <c r="CF122" s="32">
        <f t="shared" si="126"/>
        <v>0</v>
      </c>
      <c r="CG122" s="12"/>
      <c r="CH122" s="12">
        <f t="shared" si="127"/>
        <v>0</v>
      </c>
      <c r="CI122" s="32">
        <f t="shared" si="128"/>
        <v>0</v>
      </c>
      <c r="CJ122" s="12"/>
      <c r="CK122" s="12">
        <f t="shared" si="129"/>
        <v>0</v>
      </c>
      <c r="CL122" s="32">
        <f t="shared" si="130"/>
        <v>0</v>
      </c>
      <c r="CM122" s="12"/>
      <c r="CN122" s="12">
        <f t="shared" si="131"/>
        <v>0</v>
      </c>
      <c r="CO122" s="32">
        <f t="shared" si="132"/>
        <v>0</v>
      </c>
      <c r="CP122" s="12"/>
      <c r="CQ122" s="12">
        <f t="shared" si="133"/>
        <v>0</v>
      </c>
      <c r="CR122" s="32">
        <f t="shared" si="134"/>
        <v>0</v>
      </c>
      <c r="CS122" s="12"/>
      <c r="CT122" s="12">
        <f t="shared" si="139"/>
        <v>0</v>
      </c>
      <c r="CU122" s="32">
        <f t="shared" si="140"/>
        <v>0</v>
      </c>
      <c r="CV122" s="12"/>
      <c r="CW122" s="12">
        <f t="shared" si="141"/>
        <v>0</v>
      </c>
      <c r="CX122" s="32">
        <f t="shared" si="142"/>
        <v>0</v>
      </c>
      <c r="CY122" s="12"/>
      <c r="CZ122" s="12">
        <f t="shared" si="143"/>
        <v>0</v>
      </c>
      <c r="DA122" s="32">
        <f t="shared" si="144"/>
        <v>0</v>
      </c>
      <c r="DB122" s="12"/>
      <c r="DC122" s="12">
        <f t="shared" si="145"/>
        <v>0</v>
      </c>
      <c r="DD122" s="32">
        <f t="shared" si="146"/>
        <v>0</v>
      </c>
      <c r="DE122" s="12"/>
      <c r="DF122" s="12">
        <f t="shared" si="147"/>
        <v>0</v>
      </c>
      <c r="DG122" s="32">
        <f t="shared" si="148"/>
        <v>0</v>
      </c>
      <c r="DH122" s="12"/>
      <c r="DI122" s="12">
        <f t="shared" si="153"/>
        <v>0</v>
      </c>
      <c r="DJ122" s="32">
        <f t="shared" si="149"/>
        <v>0</v>
      </c>
      <c r="DK122" s="12"/>
      <c r="DL122" s="12">
        <f t="shared" si="150"/>
        <v>0</v>
      </c>
      <c r="DM122" s="32">
        <f t="shared" si="151"/>
        <v>0</v>
      </c>
    </row>
    <row r="123" spans="1:117" s="6" customFormat="1" ht="22.25" customHeight="1" x14ac:dyDescent="0.35">
      <c r="A123" s="4">
        <v>117</v>
      </c>
      <c r="B123" s="4" t="s">
        <v>277</v>
      </c>
      <c r="C123" s="4" t="s">
        <v>278</v>
      </c>
      <c r="D123" s="7">
        <f t="shared" si="136"/>
        <v>4.2</v>
      </c>
      <c r="E123" s="7">
        <v>4.2</v>
      </c>
      <c r="F123" s="7">
        <v>1</v>
      </c>
      <c r="G123" s="7">
        <v>1</v>
      </c>
      <c r="H123" s="7">
        <f t="shared" si="137"/>
        <v>0.63</v>
      </c>
      <c r="I123" s="9">
        <f t="shared" si="138"/>
        <v>4.83</v>
      </c>
      <c r="J123" s="13"/>
      <c r="K123" s="12">
        <f t="shared" si="78"/>
        <v>0</v>
      </c>
      <c r="L123" s="32">
        <f t="shared" si="79"/>
        <v>0</v>
      </c>
      <c r="M123" s="12"/>
      <c r="N123" s="12">
        <f t="shared" si="80"/>
        <v>0</v>
      </c>
      <c r="O123" s="32">
        <f t="shared" si="81"/>
        <v>0</v>
      </c>
      <c r="P123" s="12">
        <v>2.5000000000000001E-2</v>
      </c>
      <c r="Q123" s="12">
        <f t="shared" si="152"/>
        <v>0.10500000000000001</v>
      </c>
      <c r="R123" s="32">
        <f t="shared" si="82"/>
        <v>2.516436237091909E-2</v>
      </c>
      <c r="S123" s="12"/>
      <c r="T123" s="12">
        <f t="shared" si="83"/>
        <v>0</v>
      </c>
      <c r="U123" s="32">
        <f t="shared" si="84"/>
        <v>0</v>
      </c>
      <c r="V123" s="12"/>
      <c r="W123" s="12">
        <f t="shared" si="85"/>
        <v>0</v>
      </c>
      <c r="X123" s="32">
        <f t="shared" si="86"/>
        <v>0</v>
      </c>
      <c r="Y123" s="12"/>
      <c r="Z123" s="12">
        <f t="shared" si="87"/>
        <v>0</v>
      </c>
      <c r="AA123" s="32">
        <f t="shared" si="88"/>
        <v>0</v>
      </c>
      <c r="AB123" s="12"/>
      <c r="AC123" s="12">
        <f t="shared" si="89"/>
        <v>0</v>
      </c>
      <c r="AD123" s="32">
        <f t="shared" si="90"/>
        <v>0</v>
      </c>
      <c r="AE123" s="12"/>
      <c r="AF123" s="37">
        <f t="shared" si="91"/>
        <v>0</v>
      </c>
      <c r="AG123" s="14">
        <f t="shared" si="92"/>
        <v>0</v>
      </c>
      <c r="AH123" s="12"/>
      <c r="AI123" s="12">
        <f t="shared" si="93"/>
        <v>0</v>
      </c>
      <c r="AJ123" s="32">
        <f t="shared" si="94"/>
        <v>0</v>
      </c>
      <c r="AK123" s="12"/>
      <c r="AL123" s="12">
        <f t="shared" si="95"/>
        <v>0</v>
      </c>
      <c r="AM123" s="32">
        <f t="shared" si="96"/>
        <v>0</v>
      </c>
      <c r="AN123" s="12"/>
      <c r="AO123" s="12">
        <f t="shared" si="97"/>
        <v>0</v>
      </c>
      <c r="AP123" s="32">
        <f t="shared" si="98"/>
        <v>0</v>
      </c>
      <c r="AQ123" s="12"/>
      <c r="AR123" s="12">
        <f t="shared" si="99"/>
        <v>0</v>
      </c>
      <c r="AS123" s="32">
        <f t="shared" si="100"/>
        <v>0</v>
      </c>
      <c r="AT123" s="12"/>
      <c r="AU123" s="12">
        <f t="shared" si="101"/>
        <v>0</v>
      </c>
      <c r="AV123" s="32">
        <f t="shared" si="102"/>
        <v>0</v>
      </c>
      <c r="AW123" s="12"/>
      <c r="AX123" s="12">
        <f t="shared" si="103"/>
        <v>0</v>
      </c>
      <c r="AY123" s="32">
        <f t="shared" si="104"/>
        <v>0</v>
      </c>
      <c r="AZ123" s="12"/>
      <c r="BA123" s="12">
        <f t="shared" si="105"/>
        <v>0</v>
      </c>
      <c r="BB123" s="32">
        <f t="shared" si="106"/>
        <v>0</v>
      </c>
      <c r="BC123" s="12"/>
      <c r="BD123" s="12">
        <f t="shared" si="107"/>
        <v>0</v>
      </c>
      <c r="BE123" s="32">
        <f t="shared" si="108"/>
        <v>0</v>
      </c>
      <c r="BF123" s="12"/>
      <c r="BG123" s="12">
        <f t="shared" si="109"/>
        <v>0</v>
      </c>
      <c r="BH123" s="32">
        <f t="shared" si="110"/>
        <v>0</v>
      </c>
      <c r="BI123" s="12"/>
      <c r="BJ123" s="12">
        <f t="shared" si="111"/>
        <v>0</v>
      </c>
      <c r="BK123" s="32">
        <f t="shared" si="112"/>
        <v>0</v>
      </c>
      <c r="BL123" s="12"/>
      <c r="BM123" s="12">
        <f t="shared" si="113"/>
        <v>0</v>
      </c>
      <c r="BN123" s="32">
        <f t="shared" si="114"/>
        <v>0</v>
      </c>
      <c r="BO123" s="12"/>
      <c r="BP123" s="12">
        <f t="shared" si="115"/>
        <v>0</v>
      </c>
      <c r="BQ123" s="32">
        <f t="shared" si="116"/>
        <v>0</v>
      </c>
      <c r="BR123" s="12"/>
      <c r="BS123" s="12">
        <f t="shared" si="117"/>
        <v>0</v>
      </c>
      <c r="BT123" s="32">
        <f t="shared" si="118"/>
        <v>0</v>
      </c>
      <c r="BU123" s="12"/>
      <c r="BV123" s="12">
        <f t="shared" si="119"/>
        <v>0</v>
      </c>
      <c r="BW123" s="32">
        <f t="shared" si="120"/>
        <v>0</v>
      </c>
      <c r="BX123" s="12"/>
      <c r="BY123" s="12">
        <f t="shared" si="121"/>
        <v>0</v>
      </c>
      <c r="BZ123" s="32">
        <f t="shared" si="122"/>
        <v>0</v>
      </c>
      <c r="CA123" s="12"/>
      <c r="CB123" s="12">
        <f t="shared" si="123"/>
        <v>0</v>
      </c>
      <c r="CC123" s="32">
        <f t="shared" si="124"/>
        <v>0</v>
      </c>
      <c r="CD123" s="12"/>
      <c r="CE123" s="12">
        <f t="shared" si="125"/>
        <v>0</v>
      </c>
      <c r="CF123" s="32">
        <f t="shared" si="126"/>
        <v>0</v>
      </c>
      <c r="CG123" s="12"/>
      <c r="CH123" s="12">
        <f t="shared" si="127"/>
        <v>0</v>
      </c>
      <c r="CI123" s="32">
        <f t="shared" si="128"/>
        <v>0</v>
      </c>
      <c r="CJ123" s="12"/>
      <c r="CK123" s="12">
        <f t="shared" si="129"/>
        <v>0</v>
      </c>
      <c r="CL123" s="32">
        <f t="shared" si="130"/>
        <v>0</v>
      </c>
      <c r="CM123" s="12">
        <v>0.02</v>
      </c>
      <c r="CN123" s="12">
        <f t="shared" si="131"/>
        <v>8.4000000000000005E-2</v>
      </c>
      <c r="CO123" s="32">
        <f t="shared" si="132"/>
        <v>0.52603154477879843</v>
      </c>
      <c r="CP123" s="12"/>
      <c r="CQ123" s="12">
        <f t="shared" si="133"/>
        <v>0</v>
      </c>
      <c r="CR123" s="32">
        <f t="shared" si="134"/>
        <v>0</v>
      </c>
      <c r="CS123" s="12">
        <v>0.2</v>
      </c>
      <c r="CT123" s="12">
        <f>CS123*D123</f>
        <v>0.84000000000000008</v>
      </c>
      <c r="CU123" s="32">
        <f t="shared" si="140"/>
        <v>4.9524804191864824</v>
      </c>
      <c r="CV123" s="12"/>
      <c r="CW123" s="12">
        <f t="shared" si="141"/>
        <v>0</v>
      </c>
      <c r="CX123" s="32">
        <f t="shared" si="142"/>
        <v>0</v>
      </c>
      <c r="CY123" s="12"/>
      <c r="CZ123" s="12">
        <f t="shared" si="143"/>
        <v>0</v>
      </c>
      <c r="DA123" s="32">
        <f t="shared" si="144"/>
        <v>0</v>
      </c>
      <c r="DB123" s="12"/>
      <c r="DC123" s="12">
        <f t="shared" si="145"/>
        <v>0</v>
      </c>
      <c r="DD123" s="32">
        <f t="shared" si="146"/>
        <v>0</v>
      </c>
      <c r="DE123" s="12"/>
      <c r="DF123" s="12">
        <f t="shared" si="147"/>
        <v>0</v>
      </c>
      <c r="DG123" s="32">
        <f t="shared" si="148"/>
        <v>0</v>
      </c>
      <c r="DH123" s="12"/>
      <c r="DI123" s="12">
        <f t="shared" si="153"/>
        <v>0</v>
      </c>
      <c r="DJ123" s="32">
        <f t="shared" si="149"/>
        <v>0</v>
      </c>
      <c r="DK123" s="12"/>
      <c r="DL123" s="12">
        <f t="shared" si="150"/>
        <v>0</v>
      </c>
      <c r="DM123" s="32">
        <f t="shared" si="151"/>
        <v>0</v>
      </c>
    </row>
    <row r="124" spans="1:117" s="6" customFormat="1" ht="22.25" customHeight="1" x14ac:dyDescent="0.35">
      <c r="A124" s="4">
        <v>118</v>
      </c>
      <c r="B124" s="4" t="s">
        <v>279</v>
      </c>
      <c r="C124" s="4" t="s">
        <v>280</v>
      </c>
      <c r="D124" s="7">
        <f t="shared" si="136"/>
        <v>1.23</v>
      </c>
      <c r="E124" s="7">
        <v>1.23</v>
      </c>
      <c r="F124" s="7">
        <v>1</v>
      </c>
      <c r="G124" s="7">
        <v>1</v>
      </c>
      <c r="H124" s="7">
        <f t="shared" si="137"/>
        <v>0.1845</v>
      </c>
      <c r="I124" s="9">
        <f t="shared" si="138"/>
        <v>1.4144999999999999</v>
      </c>
      <c r="J124" s="13"/>
      <c r="K124" s="12">
        <f t="shared" si="78"/>
        <v>0</v>
      </c>
      <c r="L124" s="32">
        <f t="shared" si="79"/>
        <v>0</v>
      </c>
      <c r="M124" s="12"/>
      <c r="N124" s="12">
        <f t="shared" si="80"/>
        <v>0</v>
      </c>
      <c r="O124" s="32">
        <f t="shared" si="81"/>
        <v>0</v>
      </c>
      <c r="P124" s="12">
        <v>5.0000000000000001E-3</v>
      </c>
      <c r="Q124" s="12">
        <f t="shared" si="152"/>
        <v>6.1500000000000001E-3</v>
      </c>
      <c r="R124" s="32">
        <f t="shared" si="82"/>
        <v>1.4739126531538322E-3</v>
      </c>
      <c r="S124" s="12"/>
      <c r="T124" s="12">
        <f t="shared" si="83"/>
        <v>0</v>
      </c>
      <c r="U124" s="32">
        <f t="shared" si="84"/>
        <v>0</v>
      </c>
      <c r="V124" s="12"/>
      <c r="W124" s="12">
        <f t="shared" si="85"/>
        <v>0</v>
      </c>
      <c r="X124" s="32">
        <f t="shared" si="86"/>
        <v>0</v>
      </c>
      <c r="Y124" s="12"/>
      <c r="Z124" s="12">
        <f t="shared" si="87"/>
        <v>0</v>
      </c>
      <c r="AA124" s="32">
        <f t="shared" si="88"/>
        <v>0</v>
      </c>
      <c r="AB124" s="12"/>
      <c r="AC124" s="12">
        <f t="shared" si="89"/>
        <v>0</v>
      </c>
      <c r="AD124" s="32">
        <f t="shared" si="90"/>
        <v>0</v>
      </c>
      <c r="AE124" s="12"/>
      <c r="AF124" s="37">
        <f t="shared" si="91"/>
        <v>0</v>
      </c>
      <c r="AG124" s="14">
        <f t="shared" si="92"/>
        <v>0</v>
      </c>
      <c r="AH124" s="12"/>
      <c r="AI124" s="12">
        <f t="shared" si="93"/>
        <v>0</v>
      </c>
      <c r="AJ124" s="32">
        <f t="shared" si="94"/>
        <v>0</v>
      </c>
      <c r="AK124" s="12"/>
      <c r="AL124" s="12">
        <f t="shared" si="95"/>
        <v>0</v>
      </c>
      <c r="AM124" s="32">
        <f t="shared" si="96"/>
        <v>0</v>
      </c>
      <c r="AN124" s="12"/>
      <c r="AO124" s="12">
        <f t="shared" si="97"/>
        <v>0</v>
      </c>
      <c r="AP124" s="32">
        <f t="shared" si="98"/>
        <v>0</v>
      </c>
      <c r="AQ124" s="12"/>
      <c r="AR124" s="12">
        <f t="shared" si="99"/>
        <v>0</v>
      </c>
      <c r="AS124" s="32">
        <f t="shared" si="100"/>
        <v>0</v>
      </c>
      <c r="AT124" s="12"/>
      <c r="AU124" s="12">
        <f t="shared" si="101"/>
        <v>0</v>
      </c>
      <c r="AV124" s="32">
        <f t="shared" si="102"/>
        <v>0</v>
      </c>
      <c r="AW124" s="12"/>
      <c r="AX124" s="12">
        <f t="shared" si="103"/>
        <v>0</v>
      </c>
      <c r="AY124" s="32">
        <f t="shared" si="104"/>
        <v>0</v>
      </c>
      <c r="AZ124" s="12"/>
      <c r="BA124" s="12">
        <f t="shared" si="105"/>
        <v>0</v>
      </c>
      <c r="BB124" s="32">
        <f t="shared" si="106"/>
        <v>0</v>
      </c>
      <c r="BC124" s="12"/>
      <c r="BD124" s="12">
        <f t="shared" si="107"/>
        <v>0</v>
      </c>
      <c r="BE124" s="32">
        <f t="shared" si="108"/>
        <v>0</v>
      </c>
      <c r="BF124" s="12"/>
      <c r="BG124" s="12">
        <f t="shared" si="109"/>
        <v>0</v>
      </c>
      <c r="BH124" s="32">
        <f t="shared" si="110"/>
        <v>0</v>
      </c>
      <c r="BI124" s="12"/>
      <c r="BJ124" s="12">
        <f t="shared" si="111"/>
        <v>0</v>
      </c>
      <c r="BK124" s="32">
        <f t="shared" si="112"/>
        <v>0</v>
      </c>
      <c r="BL124" s="12"/>
      <c r="BM124" s="12">
        <f t="shared" si="113"/>
        <v>0</v>
      </c>
      <c r="BN124" s="32">
        <f t="shared" si="114"/>
        <v>0</v>
      </c>
      <c r="BO124" s="12"/>
      <c r="BP124" s="12">
        <f t="shared" si="115"/>
        <v>0</v>
      </c>
      <c r="BQ124" s="32">
        <f t="shared" si="116"/>
        <v>0</v>
      </c>
      <c r="BR124" s="12"/>
      <c r="BS124" s="12">
        <f t="shared" si="117"/>
        <v>0</v>
      </c>
      <c r="BT124" s="32">
        <f t="shared" si="118"/>
        <v>0</v>
      </c>
      <c r="BU124" s="12"/>
      <c r="BV124" s="12">
        <f t="shared" si="119"/>
        <v>0</v>
      </c>
      <c r="BW124" s="32">
        <f t="shared" si="120"/>
        <v>0</v>
      </c>
      <c r="BX124" s="12"/>
      <c r="BY124" s="12">
        <f t="shared" si="121"/>
        <v>0</v>
      </c>
      <c r="BZ124" s="32">
        <f t="shared" si="122"/>
        <v>0</v>
      </c>
      <c r="CA124" s="12"/>
      <c r="CB124" s="12">
        <f t="shared" si="123"/>
        <v>0</v>
      </c>
      <c r="CC124" s="32">
        <f t="shared" si="124"/>
        <v>0</v>
      </c>
      <c r="CD124" s="12"/>
      <c r="CE124" s="12">
        <f t="shared" si="125"/>
        <v>0</v>
      </c>
      <c r="CF124" s="32">
        <f t="shared" si="126"/>
        <v>0</v>
      </c>
      <c r="CG124" s="12"/>
      <c r="CH124" s="12">
        <f t="shared" si="127"/>
        <v>0</v>
      </c>
      <c r="CI124" s="32">
        <f t="shared" si="128"/>
        <v>0</v>
      </c>
      <c r="CJ124" s="12"/>
      <c r="CK124" s="12">
        <f t="shared" si="129"/>
        <v>0</v>
      </c>
      <c r="CL124" s="32">
        <f t="shared" si="130"/>
        <v>0</v>
      </c>
      <c r="CM124" s="12"/>
      <c r="CN124" s="12">
        <f t="shared" si="131"/>
        <v>0</v>
      </c>
      <c r="CO124" s="32">
        <f t="shared" si="132"/>
        <v>0</v>
      </c>
      <c r="CP124" s="12"/>
      <c r="CQ124" s="12">
        <f t="shared" si="133"/>
        <v>0</v>
      </c>
      <c r="CR124" s="32">
        <f t="shared" si="134"/>
        <v>0</v>
      </c>
      <c r="CS124" s="12"/>
      <c r="CT124" s="12">
        <f t="shared" si="139"/>
        <v>0</v>
      </c>
      <c r="CU124" s="32">
        <f t="shared" si="140"/>
        <v>0</v>
      </c>
      <c r="CV124" s="12"/>
      <c r="CW124" s="12">
        <f t="shared" si="141"/>
        <v>0</v>
      </c>
      <c r="CX124" s="32">
        <f t="shared" si="142"/>
        <v>0</v>
      </c>
      <c r="CY124" s="12"/>
      <c r="CZ124" s="12">
        <f t="shared" si="143"/>
        <v>0</v>
      </c>
      <c r="DA124" s="32">
        <f t="shared" si="144"/>
        <v>0</v>
      </c>
      <c r="DB124" s="12"/>
      <c r="DC124" s="12">
        <f t="shared" si="145"/>
        <v>0</v>
      </c>
      <c r="DD124" s="32">
        <f t="shared" si="146"/>
        <v>0</v>
      </c>
      <c r="DE124" s="12"/>
      <c r="DF124" s="12">
        <f t="shared" si="147"/>
        <v>0</v>
      </c>
      <c r="DG124" s="32">
        <f t="shared" si="148"/>
        <v>0</v>
      </c>
      <c r="DH124" s="12"/>
      <c r="DI124" s="12">
        <f t="shared" si="153"/>
        <v>0</v>
      </c>
      <c r="DJ124" s="32">
        <f t="shared" si="149"/>
        <v>0</v>
      </c>
      <c r="DK124" s="12"/>
      <c r="DL124" s="12">
        <f t="shared" si="150"/>
        <v>0</v>
      </c>
      <c r="DM124" s="32">
        <f t="shared" si="151"/>
        <v>0</v>
      </c>
    </row>
    <row r="125" spans="1:117" s="6" customFormat="1" ht="22.25" customHeight="1" x14ac:dyDescent="0.35">
      <c r="A125" s="4">
        <v>119</v>
      </c>
      <c r="B125" s="4" t="s">
        <v>281</v>
      </c>
      <c r="C125" s="4" t="s">
        <v>282</v>
      </c>
      <c r="D125" s="7">
        <f t="shared" si="136"/>
        <v>10</v>
      </c>
      <c r="E125" s="7">
        <v>10</v>
      </c>
      <c r="F125" s="7">
        <v>1</v>
      </c>
      <c r="G125" s="7">
        <v>1</v>
      </c>
      <c r="H125" s="7">
        <f t="shared" si="137"/>
        <v>1.5</v>
      </c>
      <c r="I125" s="9">
        <f t="shared" si="138"/>
        <v>11.5</v>
      </c>
      <c r="J125" s="13"/>
      <c r="K125" s="12">
        <f t="shared" si="78"/>
        <v>0</v>
      </c>
      <c r="L125" s="32">
        <f t="shared" si="79"/>
        <v>0</v>
      </c>
      <c r="M125" s="12"/>
      <c r="N125" s="12">
        <f t="shared" si="80"/>
        <v>0</v>
      </c>
      <c r="O125" s="32">
        <f t="shared" si="81"/>
        <v>0</v>
      </c>
      <c r="P125" s="12"/>
      <c r="Q125" s="12">
        <f t="shared" si="152"/>
        <v>0</v>
      </c>
      <c r="R125" s="32">
        <f t="shared" si="82"/>
        <v>0</v>
      </c>
      <c r="S125" s="12"/>
      <c r="T125" s="12">
        <f t="shared" si="83"/>
        <v>0</v>
      </c>
      <c r="U125" s="32">
        <f t="shared" si="84"/>
        <v>0</v>
      </c>
      <c r="V125" s="12"/>
      <c r="W125" s="12">
        <f t="shared" si="85"/>
        <v>0</v>
      </c>
      <c r="X125" s="32">
        <f t="shared" si="86"/>
        <v>0</v>
      </c>
      <c r="Y125" s="12">
        <v>2E-3</v>
      </c>
      <c r="Z125" s="12">
        <f t="shared" si="87"/>
        <v>0.02</v>
      </c>
      <c r="AA125" s="32">
        <f t="shared" si="88"/>
        <v>4.6556651104891749E-3</v>
      </c>
      <c r="AB125" s="12"/>
      <c r="AC125" s="12">
        <f t="shared" si="89"/>
        <v>0</v>
      </c>
      <c r="AD125" s="32">
        <f t="shared" si="90"/>
        <v>0</v>
      </c>
      <c r="AE125" s="12"/>
      <c r="AF125" s="37">
        <f t="shared" si="91"/>
        <v>0</v>
      </c>
      <c r="AG125" s="14">
        <f t="shared" si="92"/>
        <v>0</v>
      </c>
      <c r="AH125" s="12"/>
      <c r="AI125" s="12">
        <f t="shared" si="93"/>
        <v>0</v>
      </c>
      <c r="AJ125" s="32">
        <f t="shared" si="94"/>
        <v>0</v>
      </c>
      <c r="AK125" s="12"/>
      <c r="AL125" s="12">
        <f t="shared" si="95"/>
        <v>0</v>
      </c>
      <c r="AM125" s="32">
        <f t="shared" si="96"/>
        <v>0</v>
      </c>
      <c r="AN125" s="12"/>
      <c r="AO125" s="12">
        <f t="shared" si="97"/>
        <v>0</v>
      </c>
      <c r="AP125" s="32">
        <f t="shared" si="98"/>
        <v>0</v>
      </c>
      <c r="AQ125" s="12"/>
      <c r="AR125" s="12">
        <f t="shared" si="99"/>
        <v>0</v>
      </c>
      <c r="AS125" s="32">
        <f t="shared" si="100"/>
        <v>0</v>
      </c>
      <c r="AT125" s="12"/>
      <c r="AU125" s="12">
        <f t="shared" si="101"/>
        <v>0</v>
      </c>
      <c r="AV125" s="32">
        <f t="shared" si="102"/>
        <v>0</v>
      </c>
      <c r="AW125" s="12"/>
      <c r="AX125" s="12">
        <f t="shared" si="103"/>
        <v>0</v>
      </c>
      <c r="AY125" s="32">
        <f t="shared" si="104"/>
        <v>0</v>
      </c>
      <c r="AZ125" s="12"/>
      <c r="BA125" s="12">
        <f t="shared" si="105"/>
        <v>0</v>
      </c>
      <c r="BB125" s="32">
        <f t="shared" si="106"/>
        <v>0</v>
      </c>
      <c r="BC125" s="12"/>
      <c r="BD125" s="12">
        <f t="shared" si="107"/>
        <v>0</v>
      </c>
      <c r="BE125" s="32">
        <f t="shared" si="108"/>
        <v>0</v>
      </c>
      <c r="BF125" s="12"/>
      <c r="BG125" s="12">
        <f t="shared" si="109"/>
        <v>0</v>
      </c>
      <c r="BH125" s="32">
        <f t="shared" si="110"/>
        <v>0</v>
      </c>
      <c r="BI125" s="12"/>
      <c r="BJ125" s="12">
        <f t="shared" si="111"/>
        <v>0</v>
      </c>
      <c r="BK125" s="32">
        <f t="shared" si="112"/>
        <v>0</v>
      </c>
      <c r="BL125" s="12"/>
      <c r="BM125" s="12">
        <f t="shared" si="113"/>
        <v>0</v>
      </c>
      <c r="BN125" s="32">
        <f t="shared" si="114"/>
        <v>0</v>
      </c>
      <c r="BO125" s="12"/>
      <c r="BP125" s="12">
        <f t="shared" si="115"/>
        <v>0</v>
      </c>
      <c r="BQ125" s="32">
        <f t="shared" si="116"/>
        <v>0</v>
      </c>
      <c r="BR125" s="12"/>
      <c r="BS125" s="12">
        <f t="shared" si="117"/>
        <v>0</v>
      </c>
      <c r="BT125" s="32">
        <f t="shared" si="118"/>
        <v>0</v>
      </c>
      <c r="BU125" s="12"/>
      <c r="BV125" s="12">
        <f t="shared" si="119"/>
        <v>0</v>
      </c>
      <c r="BW125" s="32">
        <f t="shared" si="120"/>
        <v>0</v>
      </c>
      <c r="BX125" s="12"/>
      <c r="BY125" s="12">
        <f t="shared" si="121"/>
        <v>0</v>
      </c>
      <c r="BZ125" s="32">
        <f t="shared" si="122"/>
        <v>0</v>
      </c>
      <c r="CA125" s="12"/>
      <c r="CB125" s="12">
        <f t="shared" si="123"/>
        <v>0</v>
      </c>
      <c r="CC125" s="32">
        <f t="shared" si="124"/>
        <v>0</v>
      </c>
      <c r="CD125" s="12"/>
      <c r="CE125" s="12">
        <f t="shared" si="125"/>
        <v>0</v>
      </c>
      <c r="CF125" s="32">
        <f t="shared" si="126"/>
        <v>0</v>
      </c>
      <c r="CG125" s="12"/>
      <c r="CH125" s="12">
        <f t="shared" si="127"/>
        <v>0</v>
      </c>
      <c r="CI125" s="32">
        <f t="shared" si="128"/>
        <v>0</v>
      </c>
      <c r="CJ125" s="12"/>
      <c r="CK125" s="12">
        <f t="shared" si="129"/>
        <v>0</v>
      </c>
      <c r="CL125" s="32">
        <f t="shared" si="130"/>
        <v>0</v>
      </c>
      <c r="CM125" s="12"/>
      <c r="CN125" s="12">
        <f t="shared" si="131"/>
        <v>0</v>
      </c>
      <c r="CO125" s="32">
        <f t="shared" si="132"/>
        <v>0</v>
      </c>
      <c r="CP125" s="12"/>
      <c r="CQ125" s="12">
        <f t="shared" si="133"/>
        <v>0</v>
      </c>
      <c r="CR125" s="32">
        <f t="shared" si="134"/>
        <v>0</v>
      </c>
      <c r="CS125" s="12"/>
      <c r="CT125" s="12">
        <f t="shared" si="139"/>
        <v>0</v>
      </c>
      <c r="CU125" s="32">
        <f t="shared" si="140"/>
        <v>0</v>
      </c>
      <c r="CV125" s="12"/>
      <c r="CW125" s="12">
        <f t="shared" si="141"/>
        <v>0</v>
      </c>
      <c r="CX125" s="32">
        <f t="shared" si="142"/>
        <v>0</v>
      </c>
      <c r="CY125" s="12"/>
      <c r="CZ125" s="12">
        <f t="shared" si="143"/>
        <v>0</v>
      </c>
      <c r="DA125" s="32">
        <f t="shared" si="144"/>
        <v>0</v>
      </c>
      <c r="DB125" s="12"/>
      <c r="DC125" s="12">
        <f t="shared" si="145"/>
        <v>0</v>
      </c>
      <c r="DD125" s="32">
        <f t="shared" si="146"/>
        <v>0</v>
      </c>
      <c r="DE125" s="12"/>
      <c r="DF125" s="12">
        <f t="shared" si="147"/>
        <v>0</v>
      </c>
      <c r="DG125" s="32">
        <f t="shared" si="148"/>
        <v>0</v>
      </c>
      <c r="DH125" s="12"/>
      <c r="DI125" s="12">
        <f t="shared" si="153"/>
        <v>0</v>
      </c>
      <c r="DJ125" s="32">
        <f t="shared" si="149"/>
        <v>0</v>
      </c>
      <c r="DK125" s="12"/>
      <c r="DL125" s="12">
        <f t="shared" si="150"/>
        <v>0</v>
      </c>
      <c r="DM125" s="32">
        <f t="shared" si="151"/>
        <v>0</v>
      </c>
    </row>
    <row r="126" spans="1:117" s="18" customFormat="1" ht="22.25" customHeight="1" x14ac:dyDescent="0.35">
      <c r="A126" s="4">
        <v>120</v>
      </c>
      <c r="B126" s="4" t="s">
        <v>283</v>
      </c>
      <c r="C126" s="4" t="s">
        <v>284</v>
      </c>
      <c r="D126" s="7">
        <f>E126/G126</f>
        <v>1.1499999999999999</v>
      </c>
      <c r="E126" s="7">
        <v>1.1499999999999999</v>
      </c>
      <c r="F126" s="7">
        <v>1</v>
      </c>
      <c r="G126" s="7">
        <v>1</v>
      </c>
      <c r="H126" s="7">
        <f t="shared" si="137"/>
        <v>0.17249999999999999</v>
      </c>
      <c r="I126" s="9">
        <f t="shared" si="138"/>
        <v>1.3224999999999998</v>
      </c>
      <c r="J126" s="16"/>
      <c r="K126" s="15">
        <f t="shared" si="78"/>
        <v>0</v>
      </c>
      <c r="L126" s="34">
        <f t="shared" si="79"/>
        <v>0</v>
      </c>
      <c r="M126" s="15"/>
      <c r="N126" s="15">
        <f t="shared" si="80"/>
        <v>0</v>
      </c>
      <c r="O126" s="34">
        <f t="shared" si="81"/>
        <v>0</v>
      </c>
      <c r="P126" s="15"/>
      <c r="Q126" s="15">
        <f t="shared" si="152"/>
        <v>0</v>
      </c>
      <c r="R126" s="34">
        <f t="shared" si="82"/>
        <v>0</v>
      </c>
      <c r="S126" s="15"/>
      <c r="T126" s="15">
        <f t="shared" si="83"/>
        <v>0</v>
      </c>
      <c r="U126" s="34">
        <f t="shared" si="84"/>
        <v>0</v>
      </c>
      <c r="V126" s="15"/>
      <c r="W126" s="15">
        <f t="shared" si="85"/>
        <v>0</v>
      </c>
      <c r="X126" s="34">
        <f t="shared" si="86"/>
        <v>0</v>
      </c>
      <c r="Y126" s="15"/>
      <c r="Z126" s="15">
        <f t="shared" si="87"/>
        <v>0</v>
      </c>
      <c r="AA126" s="34">
        <f t="shared" si="88"/>
        <v>0</v>
      </c>
      <c r="AB126" s="15"/>
      <c r="AC126" s="15">
        <f t="shared" si="89"/>
        <v>0</v>
      </c>
      <c r="AD126" s="34">
        <f t="shared" si="90"/>
        <v>0</v>
      </c>
      <c r="AE126" s="15"/>
      <c r="AF126" s="39">
        <f t="shared" si="91"/>
        <v>0</v>
      </c>
      <c r="AG126" s="17">
        <f t="shared" si="92"/>
        <v>0</v>
      </c>
      <c r="AH126" s="15"/>
      <c r="AI126" s="15">
        <f t="shared" si="93"/>
        <v>0</v>
      </c>
      <c r="AJ126" s="34">
        <f t="shared" si="94"/>
        <v>0</v>
      </c>
      <c r="AK126" s="15"/>
      <c r="AL126" s="15">
        <f t="shared" si="95"/>
        <v>0</v>
      </c>
      <c r="AM126" s="34">
        <f t="shared" si="96"/>
        <v>0</v>
      </c>
      <c r="AN126" s="15"/>
      <c r="AO126" s="15">
        <f t="shared" si="97"/>
        <v>0</v>
      </c>
      <c r="AP126" s="34">
        <f t="shared" si="98"/>
        <v>0</v>
      </c>
      <c r="AQ126" s="15"/>
      <c r="AR126" s="15">
        <f t="shared" si="99"/>
        <v>0</v>
      </c>
      <c r="AS126" s="34">
        <f t="shared" si="100"/>
        <v>0</v>
      </c>
      <c r="AT126" s="15"/>
      <c r="AU126" s="15">
        <f t="shared" si="101"/>
        <v>0</v>
      </c>
      <c r="AV126" s="34">
        <f t="shared" si="102"/>
        <v>0</v>
      </c>
      <c r="AW126" s="15"/>
      <c r="AX126" s="15">
        <f t="shared" si="103"/>
        <v>0</v>
      </c>
      <c r="AY126" s="34">
        <f t="shared" si="104"/>
        <v>0</v>
      </c>
      <c r="AZ126" s="15"/>
      <c r="BA126" s="15">
        <f t="shared" si="105"/>
        <v>0</v>
      </c>
      <c r="BB126" s="34">
        <f t="shared" si="106"/>
        <v>0</v>
      </c>
      <c r="BC126" s="15"/>
      <c r="BD126" s="15">
        <f t="shared" si="107"/>
        <v>0</v>
      </c>
      <c r="BE126" s="34">
        <f t="shared" si="108"/>
        <v>0</v>
      </c>
      <c r="BF126" s="15"/>
      <c r="BG126" s="15">
        <f t="shared" si="109"/>
        <v>0</v>
      </c>
      <c r="BH126" s="34">
        <f t="shared" si="110"/>
        <v>0</v>
      </c>
      <c r="BI126" s="15"/>
      <c r="BJ126" s="15">
        <f t="shared" si="111"/>
        <v>0</v>
      </c>
      <c r="BK126" s="34">
        <f t="shared" si="112"/>
        <v>0</v>
      </c>
      <c r="BL126" s="15"/>
      <c r="BM126" s="15">
        <f t="shared" si="113"/>
        <v>0</v>
      </c>
      <c r="BN126" s="34">
        <f t="shared" si="114"/>
        <v>0</v>
      </c>
      <c r="BO126" s="15"/>
      <c r="BP126" s="15">
        <f t="shared" si="115"/>
        <v>0</v>
      </c>
      <c r="BQ126" s="34">
        <f t="shared" si="116"/>
        <v>0</v>
      </c>
      <c r="BR126" s="15"/>
      <c r="BS126" s="15">
        <f t="shared" si="117"/>
        <v>0</v>
      </c>
      <c r="BT126" s="34">
        <f t="shared" si="118"/>
        <v>0</v>
      </c>
      <c r="BU126" s="15"/>
      <c r="BV126" s="15">
        <f t="shared" si="119"/>
        <v>0</v>
      </c>
      <c r="BW126" s="34">
        <f t="shared" si="120"/>
        <v>0</v>
      </c>
      <c r="BX126" s="15"/>
      <c r="BY126" s="15">
        <f t="shared" si="121"/>
        <v>0</v>
      </c>
      <c r="BZ126" s="34">
        <f t="shared" si="122"/>
        <v>0</v>
      </c>
      <c r="CA126" s="15"/>
      <c r="CB126" s="15">
        <f t="shared" si="123"/>
        <v>0</v>
      </c>
      <c r="CC126" s="34">
        <f t="shared" si="124"/>
        <v>0</v>
      </c>
      <c r="CD126" s="15"/>
      <c r="CE126" s="15">
        <f t="shared" si="125"/>
        <v>0</v>
      </c>
      <c r="CF126" s="34">
        <f t="shared" si="126"/>
        <v>0</v>
      </c>
      <c r="CG126" s="15"/>
      <c r="CH126" s="15">
        <f t="shared" si="127"/>
        <v>0</v>
      </c>
      <c r="CI126" s="34">
        <f t="shared" si="128"/>
        <v>0</v>
      </c>
      <c r="CJ126" s="15"/>
      <c r="CK126" s="15">
        <f t="shared" si="129"/>
        <v>0</v>
      </c>
      <c r="CL126" s="34">
        <f t="shared" si="130"/>
        <v>0</v>
      </c>
      <c r="CM126" s="15"/>
      <c r="CN126" s="15">
        <f t="shared" si="131"/>
        <v>0</v>
      </c>
      <c r="CO126" s="34">
        <f t="shared" si="132"/>
        <v>0</v>
      </c>
      <c r="CP126" s="15"/>
      <c r="CQ126" s="15">
        <f t="shared" si="133"/>
        <v>0</v>
      </c>
      <c r="CR126" s="34">
        <f t="shared" si="134"/>
        <v>0</v>
      </c>
      <c r="CS126" s="15"/>
      <c r="CT126" s="15">
        <f t="shared" si="139"/>
        <v>0</v>
      </c>
      <c r="CU126" s="34">
        <f t="shared" si="140"/>
        <v>0</v>
      </c>
      <c r="CV126" s="15"/>
      <c r="CW126" s="12">
        <f t="shared" si="141"/>
        <v>0</v>
      </c>
      <c r="CX126" s="34">
        <f t="shared" si="142"/>
        <v>0</v>
      </c>
      <c r="CY126" s="15"/>
      <c r="CZ126" s="15">
        <f t="shared" si="143"/>
        <v>0</v>
      </c>
      <c r="DA126" s="34">
        <f t="shared" si="144"/>
        <v>0</v>
      </c>
      <c r="DB126" s="15"/>
      <c r="DC126" s="15">
        <f t="shared" si="145"/>
        <v>0</v>
      </c>
      <c r="DD126" s="34">
        <f t="shared" si="146"/>
        <v>0</v>
      </c>
      <c r="DE126" s="15"/>
      <c r="DF126" s="12">
        <f t="shared" si="147"/>
        <v>0</v>
      </c>
      <c r="DG126" s="34">
        <f t="shared" si="148"/>
        <v>0</v>
      </c>
      <c r="DH126" s="15">
        <v>1.3</v>
      </c>
      <c r="DI126" s="12">
        <f t="shared" si="153"/>
        <v>1.4949999999999999</v>
      </c>
      <c r="DJ126" s="34">
        <f t="shared" si="149"/>
        <v>8.8142359841473681</v>
      </c>
      <c r="DK126" s="15"/>
      <c r="DL126" s="12">
        <f t="shared" si="150"/>
        <v>0</v>
      </c>
      <c r="DM126" s="34">
        <f t="shared" si="151"/>
        <v>0</v>
      </c>
    </row>
    <row r="127" spans="1:117" s="6" customFormat="1" ht="22.25" customHeight="1" x14ac:dyDescent="0.35">
      <c r="A127" s="4">
        <v>121</v>
      </c>
      <c r="B127" s="4" t="s">
        <v>285</v>
      </c>
      <c r="C127" s="4" t="s">
        <v>286</v>
      </c>
      <c r="D127" s="7">
        <f t="shared" si="136"/>
        <v>3.08</v>
      </c>
      <c r="E127" s="7">
        <v>3.08</v>
      </c>
      <c r="F127" s="7">
        <v>1</v>
      </c>
      <c r="G127" s="7">
        <v>1</v>
      </c>
      <c r="H127" s="7">
        <f t="shared" si="137"/>
        <v>0.46199999999999997</v>
      </c>
      <c r="I127" s="9">
        <f t="shared" si="138"/>
        <v>3.5419999999999998</v>
      </c>
      <c r="J127" s="13"/>
      <c r="K127" s="12">
        <f t="shared" si="78"/>
        <v>0</v>
      </c>
      <c r="L127" s="32">
        <f t="shared" si="79"/>
        <v>0</v>
      </c>
      <c r="M127" s="12"/>
      <c r="N127" s="12">
        <f t="shared" si="80"/>
        <v>0</v>
      </c>
      <c r="O127" s="32">
        <f t="shared" si="81"/>
        <v>0</v>
      </c>
      <c r="P127" s="12"/>
      <c r="Q127" s="12">
        <f t="shared" si="152"/>
        <v>0</v>
      </c>
      <c r="R127" s="32">
        <f t="shared" si="82"/>
        <v>0</v>
      </c>
      <c r="S127" s="12"/>
      <c r="T127" s="12">
        <f t="shared" si="83"/>
        <v>0</v>
      </c>
      <c r="U127" s="32">
        <f t="shared" si="84"/>
        <v>0</v>
      </c>
      <c r="V127" s="12"/>
      <c r="W127" s="12">
        <f t="shared" si="85"/>
        <v>0</v>
      </c>
      <c r="X127" s="32">
        <f t="shared" si="86"/>
        <v>0</v>
      </c>
      <c r="Y127" s="12"/>
      <c r="Z127" s="12">
        <f t="shared" si="87"/>
        <v>0</v>
      </c>
      <c r="AA127" s="32">
        <f t="shared" si="88"/>
        <v>0</v>
      </c>
      <c r="AB127" s="12"/>
      <c r="AC127" s="12">
        <f t="shared" si="89"/>
        <v>0</v>
      </c>
      <c r="AD127" s="32">
        <f t="shared" si="90"/>
        <v>0</v>
      </c>
      <c r="AE127" s="12"/>
      <c r="AF127" s="37">
        <f t="shared" si="91"/>
        <v>0</v>
      </c>
      <c r="AG127" s="14">
        <f t="shared" si="92"/>
        <v>0</v>
      </c>
      <c r="AH127" s="12"/>
      <c r="AI127" s="12">
        <f t="shared" si="93"/>
        <v>0</v>
      </c>
      <c r="AJ127" s="32">
        <f t="shared" si="94"/>
        <v>0</v>
      </c>
      <c r="AK127" s="12"/>
      <c r="AL127" s="12">
        <f t="shared" si="95"/>
        <v>0</v>
      </c>
      <c r="AM127" s="32">
        <f t="shared" si="96"/>
        <v>0</v>
      </c>
      <c r="AN127" s="12"/>
      <c r="AO127" s="12">
        <f t="shared" si="97"/>
        <v>0</v>
      </c>
      <c r="AP127" s="32">
        <f t="shared" si="98"/>
        <v>0</v>
      </c>
      <c r="AQ127" s="12"/>
      <c r="AR127" s="12">
        <f t="shared" si="99"/>
        <v>0</v>
      </c>
      <c r="AS127" s="32">
        <f t="shared" si="100"/>
        <v>0</v>
      </c>
      <c r="AT127" s="12"/>
      <c r="AU127" s="12">
        <f t="shared" si="101"/>
        <v>0</v>
      </c>
      <c r="AV127" s="32">
        <f t="shared" si="102"/>
        <v>0</v>
      </c>
      <c r="AW127" s="12"/>
      <c r="AX127" s="12">
        <f t="shared" si="103"/>
        <v>0</v>
      </c>
      <c r="AY127" s="32">
        <f t="shared" si="104"/>
        <v>0</v>
      </c>
      <c r="AZ127" s="12"/>
      <c r="BA127" s="12">
        <f t="shared" si="105"/>
        <v>0</v>
      </c>
      <c r="BB127" s="32">
        <f t="shared" si="106"/>
        <v>0</v>
      </c>
      <c r="BC127" s="12"/>
      <c r="BD127" s="12">
        <f t="shared" si="107"/>
        <v>0</v>
      </c>
      <c r="BE127" s="32">
        <f t="shared" si="108"/>
        <v>0</v>
      </c>
      <c r="BF127" s="12"/>
      <c r="BG127" s="12">
        <f t="shared" si="109"/>
        <v>0</v>
      </c>
      <c r="BH127" s="32">
        <f t="shared" si="110"/>
        <v>0</v>
      </c>
      <c r="BI127" s="12"/>
      <c r="BJ127" s="12">
        <f t="shared" si="111"/>
        <v>0</v>
      </c>
      <c r="BK127" s="32">
        <f t="shared" si="112"/>
        <v>0</v>
      </c>
      <c r="BL127" s="12"/>
      <c r="BM127" s="12">
        <f t="shared" si="113"/>
        <v>0</v>
      </c>
      <c r="BN127" s="32">
        <f t="shared" si="114"/>
        <v>0</v>
      </c>
      <c r="BO127" s="12"/>
      <c r="BP127" s="12">
        <f t="shared" si="115"/>
        <v>0</v>
      </c>
      <c r="BQ127" s="32">
        <f t="shared" si="116"/>
        <v>0</v>
      </c>
      <c r="BR127" s="12">
        <v>0.02</v>
      </c>
      <c r="BS127" s="12">
        <f t="shared" si="117"/>
        <v>6.1600000000000002E-2</v>
      </c>
      <c r="BT127" s="32">
        <f t="shared" si="118"/>
        <v>1.7006975771449488E-2</v>
      </c>
      <c r="BU127" s="12"/>
      <c r="BV127" s="12">
        <f t="shared" si="119"/>
        <v>0</v>
      </c>
      <c r="BW127" s="32">
        <f t="shared" si="120"/>
        <v>0</v>
      </c>
      <c r="BX127" s="12"/>
      <c r="BY127" s="12">
        <f t="shared" si="121"/>
        <v>0</v>
      </c>
      <c r="BZ127" s="32">
        <f t="shared" si="122"/>
        <v>0</v>
      </c>
      <c r="CA127" s="12"/>
      <c r="CB127" s="12">
        <f t="shared" si="123"/>
        <v>0</v>
      </c>
      <c r="CC127" s="32">
        <f t="shared" si="124"/>
        <v>0</v>
      </c>
      <c r="CD127" s="12"/>
      <c r="CE127" s="12">
        <f t="shared" si="125"/>
        <v>0</v>
      </c>
      <c r="CF127" s="32">
        <f t="shared" si="126"/>
        <v>0</v>
      </c>
      <c r="CG127" s="12"/>
      <c r="CH127" s="12">
        <f t="shared" si="127"/>
        <v>0</v>
      </c>
      <c r="CI127" s="32">
        <f t="shared" si="128"/>
        <v>0</v>
      </c>
      <c r="CJ127" s="12"/>
      <c r="CK127" s="12">
        <f t="shared" si="129"/>
        <v>0</v>
      </c>
      <c r="CL127" s="32">
        <f t="shared" si="130"/>
        <v>0</v>
      </c>
      <c r="CM127" s="12"/>
      <c r="CN127" s="12">
        <f t="shared" si="131"/>
        <v>0</v>
      </c>
      <c r="CO127" s="32">
        <f t="shared" si="132"/>
        <v>0</v>
      </c>
      <c r="CP127" s="12"/>
      <c r="CQ127" s="12">
        <f t="shared" si="133"/>
        <v>0</v>
      </c>
      <c r="CR127" s="32">
        <f t="shared" si="134"/>
        <v>0</v>
      </c>
      <c r="CS127" s="12"/>
      <c r="CT127" s="12">
        <f t="shared" si="139"/>
        <v>0</v>
      </c>
      <c r="CU127" s="32">
        <f t="shared" si="140"/>
        <v>0</v>
      </c>
      <c r="CV127" s="12"/>
      <c r="CW127" s="12">
        <f t="shared" si="141"/>
        <v>0</v>
      </c>
      <c r="CX127" s="32">
        <f t="shared" si="142"/>
        <v>0</v>
      </c>
      <c r="CY127" s="12"/>
      <c r="CZ127" s="12">
        <f t="shared" si="143"/>
        <v>0</v>
      </c>
      <c r="DA127" s="32">
        <f t="shared" si="144"/>
        <v>0</v>
      </c>
      <c r="DB127" s="12"/>
      <c r="DC127" s="12">
        <f t="shared" si="145"/>
        <v>0</v>
      </c>
      <c r="DD127" s="32">
        <f t="shared" si="146"/>
        <v>0</v>
      </c>
      <c r="DE127" s="12"/>
      <c r="DF127" s="12">
        <f t="shared" si="147"/>
        <v>0</v>
      </c>
      <c r="DG127" s="32">
        <f t="shared" si="148"/>
        <v>0</v>
      </c>
      <c r="DH127" s="12"/>
      <c r="DI127" s="12">
        <f t="shared" si="153"/>
        <v>0</v>
      </c>
      <c r="DJ127" s="32">
        <f t="shared" si="149"/>
        <v>0</v>
      </c>
      <c r="DK127" s="12"/>
      <c r="DL127" s="12">
        <f t="shared" si="150"/>
        <v>0</v>
      </c>
      <c r="DM127" s="32">
        <f t="shared" si="151"/>
        <v>0</v>
      </c>
    </row>
    <row r="128" spans="1:117" s="6" customFormat="1" ht="22.25" customHeight="1" x14ac:dyDescent="0.35">
      <c r="A128" s="4">
        <v>122</v>
      </c>
      <c r="B128" s="4" t="s">
        <v>287</v>
      </c>
      <c r="C128" s="4" t="s">
        <v>288</v>
      </c>
      <c r="D128" s="7">
        <f t="shared" si="136"/>
        <v>0.91</v>
      </c>
      <c r="E128" s="7">
        <v>0.91</v>
      </c>
      <c r="F128" s="7">
        <v>1</v>
      </c>
      <c r="G128" s="7">
        <v>1</v>
      </c>
      <c r="H128" s="7">
        <f t="shared" si="137"/>
        <v>0.13650000000000001</v>
      </c>
      <c r="I128" s="9">
        <f t="shared" si="138"/>
        <v>1.0465</v>
      </c>
      <c r="J128" s="13"/>
      <c r="K128" s="12">
        <f t="shared" si="78"/>
        <v>0</v>
      </c>
      <c r="L128" s="32">
        <f t="shared" si="79"/>
        <v>0</v>
      </c>
      <c r="M128" s="12"/>
      <c r="N128" s="12">
        <f t="shared" si="80"/>
        <v>0</v>
      </c>
      <c r="O128" s="32">
        <f t="shared" si="81"/>
        <v>0</v>
      </c>
      <c r="P128" s="12"/>
      <c r="Q128" s="12">
        <f t="shared" si="152"/>
        <v>0</v>
      </c>
      <c r="R128" s="32">
        <f t="shared" si="82"/>
        <v>0</v>
      </c>
      <c r="S128" s="12"/>
      <c r="T128" s="12">
        <f t="shared" si="83"/>
        <v>0</v>
      </c>
      <c r="U128" s="32">
        <f t="shared" si="84"/>
        <v>0</v>
      </c>
      <c r="V128" s="12"/>
      <c r="W128" s="12">
        <f t="shared" si="85"/>
        <v>0</v>
      </c>
      <c r="X128" s="32">
        <f t="shared" si="86"/>
        <v>0</v>
      </c>
      <c r="Y128" s="12"/>
      <c r="Z128" s="12">
        <f t="shared" si="87"/>
        <v>0</v>
      </c>
      <c r="AA128" s="32">
        <f t="shared" si="88"/>
        <v>0</v>
      </c>
      <c r="AB128" s="12"/>
      <c r="AC128" s="12">
        <f t="shared" si="89"/>
        <v>0</v>
      </c>
      <c r="AD128" s="32">
        <f t="shared" si="90"/>
        <v>0</v>
      </c>
      <c r="AE128" s="12"/>
      <c r="AF128" s="37">
        <f t="shared" si="91"/>
        <v>0</v>
      </c>
      <c r="AG128" s="14">
        <f t="shared" si="92"/>
        <v>0</v>
      </c>
      <c r="AH128" s="12"/>
      <c r="AI128" s="12">
        <f t="shared" si="93"/>
        <v>0</v>
      </c>
      <c r="AJ128" s="32">
        <f t="shared" si="94"/>
        <v>0</v>
      </c>
      <c r="AK128" s="12"/>
      <c r="AL128" s="12">
        <f t="shared" si="95"/>
        <v>0</v>
      </c>
      <c r="AM128" s="32">
        <f t="shared" si="96"/>
        <v>0</v>
      </c>
      <c r="AN128" s="12"/>
      <c r="AO128" s="12">
        <f t="shared" si="97"/>
        <v>0</v>
      </c>
      <c r="AP128" s="32">
        <f t="shared" si="98"/>
        <v>0</v>
      </c>
      <c r="AQ128" s="12"/>
      <c r="AR128" s="12">
        <f t="shared" si="99"/>
        <v>0</v>
      </c>
      <c r="AS128" s="32">
        <f t="shared" si="100"/>
        <v>0</v>
      </c>
      <c r="AT128" s="12"/>
      <c r="AU128" s="12">
        <f t="shared" si="101"/>
        <v>0</v>
      </c>
      <c r="AV128" s="32">
        <f t="shared" si="102"/>
        <v>0</v>
      </c>
      <c r="AW128" s="12"/>
      <c r="AX128" s="12">
        <f t="shared" si="103"/>
        <v>0</v>
      </c>
      <c r="AY128" s="32">
        <f t="shared" si="104"/>
        <v>0</v>
      </c>
      <c r="AZ128" s="12"/>
      <c r="BA128" s="12">
        <f t="shared" si="105"/>
        <v>0</v>
      </c>
      <c r="BB128" s="32">
        <f t="shared" si="106"/>
        <v>0</v>
      </c>
      <c r="BC128" s="12"/>
      <c r="BD128" s="12">
        <f t="shared" si="107"/>
        <v>0</v>
      </c>
      <c r="BE128" s="32">
        <f t="shared" si="108"/>
        <v>0</v>
      </c>
      <c r="BF128" s="12"/>
      <c r="BG128" s="12">
        <f t="shared" si="109"/>
        <v>0</v>
      </c>
      <c r="BH128" s="32">
        <f t="shared" si="110"/>
        <v>0</v>
      </c>
      <c r="BI128" s="12"/>
      <c r="BJ128" s="12">
        <f t="shared" si="111"/>
        <v>0</v>
      </c>
      <c r="BK128" s="32">
        <f t="shared" si="112"/>
        <v>0</v>
      </c>
      <c r="BL128" s="12"/>
      <c r="BM128" s="12">
        <f t="shared" si="113"/>
        <v>0</v>
      </c>
      <c r="BN128" s="32">
        <f t="shared" si="114"/>
        <v>0</v>
      </c>
      <c r="BO128" s="12"/>
      <c r="BP128" s="12">
        <f t="shared" si="115"/>
        <v>0</v>
      </c>
      <c r="BQ128" s="32">
        <f t="shared" si="116"/>
        <v>0</v>
      </c>
      <c r="BR128" s="12">
        <v>0.03</v>
      </c>
      <c r="BS128" s="12">
        <f t="shared" si="117"/>
        <v>2.7300000000000001E-2</v>
      </c>
      <c r="BT128" s="32">
        <f t="shared" si="118"/>
        <v>7.5371824441651143E-3</v>
      </c>
      <c r="BU128" s="12"/>
      <c r="BV128" s="12">
        <f t="shared" si="119"/>
        <v>0</v>
      </c>
      <c r="BW128" s="32">
        <f t="shared" si="120"/>
        <v>0</v>
      </c>
      <c r="BX128" s="12"/>
      <c r="BY128" s="12">
        <f t="shared" si="121"/>
        <v>0</v>
      </c>
      <c r="BZ128" s="32">
        <f t="shared" si="122"/>
        <v>0</v>
      </c>
      <c r="CA128" s="12"/>
      <c r="CB128" s="12">
        <f t="shared" si="123"/>
        <v>0</v>
      </c>
      <c r="CC128" s="32">
        <f t="shared" si="124"/>
        <v>0</v>
      </c>
      <c r="CD128" s="12"/>
      <c r="CE128" s="12">
        <f t="shared" si="125"/>
        <v>0</v>
      </c>
      <c r="CF128" s="32">
        <f t="shared" si="126"/>
        <v>0</v>
      </c>
      <c r="CG128" s="12"/>
      <c r="CH128" s="12">
        <f t="shared" si="127"/>
        <v>0</v>
      </c>
      <c r="CI128" s="32">
        <f t="shared" si="128"/>
        <v>0</v>
      </c>
      <c r="CJ128" s="12"/>
      <c r="CK128" s="12">
        <f t="shared" si="129"/>
        <v>0</v>
      </c>
      <c r="CL128" s="32">
        <f t="shared" si="130"/>
        <v>0</v>
      </c>
      <c r="CM128" s="12"/>
      <c r="CN128" s="12">
        <f t="shared" si="131"/>
        <v>0</v>
      </c>
      <c r="CO128" s="32">
        <f t="shared" si="132"/>
        <v>0</v>
      </c>
      <c r="CP128" s="12"/>
      <c r="CQ128" s="12">
        <f t="shared" si="133"/>
        <v>0</v>
      </c>
      <c r="CR128" s="32">
        <f t="shared" si="134"/>
        <v>0</v>
      </c>
      <c r="CS128" s="12"/>
      <c r="CT128" s="12">
        <f t="shared" si="139"/>
        <v>0</v>
      </c>
      <c r="CU128" s="32">
        <f t="shared" si="140"/>
        <v>0</v>
      </c>
      <c r="CV128" s="12"/>
      <c r="CW128" s="12">
        <f t="shared" si="141"/>
        <v>0</v>
      </c>
      <c r="CX128" s="32">
        <f t="shared" si="142"/>
        <v>0</v>
      </c>
      <c r="CY128" s="12"/>
      <c r="CZ128" s="12">
        <f t="shared" si="143"/>
        <v>0</v>
      </c>
      <c r="DA128" s="32">
        <f t="shared" si="144"/>
        <v>0</v>
      </c>
      <c r="DB128" s="12"/>
      <c r="DC128" s="12">
        <f t="shared" si="145"/>
        <v>0</v>
      </c>
      <c r="DD128" s="32">
        <f t="shared" si="146"/>
        <v>0</v>
      </c>
      <c r="DE128" s="12"/>
      <c r="DF128" s="12">
        <f t="shared" si="147"/>
        <v>0</v>
      </c>
      <c r="DG128" s="32">
        <f t="shared" si="148"/>
        <v>0</v>
      </c>
      <c r="DH128" s="12"/>
      <c r="DI128" s="12">
        <f t="shared" si="153"/>
        <v>0</v>
      </c>
      <c r="DJ128" s="32">
        <f t="shared" si="149"/>
        <v>0</v>
      </c>
      <c r="DK128" s="12"/>
      <c r="DL128" s="12">
        <f t="shared" si="150"/>
        <v>0</v>
      </c>
      <c r="DM128" s="32">
        <f t="shared" si="151"/>
        <v>0</v>
      </c>
    </row>
    <row r="129" spans="1:117" s="6" customFormat="1" ht="22.25" customHeight="1" x14ac:dyDescent="0.35">
      <c r="A129" s="4">
        <v>123</v>
      </c>
      <c r="B129" s="4" t="s">
        <v>289</v>
      </c>
      <c r="C129" s="4" t="s">
        <v>290</v>
      </c>
      <c r="D129" s="7">
        <f t="shared" si="136"/>
        <v>0.65263157894736845</v>
      </c>
      <c r="E129" s="7">
        <v>0.62</v>
      </c>
      <c r="F129" s="7">
        <v>1</v>
      </c>
      <c r="G129" s="7">
        <v>0.95</v>
      </c>
      <c r="H129" s="7">
        <f t="shared" si="137"/>
        <v>9.789473684210527E-2</v>
      </c>
      <c r="I129" s="9">
        <f t="shared" si="138"/>
        <v>0.75052631578947371</v>
      </c>
      <c r="J129" s="13"/>
      <c r="K129" s="12">
        <f t="shared" si="78"/>
        <v>0</v>
      </c>
      <c r="L129" s="32">
        <f t="shared" si="79"/>
        <v>0</v>
      </c>
      <c r="M129" s="12"/>
      <c r="N129" s="12">
        <f t="shared" si="80"/>
        <v>0</v>
      </c>
      <c r="O129" s="32">
        <f t="shared" si="81"/>
        <v>0</v>
      </c>
      <c r="P129" s="12"/>
      <c r="Q129" s="12">
        <f t="shared" si="152"/>
        <v>0</v>
      </c>
      <c r="R129" s="32">
        <f t="shared" si="82"/>
        <v>0</v>
      </c>
      <c r="S129" s="12"/>
      <c r="T129" s="12">
        <f t="shared" si="83"/>
        <v>0</v>
      </c>
      <c r="U129" s="32">
        <f t="shared" si="84"/>
        <v>0</v>
      </c>
      <c r="V129" s="12"/>
      <c r="W129" s="12">
        <f t="shared" si="85"/>
        <v>0</v>
      </c>
      <c r="X129" s="32">
        <f t="shared" si="86"/>
        <v>0</v>
      </c>
      <c r="Y129" s="12"/>
      <c r="Z129" s="12">
        <f t="shared" si="87"/>
        <v>0</v>
      </c>
      <c r="AA129" s="32">
        <f t="shared" si="88"/>
        <v>0</v>
      </c>
      <c r="AB129" s="12"/>
      <c r="AC129" s="12">
        <f t="shared" si="89"/>
        <v>0</v>
      </c>
      <c r="AD129" s="32">
        <f t="shared" si="90"/>
        <v>0</v>
      </c>
      <c r="AE129" s="12"/>
      <c r="AF129" s="37">
        <f t="shared" si="91"/>
        <v>0</v>
      </c>
      <c r="AG129" s="14">
        <f t="shared" si="92"/>
        <v>0</v>
      </c>
      <c r="AH129" s="12"/>
      <c r="AI129" s="12">
        <f t="shared" si="93"/>
        <v>0</v>
      </c>
      <c r="AJ129" s="32">
        <f t="shared" si="94"/>
        <v>0</v>
      </c>
      <c r="AK129" s="12"/>
      <c r="AL129" s="12">
        <f t="shared" si="95"/>
        <v>0</v>
      </c>
      <c r="AM129" s="32">
        <f t="shared" si="96"/>
        <v>0</v>
      </c>
      <c r="AN129" s="12"/>
      <c r="AO129" s="12">
        <f t="shared" si="97"/>
        <v>0</v>
      </c>
      <c r="AP129" s="32">
        <f t="shared" si="98"/>
        <v>0</v>
      </c>
      <c r="AQ129" s="12"/>
      <c r="AR129" s="12">
        <f t="shared" si="99"/>
        <v>0</v>
      </c>
      <c r="AS129" s="32">
        <f t="shared" si="100"/>
        <v>0</v>
      </c>
      <c r="AT129" s="12"/>
      <c r="AU129" s="12">
        <f t="shared" si="101"/>
        <v>0</v>
      </c>
      <c r="AV129" s="32">
        <f t="shared" si="102"/>
        <v>0</v>
      </c>
      <c r="AW129" s="12"/>
      <c r="AX129" s="12">
        <f t="shared" si="103"/>
        <v>0</v>
      </c>
      <c r="AY129" s="32">
        <f t="shared" si="104"/>
        <v>0</v>
      </c>
      <c r="AZ129" s="12"/>
      <c r="BA129" s="12">
        <f t="shared" si="105"/>
        <v>0</v>
      </c>
      <c r="BB129" s="32">
        <f t="shared" si="106"/>
        <v>0</v>
      </c>
      <c r="BC129" s="12"/>
      <c r="BD129" s="12">
        <f t="shared" si="107"/>
        <v>0</v>
      </c>
      <c r="BE129" s="32">
        <f t="shared" si="108"/>
        <v>0</v>
      </c>
      <c r="BF129" s="12"/>
      <c r="BG129" s="12">
        <f t="shared" si="109"/>
        <v>0</v>
      </c>
      <c r="BH129" s="32">
        <f t="shared" si="110"/>
        <v>0</v>
      </c>
      <c r="BI129" s="12"/>
      <c r="BJ129" s="12">
        <f t="shared" si="111"/>
        <v>0</v>
      </c>
      <c r="BK129" s="32">
        <f t="shared" si="112"/>
        <v>0</v>
      </c>
      <c r="BL129" s="12"/>
      <c r="BM129" s="12">
        <f t="shared" si="113"/>
        <v>0</v>
      </c>
      <c r="BN129" s="32">
        <f t="shared" si="114"/>
        <v>0</v>
      </c>
      <c r="BO129" s="12"/>
      <c r="BP129" s="12">
        <f t="shared" si="115"/>
        <v>0</v>
      </c>
      <c r="BQ129" s="32">
        <f t="shared" si="116"/>
        <v>0</v>
      </c>
      <c r="BR129" s="12">
        <v>0.04</v>
      </c>
      <c r="BS129" s="12">
        <f t="shared" si="117"/>
        <v>2.6105263157894739E-2</v>
      </c>
      <c r="BT129" s="32">
        <f t="shared" si="118"/>
        <v>7.2073308122342335E-3</v>
      </c>
      <c r="BU129" s="12"/>
      <c r="BV129" s="12">
        <f t="shared" si="119"/>
        <v>0</v>
      </c>
      <c r="BW129" s="32">
        <f t="shared" si="120"/>
        <v>0</v>
      </c>
      <c r="BX129" s="12"/>
      <c r="BY129" s="12">
        <f t="shared" si="121"/>
        <v>0</v>
      </c>
      <c r="BZ129" s="32">
        <f t="shared" si="122"/>
        <v>0</v>
      </c>
      <c r="CA129" s="12"/>
      <c r="CB129" s="12">
        <f t="shared" si="123"/>
        <v>0</v>
      </c>
      <c r="CC129" s="32">
        <f t="shared" si="124"/>
        <v>0</v>
      </c>
      <c r="CD129" s="12"/>
      <c r="CE129" s="12">
        <f t="shared" si="125"/>
        <v>0</v>
      </c>
      <c r="CF129" s="32">
        <f t="shared" si="126"/>
        <v>0</v>
      </c>
      <c r="CG129" s="12"/>
      <c r="CH129" s="12">
        <f t="shared" si="127"/>
        <v>0</v>
      </c>
      <c r="CI129" s="32">
        <f t="shared" si="128"/>
        <v>0</v>
      </c>
      <c r="CJ129" s="12"/>
      <c r="CK129" s="12">
        <f t="shared" si="129"/>
        <v>0</v>
      </c>
      <c r="CL129" s="32">
        <f t="shared" si="130"/>
        <v>0</v>
      </c>
      <c r="CM129" s="12"/>
      <c r="CN129" s="12">
        <f t="shared" si="131"/>
        <v>0</v>
      </c>
      <c r="CO129" s="32">
        <f t="shared" si="132"/>
        <v>0</v>
      </c>
      <c r="CP129" s="12"/>
      <c r="CQ129" s="12">
        <f t="shared" si="133"/>
        <v>0</v>
      </c>
      <c r="CR129" s="32">
        <f t="shared" si="134"/>
        <v>0</v>
      </c>
      <c r="CS129" s="12"/>
      <c r="CT129" s="12">
        <f t="shared" si="139"/>
        <v>0</v>
      </c>
      <c r="CU129" s="32">
        <f t="shared" si="140"/>
        <v>0</v>
      </c>
      <c r="CV129" s="12"/>
      <c r="CW129" s="12">
        <f t="shared" si="141"/>
        <v>0</v>
      </c>
      <c r="CX129" s="32">
        <f t="shared" si="142"/>
        <v>0</v>
      </c>
      <c r="CY129" s="12"/>
      <c r="CZ129" s="12">
        <f t="shared" si="143"/>
        <v>0</v>
      </c>
      <c r="DA129" s="32">
        <f t="shared" si="144"/>
        <v>0</v>
      </c>
      <c r="DB129" s="12"/>
      <c r="DC129" s="12">
        <f t="shared" si="145"/>
        <v>0</v>
      </c>
      <c r="DD129" s="32">
        <f t="shared" si="146"/>
        <v>0</v>
      </c>
      <c r="DE129" s="12"/>
      <c r="DF129" s="12">
        <f t="shared" si="147"/>
        <v>0</v>
      </c>
      <c r="DG129" s="32">
        <f t="shared" si="148"/>
        <v>0</v>
      </c>
      <c r="DH129" s="12"/>
      <c r="DI129" s="12">
        <f t="shared" si="153"/>
        <v>0</v>
      </c>
      <c r="DJ129" s="32">
        <f t="shared" si="149"/>
        <v>0</v>
      </c>
      <c r="DK129" s="12"/>
      <c r="DL129" s="12">
        <f t="shared" si="150"/>
        <v>0</v>
      </c>
      <c r="DM129" s="32">
        <f t="shared" si="151"/>
        <v>0</v>
      </c>
    </row>
    <row r="130" spans="1:117" s="6" customFormat="1" ht="22.25" customHeight="1" x14ac:dyDescent="0.35">
      <c r="A130" s="4">
        <v>120</v>
      </c>
      <c r="B130" s="4" t="s">
        <v>291</v>
      </c>
      <c r="C130" s="4" t="s">
        <v>292</v>
      </c>
      <c r="D130" s="7">
        <f t="shared" si="136"/>
        <v>0.5</v>
      </c>
      <c r="E130" s="7">
        <v>0.5</v>
      </c>
      <c r="F130" s="7">
        <v>1</v>
      </c>
      <c r="G130" s="7">
        <v>1</v>
      </c>
      <c r="H130" s="7">
        <f t="shared" si="137"/>
        <v>7.4999999999999997E-2</v>
      </c>
      <c r="I130" s="9">
        <f t="shared" si="138"/>
        <v>0.57499999999999996</v>
      </c>
      <c r="J130" s="13"/>
      <c r="K130" s="12">
        <f t="shared" ref="K130:K135" si="154">J130*D130</f>
        <v>0</v>
      </c>
      <c r="L130" s="32">
        <f t="shared" si="79"/>
        <v>0</v>
      </c>
      <c r="M130" s="12"/>
      <c r="N130" s="12">
        <f t="shared" si="80"/>
        <v>0</v>
      </c>
      <c r="O130" s="32">
        <f t="shared" si="81"/>
        <v>0</v>
      </c>
      <c r="P130" s="12"/>
      <c r="Q130" s="12">
        <f t="shared" si="152"/>
        <v>0</v>
      </c>
      <c r="R130" s="32">
        <f t="shared" si="82"/>
        <v>0</v>
      </c>
      <c r="S130" s="12"/>
      <c r="T130" s="12">
        <f t="shared" si="83"/>
        <v>0</v>
      </c>
      <c r="U130" s="32">
        <f t="shared" si="84"/>
        <v>0</v>
      </c>
      <c r="V130" s="12"/>
      <c r="W130" s="12">
        <f t="shared" si="85"/>
        <v>0</v>
      </c>
      <c r="X130" s="32">
        <f t="shared" si="86"/>
        <v>0</v>
      </c>
      <c r="Y130" s="12"/>
      <c r="Z130" s="12">
        <f t="shared" si="87"/>
        <v>0</v>
      </c>
      <c r="AA130" s="32">
        <f t="shared" si="88"/>
        <v>0</v>
      </c>
      <c r="AB130" s="12"/>
      <c r="AC130" s="12">
        <f t="shared" si="89"/>
        <v>0</v>
      </c>
      <c r="AD130" s="32">
        <f t="shared" si="90"/>
        <v>0</v>
      </c>
      <c r="AE130" s="12"/>
      <c r="AF130" s="37">
        <f t="shared" si="91"/>
        <v>0</v>
      </c>
      <c r="AG130" s="14">
        <f t="shared" si="92"/>
        <v>0</v>
      </c>
      <c r="AH130" s="12"/>
      <c r="AI130" s="12">
        <f t="shared" si="93"/>
        <v>0</v>
      </c>
      <c r="AJ130" s="32">
        <f t="shared" si="94"/>
        <v>0</v>
      </c>
      <c r="AK130" s="12"/>
      <c r="AL130" s="12">
        <f t="shared" si="95"/>
        <v>0</v>
      </c>
      <c r="AM130" s="32">
        <f t="shared" si="96"/>
        <v>0</v>
      </c>
      <c r="AN130" s="12">
        <v>1</v>
      </c>
      <c r="AO130" s="12">
        <f t="shared" si="97"/>
        <v>0.5</v>
      </c>
      <c r="AP130" s="32">
        <f t="shared" si="98"/>
        <v>0.12224221835809852</v>
      </c>
      <c r="AQ130" s="12"/>
      <c r="AR130" s="12">
        <f t="shared" si="99"/>
        <v>0</v>
      </c>
      <c r="AS130" s="32">
        <f t="shared" si="100"/>
        <v>0</v>
      </c>
      <c r="AT130" s="12"/>
      <c r="AU130" s="12">
        <f t="shared" si="101"/>
        <v>0</v>
      </c>
      <c r="AV130" s="32">
        <f t="shared" si="102"/>
        <v>0</v>
      </c>
      <c r="AW130" s="12">
        <v>1</v>
      </c>
      <c r="AX130" s="12">
        <f t="shared" si="103"/>
        <v>0.5</v>
      </c>
      <c r="AY130" s="32">
        <f t="shared" si="104"/>
        <v>0.22840195286028256</v>
      </c>
      <c r="AZ130" s="12">
        <v>1</v>
      </c>
      <c r="BA130" s="12">
        <f t="shared" si="105"/>
        <v>0.5</v>
      </c>
      <c r="BB130" s="32">
        <f t="shared" si="106"/>
        <v>0.12718061709412065</v>
      </c>
      <c r="BC130" s="12">
        <v>1</v>
      </c>
      <c r="BD130" s="12">
        <f t="shared" si="107"/>
        <v>0.5</v>
      </c>
      <c r="BE130" s="32">
        <f t="shared" si="108"/>
        <v>0.34627958892392113</v>
      </c>
      <c r="BF130" s="12">
        <v>1</v>
      </c>
      <c r="BG130" s="12">
        <f t="shared" si="109"/>
        <v>0.5</v>
      </c>
      <c r="BH130" s="32">
        <f t="shared" si="110"/>
        <v>0.16373700807805616</v>
      </c>
      <c r="BI130" s="12"/>
      <c r="BJ130" s="12">
        <f t="shared" si="111"/>
        <v>0</v>
      </c>
      <c r="BK130" s="32">
        <f t="shared" si="112"/>
        <v>0</v>
      </c>
      <c r="BL130" s="12"/>
      <c r="BM130" s="12">
        <f t="shared" si="113"/>
        <v>0</v>
      </c>
      <c r="BN130" s="32">
        <f t="shared" si="114"/>
        <v>0</v>
      </c>
      <c r="BO130" s="12"/>
      <c r="BP130" s="12">
        <f t="shared" si="115"/>
        <v>0</v>
      </c>
      <c r="BQ130" s="32">
        <f t="shared" si="116"/>
        <v>0</v>
      </c>
      <c r="BR130" s="12"/>
      <c r="BS130" s="12">
        <f t="shared" si="117"/>
        <v>0</v>
      </c>
      <c r="BT130" s="32">
        <f t="shared" si="118"/>
        <v>0</v>
      </c>
      <c r="BU130" s="12"/>
      <c r="BV130" s="12">
        <f t="shared" si="119"/>
        <v>0</v>
      </c>
      <c r="BW130" s="32">
        <f t="shared" si="120"/>
        <v>0</v>
      </c>
      <c r="BX130" s="12"/>
      <c r="BY130" s="12">
        <f t="shared" si="121"/>
        <v>0</v>
      </c>
      <c r="BZ130" s="32">
        <f t="shared" si="122"/>
        <v>0</v>
      </c>
      <c r="CA130" s="12">
        <v>1</v>
      </c>
      <c r="CB130" s="12">
        <f t="shared" si="123"/>
        <v>0.5</v>
      </c>
      <c r="CC130" s="32">
        <f t="shared" si="124"/>
        <v>0.13939526640437561</v>
      </c>
      <c r="CD130" s="12"/>
      <c r="CE130" s="12">
        <f t="shared" si="125"/>
        <v>0</v>
      </c>
      <c r="CF130" s="32">
        <f t="shared" si="126"/>
        <v>0</v>
      </c>
      <c r="CG130" s="12"/>
      <c r="CH130" s="12">
        <f t="shared" si="127"/>
        <v>0</v>
      </c>
      <c r="CI130" s="32">
        <f t="shared" si="128"/>
        <v>0</v>
      </c>
      <c r="CJ130" s="12"/>
      <c r="CK130" s="12">
        <f t="shared" si="129"/>
        <v>0</v>
      </c>
      <c r="CL130" s="32">
        <f t="shared" si="130"/>
        <v>0</v>
      </c>
      <c r="CM130" s="12"/>
      <c r="CN130" s="12">
        <f t="shared" si="131"/>
        <v>0</v>
      </c>
      <c r="CO130" s="32">
        <f t="shared" si="132"/>
        <v>0</v>
      </c>
      <c r="CP130" s="12"/>
      <c r="CQ130" s="12">
        <f t="shared" si="133"/>
        <v>0</v>
      </c>
      <c r="CR130" s="32">
        <f t="shared" si="134"/>
        <v>0</v>
      </c>
      <c r="CS130" s="12"/>
      <c r="CT130" s="12">
        <f t="shared" si="139"/>
        <v>0</v>
      </c>
      <c r="CU130" s="32">
        <f t="shared" si="140"/>
        <v>0</v>
      </c>
      <c r="CV130" s="12"/>
      <c r="CW130" s="12">
        <f t="shared" si="141"/>
        <v>0</v>
      </c>
      <c r="CX130" s="32">
        <f t="shared" si="142"/>
        <v>0</v>
      </c>
      <c r="CY130" s="12"/>
      <c r="CZ130" s="12">
        <f t="shared" si="143"/>
        <v>0</v>
      </c>
      <c r="DA130" s="32">
        <f t="shared" si="144"/>
        <v>0</v>
      </c>
      <c r="DB130" s="12"/>
      <c r="DC130" s="12">
        <f t="shared" si="145"/>
        <v>0</v>
      </c>
      <c r="DD130" s="32">
        <f t="shared" si="146"/>
        <v>0</v>
      </c>
      <c r="DE130" s="12"/>
      <c r="DF130" s="12">
        <f t="shared" si="147"/>
        <v>0</v>
      </c>
      <c r="DG130" s="32">
        <f t="shared" si="148"/>
        <v>0</v>
      </c>
      <c r="DH130" s="12"/>
      <c r="DI130" s="12">
        <f t="shared" si="153"/>
        <v>0</v>
      </c>
      <c r="DJ130" s="32">
        <f t="shared" si="149"/>
        <v>0</v>
      </c>
      <c r="DK130" s="12"/>
      <c r="DL130" s="12">
        <f t="shared" si="150"/>
        <v>0</v>
      </c>
      <c r="DM130" s="32">
        <f t="shared" si="151"/>
        <v>0</v>
      </c>
    </row>
    <row r="131" spans="1:117" s="6" customFormat="1" ht="22.25" customHeight="1" x14ac:dyDescent="0.35">
      <c r="A131" s="4">
        <v>121</v>
      </c>
      <c r="B131" s="5" t="s">
        <v>293</v>
      </c>
      <c r="C131" s="5" t="s">
        <v>294</v>
      </c>
      <c r="D131" s="7">
        <f t="shared" si="136"/>
        <v>2.1052631578947367</v>
      </c>
      <c r="E131" s="7">
        <v>2</v>
      </c>
      <c r="F131" s="7">
        <v>1</v>
      </c>
      <c r="G131" s="7">
        <v>0.95</v>
      </c>
      <c r="H131" s="7">
        <f t="shared" si="137"/>
        <v>0.31578947368421051</v>
      </c>
      <c r="I131" s="9">
        <f t="shared" si="138"/>
        <v>2.4210526315789473</v>
      </c>
      <c r="J131" s="13"/>
      <c r="K131" s="12">
        <f t="shared" si="154"/>
        <v>0</v>
      </c>
      <c r="L131" s="32">
        <f t="shared" si="79"/>
        <v>0</v>
      </c>
      <c r="M131" s="12"/>
      <c r="N131" s="12">
        <f t="shared" si="80"/>
        <v>0</v>
      </c>
      <c r="O131" s="32">
        <f t="shared" si="81"/>
        <v>0</v>
      </c>
      <c r="P131" s="12"/>
      <c r="Q131" s="12">
        <f t="shared" si="152"/>
        <v>0</v>
      </c>
      <c r="R131" s="32">
        <f t="shared" si="82"/>
        <v>0</v>
      </c>
      <c r="S131" s="12"/>
      <c r="T131" s="12">
        <f t="shared" si="83"/>
        <v>0</v>
      </c>
      <c r="U131" s="32">
        <f t="shared" si="84"/>
        <v>0</v>
      </c>
      <c r="V131" s="12"/>
      <c r="W131" s="12">
        <f t="shared" si="85"/>
        <v>0</v>
      </c>
      <c r="X131" s="32">
        <f t="shared" si="86"/>
        <v>0</v>
      </c>
      <c r="Y131" s="12"/>
      <c r="Z131" s="12">
        <f t="shared" si="87"/>
        <v>0</v>
      </c>
      <c r="AA131" s="32">
        <f t="shared" si="88"/>
        <v>0</v>
      </c>
      <c r="AB131" s="12"/>
      <c r="AC131" s="12">
        <f t="shared" si="89"/>
        <v>0</v>
      </c>
      <c r="AD131" s="32">
        <f t="shared" si="90"/>
        <v>0</v>
      </c>
      <c r="AE131" s="12"/>
      <c r="AF131" s="37">
        <f t="shared" si="91"/>
        <v>0</v>
      </c>
      <c r="AG131" s="14">
        <f t="shared" si="92"/>
        <v>0</v>
      </c>
      <c r="AH131" s="12"/>
      <c r="AI131" s="12">
        <f t="shared" si="93"/>
        <v>0</v>
      </c>
      <c r="AJ131" s="32">
        <f t="shared" si="94"/>
        <v>0</v>
      </c>
      <c r="AK131" s="12"/>
      <c r="AL131" s="12">
        <f t="shared" si="95"/>
        <v>0</v>
      </c>
      <c r="AM131" s="32">
        <f t="shared" si="96"/>
        <v>0</v>
      </c>
      <c r="AN131" s="12"/>
      <c r="AO131" s="12">
        <f t="shared" si="97"/>
        <v>0</v>
      </c>
      <c r="AP131" s="32">
        <f t="shared" si="98"/>
        <v>0</v>
      </c>
      <c r="AQ131" s="12"/>
      <c r="AR131" s="12">
        <f t="shared" si="99"/>
        <v>0</v>
      </c>
      <c r="AS131" s="32">
        <f t="shared" si="100"/>
        <v>0</v>
      </c>
      <c r="AT131" s="12">
        <v>0.01</v>
      </c>
      <c r="AU131" s="12">
        <f t="shared" si="101"/>
        <v>2.1052631578947368E-2</v>
      </c>
      <c r="AV131" s="32">
        <f t="shared" si="102"/>
        <v>1.5561216268308418E-2</v>
      </c>
      <c r="AW131" s="12"/>
      <c r="AX131" s="12">
        <f t="shared" si="103"/>
        <v>0</v>
      </c>
      <c r="AY131" s="32">
        <f t="shared" si="104"/>
        <v>0</v>
      </c>
      <c r="AZ131" s="12"/>
      <c r="BA131" s="12">
        <f t="shared" si="105"/>
        <v>0</v>
      </c>
      <c r="BB131" s="32">
        <f t="shared" si="106"/>
        <v>0</v>
      </c>
      <c r="BC131" s="12"/>
      <c r="BD131" s="12">
        <f t="shared" si="107"/>
        <v>0</v>
      </c>
      <c r="BE131" s="32">
        <f t="shared" si="108"/>
        <v>0</v>
      </c>
      <c r="BF131" s="12"/>
      <c r="BG131" s="12">
        <f t="shared" si="109"/>
        <v>0</v>
      </c>
      <c r="BH131" s="32">
        <f t="shared" si="110"/>
        <v>0</v>
      </c>
      <c r="BI131" s="12"/>
      <c r="BJ131" s="12">
        <f t="shared" si="111"/>
        <v>0</v>
      </c>
      <c r="BK131" s="32">
        <f t="shared" si="112"/>
        <v>0</v>
      </c>
      <c r="BL131" s="12"/>
      <c r="BM131" s="12">
        <f t="shared" si="113"/>
        <v>0</v>
      </c>
      <c r="BN131" s="32">
        <f t="shared" si="114"/>
        <v>0</v>
      </c>
      <c r="BO131" s="12"/>
      <c r="BP131" s="12">
        <f t="shared" si="115"/>
        <v>0</v>
      </c>
      <c r="BQ131" s="32">
        <f t="shared" si="116"/>
        <v>0</v>
      </c>
      <c r="BR131" s="12"/>
      <c r="BS131" s="12">
        <f t="shared" si="117"/>
        <v>0</v>
      </c>
      <c r="BT131" s="32">
        <f t="shared" si="118"/>
        <v>0</v>
      </c>
      <c r="BU131" s="12"/>
      <c r="BV131" s="12">
        <f t="shared" si="119"/>
        <v>0</v>
      </c>
      <c r="BW131" s="32">
        <f t="shared" si="120"/>
        <v>0</v>
      </c>
      <c r="BX131" s="12"/>
      <c r="BY131" s="12">
        <f t="shared" si="121"/>
        <v>0</v>
      </c>
      <c r="BZ131" s="32">
        <f t="shared" si="122"/>
        <v>0</v>
      </c>
      <c r="CA131" s="12"/>
      <c r="CB131" s="12">
        <f t="shared" si="123"/>
        <v>0</v>
      </c>
      <c r="CC131" s="32">
        <f t="shared" si="124"/>
        <v>0</v>
      </c>
      <c r="CD131" s="12"/>
      <c r="CE131" s="12">
        <f t="shared" si="125"/>
        <v>0</v>
      </c>
      <c r="CF131" s="32">
        <f t="shared" si="126"/>
        <v>0</v>
      </c>
      <c r="CG131" s="12"/>
      <c r="CH131" s="12">
        <f t="shared" si="127"/>
        <v>0</v>
      </c>
      <c r="CI131" s="32">
        <f t="shared" si="128"/>
        <v>0</v>
      </c>
      <c r="CJ131" s="12"/>
      <c r="CK131" s="12">
        <f t="shared" si="129"/>
        <v>0</v>
      </c>
      <c r="CL131" s="32">
        <f t="shared" si="130"/>
        <v>0</v>
      </c>
      <c r="CM131" s="12"/>
      <c r="CN131" s="12">
        <f t="shared" si="131"/>
        <v>0</v>
      </c>
      <c r="CO131" s="32">
        <f t="shared" si="132"/>
        <v>0</v>
      </c>
      <c r="CP131" s="12"/>
      <c r="CQ131" s="12">
        <f t="shared" si="133"/>
        <v>0</v>
      </c>
      <c r="CR131" s="32">
        <f t="shared" si="134"/>
        <v>0</v>
      </c>
      <c r="CS131" s="12"/>
      <c r="CT131" s="12">
        <f t="shared" si="139"/>
        <v>0</v>
      </c>
      <c r="CU131" s="32">
        <f t="shared" si="140"/>
        <v>0</v>
      </c>
      <c r="CV131" s="12"/>
      <c r="CW131" s="12">
        <f t="shared" si="141"/>
        <v>0</v>
      </c>
      <c r="CX131" s="32">
        <f t="shared" si="142"/>
        <v>0</v>
      </c>
      <c r="CY131" s="12"/>
      <c r="CZ131" s="12">
        <f t="shared" si="143"/>
        <v>0</v>
      </c>
      <c r="DA131" s="32">
        <f t="shared" si="144"/>
        <v>0</v>
      </c>
      <c r="DB131" s="12"/>
      <c r="DC131" s="12">
        <f t="shared" si="145"/>
        <v>0</v>
      </c>
      <c r="DD131" s="32">
        <f t="shared" si="146"/>
        <v>0</v>
      </c>
      <c r="DE131" s="12"/>
      <c r="DF131" s="12">
        <f t="shared" si="147"/>
        <v>0</v>
      </c>
      <c r="DG131" s="32">
        <f t="shared" si="148"/>
        <v>0</v>
      </c>
      <c r="DH131" s="12"/>
      <c r="DI131" s="12">
        <f t="shared" si="153"/>
        <v>0</v>
      </c>
      <c r="DJ131" s="32">
        <f t="shared" si="149"/>
        <v>0</v>
      </c>
      <c r="DK131" s="12"/>
      <c r="DL131" s="12">
        <f t="shared" si="150"/>
        <v>0</v>
      </c>
      <c r="DM131" s="32">
        <f t="shared" si="151"/>
        <v>0</v>
      </c>
    </row>
    <row r="132" spans="1:117" s="6" customFormat="1" ht="22.25" customHeight="1" x14ac:dyDescent="0.35">
      <c r="A132" s="4">
        <v>122</v>
      </c>
      <c r="B132" s="5" t="s">
        <v>295</v>
      </c>
      <c r="C132" s="5" t="s">
        <v>296</v>
      </c>
      <c r="D132" s="7">
        <f t="shared" si="136"/>
        <v>60.35</v>
      </c>
      <c r="E132" s="7">
        <f>60.35</f>
        <v>60.35</v>
      </c>
      <c r="F132" s="7">
        <v>1</v>
      </c>
      <c r="G132" s="7">
        <v>1</v>
      </c>
      <c r="H132" s="7">
        <f t="shared" si="137"/>
        <v>9.0525000000000002</v>
      </c>
      <c r="I132" s="9">
        <f t="shared" si="138"/>
        <v>69.402500000000003</v>
      </c>
      <c r="J132" s="13"/>
      <c r="K132" s="12">
        <f t="shared" si="154"/>
        <v>0</v>
      </c>
      <c r="L132" s="32">
        <f t="shared" si="79"/>
        <v>0</v>
      </c>
      <c r="M132" s="12"/>
      <c r="N132" s="12">
        <f t="shared" si="80"/>
        <v>0</v>
      </c>
      <c r="O132" s="32">
        <f t="shared" si="81"/>
        <v>0</v>
      </c>
      <c r="P132" s="12"/>
      <c r="Q132" s="12">
        <f t="shared" si="152"/>
        <v>0</v>
      </c>
      <c r="R132" s="32">
        <f t="shared" si="82"/>
        <v>0</v>
      </c>
      <c r="S132" s="12"/>
      <c r="T132" s="12">
        <f t="shared" si="83"/>
        <v>0</v>
      </c>
      <c r="U132" s="32">
        <f t="shared" si="84"/>
        <v>0</v>
      </c>
      <c r="V132" s="12"/>
      <c r="W132" s="12">
        <f t="shared" si="85"/>
        <v>0</v>
      </c>
      <c r="X132" s="32">
        <f t="shared" si="86"/>
        <v>0</v>
      </c>
      <c r="Y132" s="12"/>
      <c r="Z132" s="12">
        <f t="shared" si="87"/>
        <v>0</v>
      </c>
      <c r="AA132" s="32">
        <f t="shared" si="88"/>
        <v>0</v>
      </c>
      <c r="AB132" s="12"/>
      <c r="AC132" s="12">
        <f t="shared" si="89"/>
        <v>0</v>
      </c>
      <c r="AD132" s="32">
        <f t="shared" si="90"/>
        <v>0</v>
      </c>
      <c r="AE132" s="12"/>
      <c r="AF132" s="37">
        <f t="shared" si="91"/>
        <v>0</v>
      </c>
      <c r="AG132" s="14">
        <f t="shared" si="92"/>
        <v>0</v>
      </c>
      <c r="AH132" s="12"/>
      <c r="AI132" s="12">
        <f t="shared" si="93"/>
        <v>0</v>
      </c>
      <c r="AJ132" s="32">
        <f t="shared" si="94"/>
        <v>0</v>
      </c>
      <c r="AK132" s="12"/>
      <c r="AL132" s="12">
        <f t="shared" si="95"/>
        <v>0</v>
      </c>
      <c r="AM132" s="32">
        <f t="shared" si="96"/>
        <v>0</v>
      </c>
      <c r="AN132" s="12"/>
      <c r="AO132" s="12">
        <f t="shared" si="97"/>
        <v>0</v>
      </c>
      <c r="AP132" s="32">
        <f t="shared" si="98"/>
        <v>0</v>
      </c>
      <c r="AQ132" s="12"/>
      <c r="AR132" s="12">
        <f t="shared" si="99"/>
        <v>0</v>
      </c>
      <c r="AS132" s="32">
        <f t="shared" si="100"/>
        <v>0</v>
      </c>
      <c r="AT132" s="12"/>
      <c r="AU132" s="12">
        <f t="shared" si="101"/>
        <v>0</v>
      </c>
      <c r="AV132" s="32">
        <f t="shared" si="102"/>
        <v>0</v>
      </c>
      <c r="AW132" s="12"/>
      <c r="AX132" s="12">
        <f t="shared" si="103"/>
        <v>0</v>
      </c>
      <c r="AY132" s="32">
        <f t="shared" si="104"/>
        <v>0</v>
      </c>
      <c r="AZ132" s="12">
        <v>3.7499999999999999E-2</v>
      </c>
      <c r="BA132" s="12">
        <f t="shared" si="105"/>
        <v>2.2631250000000001</v>
      </c>
      <c r="BB132" s="32">
        <f t="shared" si="106"/>
        <v>0.57565126812226364</v>
      </c>
      <c r="BC132" s="12"/>
      <c r="BD132" s="12">
        <f t="shared" si="107"/>
        <v>0</v>
      </c>
      <c r="BE132" s="32">
        <f t="shared" si="108"/>
        <v>0</v>
      </c>
      <c r="BF132" s="12"/>
      <c r="BG132" s="12">
        <f t="shared" si="109"/>
        <v>0</v>
      </c>
      <c r="BH132" s="32">
        <f t="shared" si="110"/>
        <v>0</v>
      </c>
      <c r="BI132" s="12"/>
      <c r="BJ132" s="12">
        <f t="shared" si="111"/>
        <v>0</v>
      </c>
      <c r="BK132" s="32">
        <f t="shared" si="112"/>
        <v>0</v>
      </c>
      <c r="BL132" s="12"/>
      <c r="BM132" s="12">
        <f t="shared" si="113"/>
        <v>0</v>
      </c>
      <c r="BN132" s="32">
        <f t="shared" si="114"/>
        <v>0</v>
      </c>
      <c r="BO132" s="12"/>
      <c r="BP132" s="12">
        <f t="shared" si="115"/>
        <v>0</v>
      </c>
      <c r="BQ132" s="32">
        <f t="shared" si="116"/>
        <v>0</v>
      </c>
      <c r="BR132" s="12"/>
      <c r="BS132" s="12">
        <f t="shared" si="117"/>
        <v>0</v>
      </c>
      <c r="BT132" s="32">
        <f t="shared" si="118"/>
        <v>0</v>
      </c>
      <c r="BU132" s="12"/>
      <c r="BV132" s="12">
        <f t="shared" si="119"/>
        <v>0</v>
      </c>
      <c r="BW132" s="32">
        <f t="shared" si="120"/>
        <v>0</v>
      </c>
      <c r="BX132" s="12"/>
      <c r="BY132" s="12">
        <f t="shared" si="121"/>
        <v>0</v>
      </c>
      <c r="BZ132" s="32">
        <f t="shared" si="122"/>
        <v>0</v>
      </c>
      <c r="CA132" s="12"/>
      <c r="CB132" s="12">
        <f t="shared" si="123"/>
        <v>0</v>
      </c>
      <c r="CC132" s="32">
        <f t="shared" si="124"/>
        <v>0</v>
      </c>
      <c r="CD132" s="12"/>
      <c r="CE132" s="12">
        <f t="shared" si="125"/>
        <v>0</v>
      </c>
      <c r="CF132" s="32">
        <f t="shared" si="126"/>
        <v>0</v>
      </c>
      <c r="CG132" s="12"/>
      <c r="CH132" s="12">
        <f t="shared" si="127"/>
        <v>0</v>
      </c>
      <c r="CI132" s="32">
        <f t="shared" si="128"/>
        <v>0</v>
      </c>
      <c r="CJ132" s="12"/>
      <c r="CK132" s="12">
        <f t="shared" si="129"/>
        <v>0</v>
      </c>
      <c r="CL132" s="32">
        <f t="shared" si="130"/>
        <v>0</v>
      </c>
      <c r="CM132" s="12"/>
      <c r="CN132" s="12">
        <f t="shared" si="131"/>
        <v>0</v>
      </c>
      <c r="CO132" s="32">
        <f t="shared" si="132"/>
        <v>0</v>
      </c>
      <c r="CP132" s="12"/>
      <c r="CQ132" s="12">
        <f t="shared" si="133"/>
        <v>0</v>
      </c>
      <c r="CR132" s="32">
        <f t="shared" si="134"/>
        <v>0</v>
      </c>
      <c r="CS132" s="12"/>
      <c r="CT132" s="12">
        <f t="shared" si="139"/>
        <v>0</v>
      </c>
      <c r="CU132" s="32">
        <f t="shared" si="140"/>
        <v>0</v>
      </c>
      <c r="CV132" s="12"/>
      <c r="CW132" s="12">
        <f t="shared" si="141"/>
        <v>0</v>
      </c>
      <c r="CX132" s="32">
        <f t="shared" si="142"/>
        <v>0</v>
      </c>
      <c r="CY132" s="12"/>
      <c r="CZ132" s="12">
        <f t="shared" si="143"/>
        <v>0</v>
      </c>
      <c r="DA132" s="32">
        <f t="shared" si="144"/>
        <v>0</v>
      </c>
      <c r="DB132" s="12"/>
      <c r="DC132" s="12">
        <f t="shared" si="145"/>
        <v>0</v>
      </c>
      <c r="DD132" s="32">
        <f t="shared" si="146"/>
        <v>0</v>
      </c>
      <c r="DE132" s="12"/>
      <c r="DF132" s="12">
        <f t="shared" si="147"/>
        <v>0</v>
      </c>
      <c r="DG132" s="32">
        <f t="shared" si="148"/>
        <v>0</v>
      </c>
      <c r="DH132" s="12"/>
      <c r="DI132" s="12">
        <f t="shared" si="153"/>
        <v>0</v>
      </c>
      <c r="DJ132" s="32">
        <f t="shared" si="149"/>
        <v>0</v>
      </c>
      <c r="DK132" s="12"/>
      <c r="DL132" s="12">
        <f t="shared" si="150"/>
        <v>0</v>
      </c>
      <c r="DM132" s="32">
        <f t="shared" si="151"/>
        <v>0</v>
      </c>
    </row>
    <row r="133" spans="1:117" s="18" customFormat="1" ht="22.25" customHeight="1" x14ac:dyDescent="0.35">
      <c r="A133" s="4">
        <v>123</v>
      </c>
      <c r="B133" s="4" t="s">
        <v>297</v>
      </c>
      <c r="C133" s="4" t="s">
        <v>298</v>
      </c>
      <c r="D133" s="7">
        <v>40</v>
      </c>
      <c r="E133" s="7">
        <v>50</v>
      </c>
      <c r="F133" s="7">
        <v>1</v>
      </c>
      <c r="G133" s="7">
        <v>1</v>
      </c>
      <c r="H133" s="7">
        <f t="shared" si="137"/>
        <v>6</v>
      </c>
      <c r="I133" s="9">
        <f t="shared" si="138"/>
        <v>46</v>
      </c>
      <c r="J133" s="16"/>
      <c r="K133" s="15">
        <f t="shared" si="154"/>
        <v>0</v>
      </c>
      <c r="L133" s="34">
        <f t="shared" si="79"/>
        <v>0</v>
      </c>
      <c r="M133" s="15"/>
      <c r="N133" s="15">
        <f t="shared" si="80"/>
        <v>0</v>
      </c>
      <c r="O133" s="34">
        <f t="shared" si="81"/>
        <v>0</v>
      </c>
      <c r="P133" s="15"/>
      <c r="Q133" s="15">
        <f t="shared" si="152"/>
        <v>0</v>
      </c>
      <c r="R133" s="34">
        <f t="shared" si="82"/>
        <v>0</v>
      </c>
      <c r="S133" s="15"/>
      <c r="T133" s="15">
        <f t="shared" si="83"/>
        <v>0</v>
      </c>
      <c r="U133" s="34">
        <f t="shared" si="84"/>
        <v>0</v>
      </c>
      <c r="V133" s="15"/>
      <c r="W133" s="15">
        <f t="shared" si="85"/>
        <v>0</v>
      </c>
      <c r="X133" s="34">
        <f t="shared" si="86"/>
        <v>0</v>
      </c>
      <c r="Y133" s="15"/>
      <c r="Z133" s="15">
        <f t="shared" si="87"/>
        <v>0</v>
      </c>
      <c r="AA133" s="34">
        <f t="shared" si="88"/>
        <v>0</v>
      </c>
      <c r="AB133" s="15"/>
      <c r="AC133" s="15">
        <f t="shared" si="89"/>
        <v>0</v>
      </c>
      <c r="AD133" s="34">
        <f t="shared" si="90"/>
        <v>0</v>
      </c>
      <c r="AE133" s="15"/>
      <c r="AF133" s="39">
        <f t="shared" si="91"/>
        <v>0</v>
      </c>
      <c r="AG133" s="17">
        <f t="shared" si="92"/>
        <v>0</v>
      </c>
      <c r="AH133" s="15"/>
      <c r="AI133" s="15">
        <f t="shared" si="93"/>
        <v>0</v>
      </c>
      <c r="AJ133" s="34">
        <f t="shared" si="94"/>
        <v>0</v>
      </c>
      <c r="AK133" s="15"/>
      <c r="AL133" s="15">
        <f t="shared" si="95"/>
        <v>0</v>
      </c>
      <c r="AM133" s="34">
        <f t="shared" si="96"/>
        <v>0</v>
      </c>
      <c r="AN133" s="15"/>
      <c r="AO133" s="15">
        <f t="shared" si="97"/>
        <v>0</v>
      </c>
      <c r="AP133" s="34">
        <f t="shared" si="98"/>
        <v>0</v>
      </c>
      <c r="AQ133" s="15"/>
      <c r="AR133" s="15">
        <f t="shared" si="99"/>
        <v>0</v>
      </c>
      <c r="AS133" s="34">
        <f t="shared" si="100"/>
        <v>0</v>
      </c>
      <c r="AT133" s="15"/>
      <c r="AU133" s="15">
        <f t="shared" si="101"/>
        <v>0</v>
      </c>
      <c r="AV133" s="34">
        <f t="shared" si="102"/>
        <v>0</v>
      </c>
      <c r="AW133" s="15"/>
      <c r="AX133" s="15">
        <f t="shared" si="103"/>
        <v>0</v>
      </c>
      <c r="AY133" s="34">
        <f t="shared" si="104"/>
        <v>0</v>
      </c>
      <c r="AZ133" s="15"/>
      <c r="BA133" s="15">
        <f t="shared" si="105"/>
        <v>0</v>
      </c>
      <c r="BB133" s="34">
        <f t="shared" si="106"/>
        <v>0</v>
      </c>
      <c r="BC133" s="15"/>
      <c r="BD133" s="15">
        <f t="shared" si="107"/>
        <v>0</v>
      </c>
      <c r="BE133" s="34">
        <f t="shared" si="108"/>
        <v>0</v>
      </c>
      <c r="BF133" s="15"/>
      <c r="BG133" s="15">
        <f t="shared" si="109"/>
        <v>0</v>
      </c>
      <c r="BH133" s="34">
        <f t="shared" si="110"/>
        <v>0</v>
      </c>
      <c r="BI133" s="15"/>
      <c r="BJ133" s="15">
        <f t="shared" si="111"/>
        <v>0</v>
      </c>
      <c r="BK133" s="34">
        <f t="shared" si="112"/>
        <v>0</v>
      </c>
      <c r="BL133" s="15"/>
      <c r="BM133" s="15">
        <f t="shared" si="113"/>
        <v>0</v>
      </c>
      <c r="BN133" s="34">
        <f t="shared" si="114"/>
        <v>0</v>
      </c>
      <c r="BO133" s="15"/>
      <c r="BP133" s="15">
        <f t="shared" si="115"/>
        <v>0</v>
      </c>
      <c r="BQ133" s="34">
        <f t="shared" si="116"/>
        <v>0</v>
      </c>
      <c r="BR133" s="15"/>
      <c r="BS133" s="15">
        <f t="shared" si="117"/>
        <v>0</v>
      </c>
      <c r="BT133" s="34">
        <f t="shared" si="118"/>
        <v>0</v>
      </c>
      <c r="BU133" s="15"/>
      <c r="BV133" s="15">
        <f t="shared" si="119"/>
        <v>0</v>
      </c>
      <c r="BW133" s="34">
        <f t="shared" si="120"/>
        <v>0</v>
      </c>
      <c r="BX133" s="15"/>
      <c r="BY133" s="15">
        <f t="shared" si="121"/>
        <v>0</v>
      </c>
      <c r="BZ133" s="34">
        <f t="shared" si="122"/>
        <v>0</v>
      </c>
      <c r="CA133" s="15"/>
      <c r="CB133" s="15">
        <f t="shared" si="123"/>
        <v>0</v>
      </c>
      <c r="CC133" s="34">
        <f t="shared" si="124"/>
        <v>0</v>
      </c>
      <c r="CD133" s="15"/>
      <c r="CE133" s="15">
        <f t="shared" si="125"/>
        <v>0</v>
      </c>
      <c r="CF133" s="34">
        <f t="shared" si="126"/>
        <v>0</v>
      </c>
      <c r="CG133" s="15"/>
      <c r="CH133" s="15">
        <f t="shared" si="127"/>
        <v>0</v>
      </c>
      <c r="CI133" s="34">
        <f t="shared" si="128"/>
        <v>0</v>
      </c>
      <c r="CJ133" s="15"/>
      <c r="CK133" s="15">
        <f t="shared" si="129"/>
        <v>0</v>
      </c>
      <c r="CL133" s="34">
        <f t="shared" si="130"/>
        <v>0</v>
      </c>
      <c r="CM133" s="15"/>
      <c r="CN133" s="15">
        <f t="shared" si="131"/>
        <v>0</v>
      </c>
      <c r="CO133" s="34">
        <f t="shared" si="132"/>
        <v>0</v>
      </c>
      <c r="CP133" s="15"/>
      <c r="CQ133" s="15">
        <f t="shared" si="133"/>
        <v>0</v>
      </c>
      <c r="CR133" s="34">
        <f t="shared" si="134"/>
        <v>0</v>
      </c>
      <c r="CS133" s="15"/>
      <c r="CT133" s="15">
        <f t="shared" si="139"/>
        <v>0</v>
      </c>
      <c r="CU133" s="34">
        <f t="shared" si="140"/>
        <v>0</v>
      </c>
      <c r="CV133" s="15">
        <v>1</v>
      </c>
      <c r="CW133" s="12">
        <f t="shared" si="141"/>
        <v>40</v>
      </c>
      <c r="CX133" s="34">
        <f t="shared" si="142"/>
        <v>235.83240091364198</v>
      </c>
      <c r="CY133" s="15"/>
      <c r="CZ133" s="15">
        <f t="shared" si="143"/>
        <v>0</v>
      </c>
      <c r="DA133" s="34">
        <f t="shared" si="144"/>
        <v>0</v>
      </c>
      <c r="DB133" s="15"/>
      <c r="DC133" s="15">
        <f t="shared" si="145"/>
        <v>0</v>
      </c>
      <c r="DD133" s="34">
        <f t="shared" si="146"/>
        <v>0</v>
      </c>
      <c r="DE133" s="15"/>
      <c r="DF133" s="12">
        <f t="shared" si="147"/>
        <v>0</v>
      </c>
      <c r="DG133" s="34">
        <f t="shared" si="148"/>
        <v>0</v>
      </c>
      <c r="DH133" s="15"/>
      <c r="DI133" s="12">
        <f t="shared" si="153"/>
        <v>0</v>
      </c>
      <c r="DJ133" s="34">
        <f t="shared" si="149"/>
        <v>0</v>
      </c>
      <c r="DK133" s="15"/>
      <c r="DL133" s="12">
        <f t="shared" si="150"/>
        <v>0</v>
      </c>
      <c r="DM133" s="34">
        <f t="shared" si="151"/>
        <v>0</v>
      </c>
    </row>
    <row r="134" spans="1:117" s="6" customFormat="1" ht="22.25" customHeight="1" x14ac:dyDescent="0.35">
      <c r="A134" s="4">
        <v>124</v>
      </c>
      <c r="B134" s="5" t="s">
        <v>299</v>
      </c>
      <c r="C134" s="5" t="s">
        <v>300</v>
      </c>
      <c r="D134" s="7">
        <f t="shared" si="136"/>
        <v>13.2</v>
      </c>
      <c r="E134" s="7">
        <v>13.2</v>
      </c>
      <c r="F134" s="7">
        <v>1</v>
      </c>
      <c r="G134" s="7">
        <v>1</v>
      </c>
      <c r="H134" s="7">
        <f t="shared" si="137"/>
        <v>1.9799999999999998</v>
      </c>
      <c r="I134" s="9">
        <f t="shared" si="138"/>
        <v>15.18</v>
      </c>
      <c r="J134" s="13"/>
      <c r="K134" s="12">
        <f t="shared" si="154"/>
        <v>0</v>
      </c>
      <c r="L134" s="32">
        <f t="shared" si="79"/>
        <v>0</v>
      </c>
      <c r="M134" s="12"/>
      <c r="N134" s="12">
        <f t="shared" si="80"/>
        <v>0</v>
      </c>
      <c r="O134" s="32">
        <f t="shared" si="81"/>
        <v>0</v>
      </c>
      <c r="P134" s="12"/>
      <c r="Q134" s="12">
        <f t="shared" si="152"/>
        <v>0</v>
      </c>
      <c r="R134" s="32">
        <f t="shared" si="82"/>
        <v>0</v>
      </c>
      <c r="S134" s="12"/>
      <c r="T134" s="12">
        <f t="shared" si="83"/>
        <v>0</v>
      </c>
      <c r="U134" s="32">
        <f t="shared" si="84"/>
        <v>0</v>
      </c>
      <c r="V134" s="12"/>
      <c r="W134" s="12">
        <f t="shared" si="85"/>
        <v>0</v>
      </c>
      <c r="X134" s="32">
        <f t="shared" si="86"/>
        <v>0</v>
      </c>
      <c r="Y134" s="12"/>
      <c r="Z134" s="12">
        <f t="shared" si="87"/>
        <v>0</v>
      </c>
      <c r="AA134" s="32">
        <f t="shared" si="88"/>
        <v>0</v>
      </c>
      <c r="AB134" s="12"/>
      <c r="AC134" s="12">
        <f t="shared" si="89"/>
        <v>0</v>
      </c>
      <c r="AD134" s="32">
        <f t="shared" si="90"/>
        <v>0</v>
      </c>
      <c r="AE134" s="12"/>
      <c r="AF134" s="37">
        <f t="shared" si="91"/>
        <v>0</v>
      </c>
      <c r="AG134" s="14">
        <f t="shared" si="92"/>
        <v>0</v>
      </c>
      <c r="AH134" s="12"/>
      <c r="AI134" s="12">
        <f t="shared" si="93"/>
        <v>0</v>
      </c>
      <c r="AJ134" s="32">
        <f t="shared" si="94"/>
        <v>0</v>
      </c>
      <c r="AK134" s="12"/>
      <c r="AL134" s="12">
        <f t="shared" si="95"/>
        <v>0</v>
      </c>
      <c r="AM134" s="32">
        <f t="shared" si="96"/>
        <v>0</v>
      </c>
      <c r="AN134" s="12"/>
      <c r="AO134" s="12">
        <f t="shared" si="97"/>
        <v>0</v>
      </c>
      <c r="AP134" s="32">
        <f t="shared" si="98"/>
        <v>0</v>
      </c>
      <c r="AQ134" s="12"/>
      <c r="AR134" s="12">
        <f t="shared" si="99"/>
        <v>0</v>
      </c>
      <c r="AS134" s="32">
        <f t="shared" si="100"/>
        <v>0</v>
      </c>
      <c r="AT134" s="12"/>
      <c r="AU134" s="12">
        <f t="shared" si="101"/>
        <v>0</v>
      </c>
      <c r="AV134" s="32">
        <f t="shared" si="102"/>
        <v>0</v>
      </c>
      <c r="AW134" s="12">
        <v>2E-3</v>
      </c>
      <c r="AX134" s="12">
        <f t="shared" si="103"/>
        <v>2.64E-2</v>
      </c>
      <c r="AY134" s="32">
        <f t="shared" si="104"/>
        <v>1.2059623111022919E-2</v>
      </c>
      <c r="AZ134" s="12"/>
      <c r="BA134" s="12">
        <f t="shared" si="105"/>
        <v>0</v>
      </c>
      <c r="BB134" s="32">
        <f t="shared" si="106"/>
        <v>0</v>
      </c>
      <c r="BC134" s="12"/>
      <c r="BD134" s="12">
        <f t="shared" si="107"/>
        <v>0</v>
      </c>
      <c r="BE134" s="32">
        <f t="shared" si="108"/>
        <v>0</v>
      </c>
      <c r="BF134" s="12"/>
      <c r="BG134" s="12">
        <f t="shared" si="109"/>
        <v>0</v>
      </c>
      <c r="BH134" s="32">
        <f t="shared" si="110"/>
        <v>0</v>
      </c>
      <c r="BI134" s="12"/>
      <c r="BJ134" s="12">
        <f t="shared" si="111"/>
        <v>0</v>
      </c>
      <c r="BK134" s="32">
        <f t="shared" si="112"/>
        <v>0</v>
      </c>
      <c r="BL134" s="12"/>
      <c r="BM134" s="12">
        <f t="shared" si="113"/>
        <v>0</v>
      </c>
      <c r="BN134" s="32">
        <f t="shared" si="114"/>
        <v>0</v>
      </c>
      <c r="BO134" s="12"/>
      <c r="BP134" s="12">
        <f t="shared" si="115"/>
        <v>0</v>
      </c>
      <c r="BQ134" s="32">
        <f t="shared" si="116"/>
        <v>0</v>
      </c>
      <c r="BR134" s="12"/>
      <c r="BS134" s="12">
        <f t="shared" si="117"/>
        <v>0</v>
      </c>
      <c r="BT134" s="32">
        <f t="shared" si="118"/>
        <v>0</v>
      </c>
      <c r="BU134" s="12"/>
      <c r="BV134" s="12">
        <f t="shared" si="119"/>
        <v>0</v>
      </c>
      <c r="BW134" s="32">
        <f t="shared" si="120"/>
        <v>0</v>
      </c>
      <c r="BX134" s="12"/>
      <c r="BY134" s="12">
        <f t="shared" si="121"/>
        <v>0</v>
      </c>
      <c r="BZ134" s="32">
        <f t="shared" si="122"/>
        <v>0</v>
      </c>
      <c r="CA134" s="12"/>
      <c r="CB134" s="12">
        <f t="shared" si="123"/>
        <v>0</v>
      </c>
      <c r="CC134" s="32">
        <f t="shared" si="124"/>
        <v>0</v>
      </c>
      <c r="CD134" s="12"/>
      <c r="CE134" s="12">
        <f t="shared" si="125"/>
        <v>0</v>
      </c>
      <c r="CF134" s="32">
        <f t="shared" si="126"/>
        <v>0</v>
      </c>
      <c r="CG134" s="12"/>
      <c r="CH134" s="12">
        <f t="shared" si="127"/>
        <v>0</v>
      </c>
      <c r="CI134" s="32">
        <f t="shared" si="128"/>
        <v>0</v>
      </c>
      <c r="CJ134" s="12"/>
      <c r="CK134" s="12">
        <f t="shared" si="129"/>
        <v>0</v>
      </c>
      <c r="CL134" s="32">
        <f t="shared" si="130"/>
        <v>0</v>
      </c>
      <c r="CM134" s="12"/>
      <c r="CN134" s="12">
        <f t="shared" si="131"/>
        <v>0</v>
      </c>
      <c r="CO134" s="32">
        <f t="shared" si="132"/>
        <v>0</v>
      </c>
      <c r="CP134" s="12"/>
      <c r="CQ134" s="12">
        <f t="shared" si="133"/>
        <v>0</v>
      </c>
      <c r="CR134" s="32">
        <f t="shared" si="134"/>
        <v>0</v>
      </c>
      <c r="CS134" s="12">
        <v>1.2E-2</v>
      </c>
      <c r="CT134" s="12">
        <f>CS134*D134</f>
        <v>0.15839999999999999</v>
      </c>
      <c r="CU134" s="32">
        <f t="shared" si="140"/>
        <v>0.93389630761802223</v>
      </c>
      <c r="CV134" s="12"/>
      <c r="CW134" s="12">
        <f t="shared" si="141"/>
        <v>0</v>
      </c>
      <c r="CX134" s="32">
        <f t="shared" si="142"/>
        <v>0</v>
      </c>
      <c r="CY134" s="12">
        <v>7.4999999999999997E-3</v>
      </c>
      <c r="CZ134" s="12">
        <f>CY134*D134</f>
        <v>9.8999999999999991E-2</v>
      </c>
      <c r="DA134" s="32">
        <f t="shared" si="144"/>
        <v>0.58368519226126392</v>
      </c>
      <c r="DB134" s="12"/>
      <c r="DC134" s="12">
        <f t="shared" si="145"/>
        <v>0</v>
      </c>
      <c r="DD134" s="32">
        <f t="shared" si="146"/>
        <v>0</v>
      </c>
      <c r="DE134" s="12"/>
      <c r="DF134" s="12">
        <f t="shared" si="147"/>
        <v>0</v>
      </c>
      <c r="DG134" s="32">
        <f t="shared" si="148"/>
        <v>0</v>
      </c>
      <c r="DH134" s="12"/>
      <c r="DI134" s="12">
        <f t="shared" si="153"/>
        <v>0</v>
      </c>
      <c r="DJ134" s="32">
        <f t="shared" si="149"/>
        <v>0</v>
      </c>
      <c r="DK134" s="12"/>
      <c r="DL134" s="12">
        <f t="shared" si="150"/>
        <v>0</v>
      </c>
      <c r="DM134" s="32">
        <f t="shared" si="151"/>
        <v>0</v>
      </c>
    </row>
    <row r="135" spans="1:117" s="6" customFormat="1" ht="22.25" customHeight="1" x14ac:dyDescent="0.35">
      <c r="A135" s="4">
        <v>125</v>
      </c>
      <c r="B135" s="4" t="s">
        <v>301</v>
      </c>
      <c r="C135" s="5" t="s">
        <v>302</v>
      </c>
      <c r="D135" s="7">
        <f t="shared" si="136"/>
        <v>3.637620358422939</v>
      </c>
      <c r="E135" s="7">
        <f>CS2</f>
        <v>3.637620358422939</v>
      </c>
      <c r="F135" s="7">
        <v>1</v>
      </c>
      <c r="G135" s="7">
        <v>1</v>
      </c>
      <c r="H135" s="7">
        <f t="shared" si="137"/>
        <v>0.5456430537634408</v>
      </c>
      <c r="I135" s="9">
        <f t="shared" si="138"/>
        <v>4.1832634121863794</v>
      </c>
      <c r="J135" s="13"/>
      <c r="K135" s="12">
        <f t="shared" si="154"/>
        <v>0</v>
      </c>
      <c r="L135" s="32">
        <f t="shared" si="79"/>
        <v>0</v>
      </c>
      <c r="M135" s="12"/>
      <c r="N135" s="12">
        <f t="shared" si="80"/>
        <v>0</v>
      </c>
      <c r="O135" s="32">
        <f t="shared" si="81"/>
        <v>0</v>
      </c>
      <c r="P135" s="12"/>
      <c r="Q135" s="12">
        <f t="shared" si="152"/>
        <v>0</v>
      </c>
      <c r="R135" s="32">
        <f t="shared" si="82"/>
        <v>0</v>
      </c>
      <c r="S135" s="12"/>
      <c r="T135" s="12">
        <f t="shared" si="83"/>
        <v>0</v>
      </c>
      <c r="U135" s="32">
        <f t="shared" si="84"/>
        <v>0</v>
      </c>
      <c r="V135" s="12"/>
      <c r="W135" s="12">
        <f t="shared" si="85"/>
        <v>0</v>
      </c>
      <c r="X135" s="32">
        <f t="shared" si="86"/>
        <v>0</v>
      </c>
      <c r="Y135" s="12"/>
      <c r="Z135" s="12">
        <f t="shared" si="87"/>
        <v>0</v>
      </c>
      <c r="AA135" s="32">
        <f t="shared" si="88"/>
        <v>0</v>
      </c>
      <c r="AB135" s="12"/>
      <c r="AC135" s="12">
        <f t="shared" si="89"/>
        <v>0</v>
      </c>
      <c r="AD135" s="32">
        <f t="shared" si="90"/>
        <v>0</v>
      </c>
      <c r="AE135" s="12"/>
      <c r="AF135" s="37">
        <f t="shared" si="91"/>
        <v>0</v>
      </c>
      <c r="AG135" s="14">
        <f t="shared" si="92"/>
        <v>0</v>
      </c>
      <c r="AH135" s="12"/>
      <c r="AI135" s="12">
        <f t="shared" si="93"/>
        <v>0</v>
      </c>
      <c r="AJ135" s="32">
        <f t="shared" si="94"/>
        <v>0</v>
      </c>
      <c r="AK135" s="12"/>
      <c r="AL135" s="12">
        <f t="shared" si="95"/>
        <v>0</v>
      </c>
      <c r="AM135" s="32">
        <f t="shared" si="96"/>
        <v>0</v>
      </c>
      <c r="AN135" s="12"/>
      <c r="AO135" s="12">
        <f t="shared" si="97"/>
        <v>0</v>
      </c>
      <c r="AP135" s="32">
        <f t="shared" si="98"/>
        <v>0</v>
      </c>
      <c r="AQ135" s="12"/>
      <c r="AR135" s="12">
        <f t="shared" si="99"/>
        <v>0</v>
      </c>
      <c r="AS135" s="32">
        <f t="shared" si="100"/>
        <v>0</v>
      </c>
      <c r="AT135" s="12"/>
      <c r="AU135" s="12">
        <f t="shared" si="101"/>
        <v>0</v>
      </c>
      <c r="AV135" s="32">
        <f t="shared" si="102"/>
        <v>0</v>
      </c>
      <c r="AW135" s="12"/>
      <c r="AX135" s="12">
        <f t="shared" si="103"/>
        <v>0</v>
      </c>
      <c r="AY135" s="32">
        <f t="shared" si="104"/>
        <v>0</v>
      </c>
      <c r="AZ135" s="12"/>
      <c r="BA135" s="12">
        <f t="shared" si="105"/>
        <v>0</v>
      </c>
      <c r="BB135" s="32">
        <f t="shared" si="106"/>
        <v>0</v>
      </c>
      <c r="BC135" s="12">
        <v>0.1</v>
      </c>
      <c r="BD135" s="12">
        <f t="shared" si="107"/>
        <v>0.36376203584229394</v>
      </c>
      <c r="BE135" s="32">
        <f t="shared" si="108"/>
        <v>0.25192673647519642</v>
      </c>
      <c r="BF135" s="12">
        <v>0.1</v>
      </c>
      <c r="BG135" s="12">
        <f t="shared" si="109"/>
        <v>0.36376203584229394</v>
      </c>
      <c r="BH135" s="32">
        <f t="shared" si="110"/>
        <v>0.11912261480239966</v>
      </c>
      <c r="BI135" s="12"/>
      <c r="BJ135" s="12">
        <f t="shared" si="111"/>
        <v>0</v>
      </c>
      <c r="BK135" s="32">
        <f t="shared" si="112"/>
        <v>0</v>
      </c>
      <c r="BL135" s="12"/>
      <c r="BM135" s="12">
        <f t="shared" si="113"/>
        <v>0</v>
      </c>
      <c r="BN135" s="32">
        <f t="shared" si="114"/>
        <v>0</v>
      </c>
      <c r="BO135" s="12"/>
      <c r="BP135" s="12">
        <f t="shared" si="115"/>
        <v>0</v>
      </c>
      <c r="BQ135" s="32">
        <f t="shared" si="116"/>
        <v>0</v>
      </c>
      <c r="BR135" s="12"/>
      <c r="BS135" s="12">
        <f t="shared" si="117"/>
        <v>0</v>
      </c>
      <c r="BT135" s="32">
        <f t="shared" si="118"/>
        <v>0</v>
      </c>
      <c r="BU135" s="12"/>
      <c r="BV135" s="12">
        <f t="shared" si="119"/>
        <v>0</v>
      </c>
      <c r="BW135" s="32">
        <f t="shared" si="120"/>
        <v>0</v>
      </c>
      <c r="BX135" s="12"/>
      <c r="BY135" s="12">
        <f t="shared" si="121"/>
        <v>0</v>
      </c>
      <c r="BZ135" s="32">
        <f t="shared" si="122"/>
        <v>0</v>
      </c>
      <c r="CA135" s="12"/>
      <c r="CB135" s="12">
        <f t="shared" si="123"/>
        <v>0</v>
      </c>
      <c r="CC135" s="32">
        <f t="shared" si="124"/>
        <v>0</v>
      </c>
      <c r="CD135" s="12"/>
      <c r="CE135" s="12">
        <f t="shared" si="125"/>
        <v>0</v>
      </c>
      <c r="CF135" s="32">
        <f t="shared" si="126"/>
        <v>0</v>
      </c>
      <c r="CG135" s="12"/>
      <c r="CH135" s="12">
        <f t="shared" si="127"/>
        <v>0</v>
      </c>
      <c r="CI135" s="32">
        <f t="shared" si="128"/>
        <v>0</v>
      </c>
      <c r="CJ135" s="12"/>
      <c r="CK135" s="12">
        <f t="shared" si="129"/>
        <v>0</v>
      </c>
      <c r="CL135" s="32">
        <f t="shared" si="130"/>
        <v>0</v>
      </c>
      <c r="CM135" s="12"/>
      <c r="CN135" s="12">
        <f t="shared" si="131"/>
        <v>0</v>
      </c>
      <c r="CO135" s="32">
        <f t="shared" si="132"/>
        <v>0</v>
      </c>
      <c r="CP135" s="12"/>
      <c r="CQ135" s="12">
        <f t="shared" si="133"/>
        <v>0</v>
      </c>
      <c r="CR135" s="32">
        <f t="shared" si="134"/>
        <v>0</v>
      </c>
      <c r="CS135" s="12"/>
      <c r="CT135" s="12">
        <f t="shared" si="139"/>
        <v>0</v>
      </c>
      <c r="CU135" s="32">
        <f t="shared" si="140"/>
        <v>0</v>
      </c>
      <c r="CV135" s="12"/>
      <c r="CW135" s="12">
        <f t="shared" si="141"/>
        <v>0</v>
      </c>
      <c r="CX135" s="32">
        <f t="shared" si="142"/>
        <v>0</v>
      </c>
      <c r="CY135" s="12"/>
      <c r="CZ135" s="12">
        <f t="shared" si="143"/>
        <v>0</v>
      </c>
      <c r="DA135" s="32">
        <f t="shared" si="144"/>
        <v>0</v>
      </c>
      <c r="DB135" s="12"/>
      <c r="DC135" s="12">
        <f t="shared" si="145"/>
        <v>0</v>
      </c>
      <c r="DD135" s="32">
        <f t="shared" si="146"/>
        <v>0</v>
      </c>
      <c r="DE135" s="12"/>
      <c r="DF135" s="12">
        <f t="shared" si="147"/>
        <v>0</v>
      </c>
      <c r="DG135" s="32">
        <f t="shared" si="148"/>
        <v>0</v>
      </c>
      <c r="DH135" s="12"/>
      <c r="DI135" s="12">
        <f t="shared" si="153"/>
        <v>0</v>
      </c>
      <c r="DJ135" s="32">
        <f t="shared" si="149"/>
        <v>0</v>
      </c>
      <c r="DK135" s="12"/>
      <c r="DL135" s="12">
        <f t="shared" si="150"/>
        <v>0</v>
      </c>
      <c r="DM135" s="32">
        <f t="shared" si="151"/>
        <v>0</v>
      </c>
    </row>
    <row r="136" spans="1:117" s="6" customFormat="1" ht="22.25" customHeight="1" x14ac:dyDescent="0.35">
      <c r="A136" s="4">
        <v>130</v>
      </c>
      <c r="B136" s="4" t="s">
        <v>303</v>
      </c>
      <c r="C136" s="4" t="s">
        <v>304</v>
      </c>
      <c r="D136" s="7">
        <v>35</v>
      </c>
      <c r="E136" s="7">
        <v>0</v>
      </c>
      <c r="F136" s="7">
        <v>1</v>
      </c>
      <c r="G136" s="7">
        <v>1</v>
      </c>
      <c r="H136" s="7">
        <f t="shared" ref="H136:H143" si="155">D136*15%</f>
        <v>5.25</v>
      </c>
      <c r="I136" s="9">
        <f t="shared" ref="I136:I143" si="156">H136+D136</f>
        <v>40.25</v>
      </c>
      <c r="J136" s="13"/>
      <c r="K136" s="12">
        <f t="shared" ref="K136:K143" si="157">J136*D136</f>
        <v>0</v>
      </c>
      <c r="L136" s="32">
        <f t="shared" ref="L136:L143" si="158">K136/$J$2</f>
        <v>0</v>
      </c>
      <c r="M136" s="12"/>
      <c r="N136" s="12">
        <f t="shared" ref="N136:N143" si="159">M136*D136</f>
        <v>0</v>
      </c>
      <c r="O136" s="32">
        <f t="shared" ref="O136:O143" si="160">N136/$M$2</f>
        <v>0</v>
      </c>
      <c r="P136" s="12"/>
      <c r="Q136" s="12">
        <f t="shared" si="152"/>
        <v>0</v>
      </c>
      <c r="R136" s="32">
        <f t="shared" ref="R136:R143" si="161">Q136/$P$2</f>
        <v>0</v>
      </c>
      <c r="S136" s="12"/>
      <c r="T136" s="12">
        <f t="shared" ref="T136:T143" si="162">S136*D136</f>
        <v>0</v>
      </c>
      <c r="U136" s="32">
        <f t="shared" ref="U136:U143" si="163">T136/$S$2</f>
        <v>0</v>
      </c>
      <c r="V136" s="12"/>
      <c r="W136" s="12">
        <f t="shared" ref="W136:W143" si="164">V136*D136</f>
        <v>0</v>
      </c>
      <c r="X136" s="32">
        <f t="shared" ref="X136:X143" si="165">W136/$V$2</f>
        <v>0</v>
      </c>
      <c r="Y136" s="12"/>
      <c r="Z136" s="12">
        <f t="shared" ref="Z136:Z143" si="166">Y136*D136</f>
        <v>0</v>
      </c>
      <c r="AA136" s="32">
        <f t="shared" ref="AA136:AA143" si="167">Z136/$Y$2</f>
        <v>0</v>
      </c>
      <c r="AB136" s="12"/>
      <c r="AC136" s="12">
        <f t="shared" ref="AC136:AC143" si="168">AB136*D136</f>
        <v>0</v>
      </c>
      <c r="AD136" s="32">
        <f t="shared" ref="AD136:AD143" si="169">AC136/$AB$2</f>
        <v>0</v>
      </c>
      <c r="AE136" s="12"/>
      <c r="AF136" s="37">
        <f t="shared" ref="AF136:AF143" si="170">AE136*D136</f>
        <v>0</v>
      </c>
      <c r="AG136" s="14">
        <f t="shared" ref="AG136:AG143" si="171">AF136/$AE$2</f>
        <v>0</v>
      </c>
      <c r="AH136" s="12"/>
      <c r="AI136" s="12">
        <f t="shared" ref="AI136:AI143" si="172">AH136*D136</f>
        <v>0</v>
      </c>
      <c r="AJ136" s="32">
        <f t="shared" ref="AJ136:AJ143" si="173">AI136/$AH$2</f>
        <v>0</v>
      </c>
      <c r="AK136" s="12"/>
      <c r="AL136" s="12">
        <f t="shared" ref="AL136:AL143" si="174">AK136*D136</f>
        <v>0</v>
      </c>
      <c r="AM136" s="32">
        <f t="shared" ref="AM136:AM143" si="175">AL136/$AK$2</f>
        <v>0</v>
      </c>
      <c r="AN136" s="12"/>
      <c r="AO136" s="12">
        <f t="shared" ref="AO136:AO143" si="176">AN136*D136</f>
        <v>0</v>
      </c>
      <c r="AP136" s="32">
        <f t="shared" ref="AP136:AP143" si="177">AO136/$AN$2</f>
        <v>0</v>
      </c>
      <c r="AQ136" s="12"/>
      <c r="AR136" s="12">
        <f t="shared" ref="AR136:AR143" si="178">AQ136*D136</f>
        <v>0</v>
      </c>
      <c r="AS136" s="32">
        <f t="shared" ref="AS136:AS143" si="179">AR136/$AQ$2</f>
        <v>0</v>
      </c>
      <c r="AT136" s="12"/>
      <c r="AU136" s="12">
        <f t="shared" ref="AU136:AU143" si="180">D136*AT136</f>
        <v>0</v>
      </c>
      <c r="AV136" s="32">
        <f t="shared" ref="AV136:AV143" si="181">AU136/$AT$2</f>
        <v>0</v>
      </c>
      <c r="AW136" s="12"/>
      <c r="AX136" s="12">
        <f t="shared" ref="AX136:AX143" si="182">D136*AW136</f>
        <v>0</v>
      </c>
      <c r="AY136" s="32">
        <f t="shared" ref="AY136:AY143" si="183">AX136/$AW$2</f>
        <v>0</v>
      </c>
      <c r="AZ136" s="12"/>
      <c r="BA136" s="12">
        <f t="shared" ref="BA136:BA143" si="184">AZ136*D136</f>
        <v>0</v>
      </c>
      <c r="BB136" s="32">
        <f t="shared" ref="BB136:BB143" si="185">BA136/$AZ$2</f>
        <v>0</v>
      </c>
      <c r="BC136" s="12"/>
      <c r="BD136" s="12">
        <f t="shared" ref="BD136:BD143" si="186">D136*BC136</f>
        <v>0</v>
      </c>
      <c r="BE136" s="32">
        <f t="shared" ref="BE136:BE143" si="187">BD136/$BC$2</f>
        <v>0</v>
      </c>
      <c r="BF136" s="12"/>
      <c r="BG136" s="12">
        <f t="shared" ref="BG136:BG143" si="188">D136*BF136</f>
        <v>0</v>
      </c>
      <c r="BH136" s="32">
        <f t="shared" ref="BH136:BH143" si="189">BG136/$BF$2</f>
        <v>0</v>
      </c>
      <c r="BI136" s="12"/>
      <c r="BJ136" s="12">
        <f t="shared" ref="BJ136:BJ143" si="190">BI136*D136</f>
        <v>0</v>
      </c>
      <c r="BK136" s="32">
        <f t="shared" ref="BK136:BK143" si="191">BJ136/$BI$2</f>
        <v>0</v>
      </c>
      <c r="BL136" s="12"/>
      <c r="BM136" s="12">
        <f t="shared" ref="BM136:BM143" si="192">BL136*D136</f>
        <v>0</v>
      </c>
      <c r="BN136" s="32">
        <f t="shared" ref="BN136:BN143" si="193">BM136/$BL$2</f>
        <v>0</v>
      </c>
      <c r="BO136" s="12"/>
      <c r="BP136" s="12">
        <f t="shared" ref="BP136:BP143" si="194">BO136*D136</f>
        <v>0</v>
      </c>
      <c r="BQ136" s="32">
        <f t="shared" ref="BQ136:BQ143" si="195">BP136/$BO$2</f>
        <v>0</v>
      </c>
      <c r="BR136" s="12"/>
      <c r="BS136" s="12">
        <f t="shared" ref="BS136:BS143" si="196">D136*BR136</f>
        <v>0</v>
      </c>
      <c r="BT136" s="32">
        <f t="shared" ref="BT136:BT143" si="197">BS136/$BR$2</f>
        <v>0</v>
      </c>
      <c r="BU136" s="12"/>
      <c r="BV136" s="12">
        <f t="shared" ref="BV136:BV143" si="198">BU136*D136</f>
        <v>0</v>
      </c>
      <c r="BW136" s="32">
        <f t="shared" ref="BW136:BW143" si="199">BV136/$BU$2</f>
        <v>0</v>
      </c>
      <c r="BX136" s="12"/>
      <c r="BY136" s="12">
        <f t="shared" ref="BY136:BY143" si="200">D136*BX136</f>
        <v>0</v>
      </c>
      <c r="BZ136" s="32">
        <f t="shared" ref="BZ136:BZ143" si="201">BY136/$BX$2</f>
        <v>0</v>
      </c>
      <c r="CA136" s="12"/>
      <c r="CB136" s="12">
        <f t="shared" ref="CB136:CB143" si="202">CA136*D136</f>
        <v>0</v>
      </c>
      <c r="CC136" s="32">
        <f t="shared" ref="CC136:CC143" si="203">CB136/$CA$2</f>
        <v>0</v>
      </c>
      <c r="CD136" s="12"/>
      <c r="CE136" s="12">
        <f t="shared" ref="CE136:CE143" si="204">D136*CD136</f>
        <v>0</v>
      </c>
      <c r="CF136" s="32">
        <f t="shared" ref="CF136:CF143" si="205">CE136/$CD$2</f>
        <v>0</v>
      </c>
      <c r="CG136" s="12"/>
      <c r="CH136" s="12">
        <f t="shared" ref="CH136:CH143" si="206">D136*CG136</f>
        <v>0</v>
      </c>
      <c r="CI136" s="32">
        <f t="shared" ref="CI136:CI143" si="207">CH136/$CG$2</f>
        <v>0</v>
      </c>
      <c r="CJ136" s="12"/>
      <c r="CK136" s="12">
        <f t="shared" ref="CK136:CK143" si="208">D136*CJ136</f>
        <v>0</v>
      </c>
      <c r="CL136" s="32">
        <f t="shared" ref="CL136:CL143" si="209">CK136/$CJ$2</f>
        <v>0</v>
      </c>
      <c r="CM136" s="12"/>
      <c r="CN136" s="12">
        <f t="shared" ref="CN136:CN143" si="210">D136*CM136</f>
        <v>0</v>
      </c>
      <c r="CO136" s="32">
        <f t="shared" ref="CO136:CO143" si="211">CN136/$CM$2</f>
        <v>0</v>
      </c>
      <c r="CP136" s="12"/>
      <c r="CQ136" s="12">
        <f t="shared" ref="CQ136:CQ143" si="212">CP136*D136</f>
        <v>0</v>
      </c>
      <c r="CR136" s="32">
        <f t="shared" ref="CR136:CR143" si="213">CQ136/$CP$2</f>
        <v>0</v>
      </c>
      <c r="CS136" s="12"/>
      <c r="CT136" s="12">
        <f t="shared" si="139"/>
        <v>0</v>
      </c>
      <c r="CU136" s="32">
        <f t="shared" si="140"/>
        <v>0</v>
      </c>
      <c r="CV136" s="12"/>
      <c r="CW136" s="12">
        <f t="shared" si="141"/>
        <v>0</v>
      </c>
      <c r="CX136" s="32">
        <f t="shared" si="142"/>
        <v>0</v>
      </c>
      <c r="CY136" s="12"/>
      <c r="CZ136" s="12">
        <f t="shared" si="143"/>
        <v>0</v>
      </c>
      <c r="DA136" s="32">
        <f t="shared" si="144"/>
        <v>0</v>
      </c>
      <c r="DB136" s="12"/>
      <c r="DC136" s="12">
        <f t="shared" si="145"/>
        <v>0</v>
      </c>
      <c r="DD136" s="32">
        <f t="shared" si="146"/>
        <v>0</v>
      </c>
      <c r="DE136" s="12"/>
      <c r="DF136" s="12">
        <f t="shared" si="147"/>
        <v>0</v>
      </c>
      <c r="DG136" s="32">
        <f t="shared" si="148"/>
        <v>0</v>
      </c>
      <c r="DH136" s="12"/>
      <c r="DI136" s="12">
        <f t="shared" si="153"/>
        <v>0</v>
      </c>
      <c r="DJ136" s="32">
        <f t="shared" si="149"/>
        <v>0</v>
      </c>
      <c r="DK136" s="12"/>
      <c r="DL136" s="12">
        <f t="shared" si="150"/>
        <v>0</v>
      </c>
      <c r="DM136" s="32">
        <f t="shared" si="151"/>
        <v>0</v>
      </c>
    </row>
    <row r="137" spans="1:117" s="6" customFormat="1" ht="22.25" customHeight="1" x14ac:dyDescent="0.35">
      <c r="A137" s="4">
        <v>131</v>
      </c>
      <c r="B137" s="4" t="s">
        <v>305</v>
      </c>
      <c r="C137" s="4" t="s">
        <v>306</v>
      </c>
      <c r="D137" s="7">
        <v>47</v>
      </c>
      <c r="E137" s="7">
        <v>47</v>
      </c>
      <c r="F137" s="7">
        <v>1</v>
      </c>
      <c r="G137" s="7">
        <v>1</v>
      </c>
      <c r="H137" s="7">
        <f t="shared" si="155"/>
        <v>7.05</v>
      </c>
      <c r="I137" s="9">
        <f t="shared" si="156"/>
        <v>54.05</v>
      </c>
      <c r="J137" s="13"/>
      <c r="K137" s="12">
        <f t="shared" si="157"/>
        <v>0</v>
      </c>
      <c r="L137" s="32">
        <f t="shared" si="158"/>
        <v>0</v>
      </c>
      <c r="M137" s="12"/>
      <c r="N137" s="12">
        <f t="shared" si="159"/>
        <v>0</v>
      </c>
      <c r="O137" s="32">
        <f t="shared" si="160"/>
        <v>0</v>
      </c>
      <c r="P137" s="12"/>
      <c r="Q137" s="12">
        <f t="shared" si="152"/>
        <v>0</v>
      </c>
      <c r="R137" s="32">
        <f t="shared" si="161"/>
        <v>0</v>
      </c>
      <c r="S137" s="12"/>
      <c r="T137" s="12">
        <f t="shared" si="162"/>
        <v>0</v>
      </c>
      <c r="U137" s="32">
        <f t="shared" si="163"/>
        <v>0</v>
      </c>
      <c r="V137" s="12"/>
      <c r="W137" s="12">
        <f t="shared" si="164"/>
        <v>0</v>
      </c>
      <c r="X137" s="32">
        <f t="shared" si="165"/>
        <v>0</v>
      </c>
      <c r="Y137" s="12"/>
      <c r="Z137" s="12">
        <f t="shared" si="166"/>
        <v>0</v>
      </c>
      <c r="AA137" s="32">
        <f t="shared" si="167"/>
        <v>0</v>
      </c>
      <c r="AB137" s="12"/>
      <c r="AC137" s="12">
        <f t="shared" si="168"/>
        <v>0</v>
      </c>
      <c r="AD137" s="32">
        <f t="shared" si="169"/>
        <v>0</v>
      </c>
      <c r="AE137" s="12"/>
      <c r="AF137" s="37">
        <f t="shared" si="170"/>
        <v>0</v>
      </c>
      <c r="AG137" s="14">
        <f t="shared" si="171"/>
        <v>0</v>
      </c>
      <c r="AH137" s="12"/>
      <c r="AI137" s="12">
        <f t="shared" si="172"/>
        <v>0</v>
      </c>
      <c r="AJ137" s="32">
        <f t="shared" si="173"/>
        <v>0</v>
      </c>
      <c r="AK137" s="12"/>
      <c r="AL137" s="12">
        <f t="shared" si="174"/>
        <v>0</v>
      </c>
      <c r="AM137" s="32">
        <f t="shared" si="175"/>
        <v>0</v>
      </c>
      <c r="AN137" s="12"/>
      <c r="AO137" s="12">
        <f t="shared" si="176"/>
        <v>0</v>
      </c>
      <c r="AP137" s="32">
        <f t="shared" si="177"/>
        <v>0</v>
      </c>
      <c r="AQ137" s="12"/>
      <c r="AR137" s="12">
        <f t="shared" si="178"/>
        <v>0</v>
      </c>
      <c r="AS137" s="32">
        <f t="shared" si="179"/>
        <v>0</v>
      </c>
      <c r="AT137" s="12"/>
      <c r="AU137" s="12">
        <f t="shared" si="180"/>
        <v>0</v>
      </c>
      <c r="AV137" s="32">
        <f t="shared" si="181"/>
        <v>0</v>
      </c>
      <c r="AW137" s="12"/>
      <c r="AX137" s="12">
        <f t="shared" si="182"/>
        <v>0</v>
      </c>
      <c r="AY137" s="32">
        <f t="shared" si="183"/>
        <v>0</v>
      </c>
      <c r="AZ137" s="12"/>
      <c r="BA137" s="12">
        <f t="shared" si="184"/>
        <v>0</v>
      </c>
      <c r="BB137" s="32">
        <f t="shared" si="185"/>
        <v>0</v>
      </c>
      <c r="BC137" s="12"/>
      <c r="BD137" s="12">
        <f t="shared" si="186"/>
        <v>0</v>
      </c>
      <c r="BE137" s="32">
        <f t="shared" si="187"/>
        <v>0</v>
      </c>
      <c r="BF137" s="12"/>
      <c r="BG137" s="12">
        <f t="shared" si="188"/>
        <v>0</v>
      </c>
      <c r="BH137" s="32">
        <f t="shared" si="189"/>
        <v>0</v>
      </c>
      <c r="BI137" s="12"/>
      <c r="BJ137" s="12">
        <f t="shared" si="190"/>
        <v>0</v>
      </c>
      <c r="BK137" s="32">
        <f t="shared" si="191"/>
        <v>0</v>
      </c>
      <c r="BL137" s="12"/>
      <c r="BM137" s="12">
        <f t="shared" si="192"/>
        <v>0</v>
      </c>
      <c r="BN137" s="32">
        <f t="shared" si="193"/>
        <v>0</v>
      </c>
      <c r="BO137" s="12"/>
      <c r="BP137" s="12">
        <f t="shared" si="194"/>
        <v>0</v>
      </c>
      <c r="BQ137" s="32">
        <f t="shared" si="195"/>
        <v>0</v>
      </c>
      <c r="BR137" s="12"/>
      <c r="BS137" s="12">
        <f t="shared" si="196"/>
        <v>0</v>
      </c>
      <c r="BT137" s="32">
        <f t="shared" si="197"/>
        <v>0</v>
      </c>
      <c r="BU137" s="12"/>
      <c r="BV137" s="12">
        <f t="shared" si="198"/>
        <v>0</v>
      </c>
      <c r="BW137" s="32">
        <f t="shared" si="199"/>
        <v>0</v>
      </c>
      <c r="BX137" s="12"/>
      <c r="BY137" s="12">
        <f t="shared" si="200"/>
        <v>0</v>
      </c>
      <c r="BZ137" s="32">
        <f t="shared" si="201"/>
        <v>0</v>
      </c>
      <c r="CA137" s="12"/>
      <c r="CB137" s="12">
        <f t="shared" si="202"/>
        <v>0</v>
      </c>
      <c r="CC137" s="32">
        <f t="shared" si="203"/>
        <v>0</v>
      </c>
      <c r="CD137" s="12"/>
      <c r="CE137" s="12">
        <f t="shared" si="204"/>
        <v>0</v>
      </c>
      <c r="CF137" s="32">
        <f t="shared" si="205"/>
        <v>0</v>
      </c>
      <c r="CG137" s="12"/>
      <c r="CH137" s="12">
        <f t="shared" si="206"/>
        <v>0</v>
      </c>
      <c r="CI137" s="32">
        <f t="shared" si="207"/>
        <v>0</v>
      </c>
      <c r="CJ137" s="12"/>
      <c r="CK137" s="12">
        <f t="shared" si="208"/>
        <v>0</v>
      </c>
      <c r="CL137" s="32">
        <f t="shared" si="209"/>
        <v>0</v>
      </c>
      <c r="CM137" s="12"/>
      <c r="CN137" s="12">
        <f t="shared" si="210"/>
        <v>0</v>
      </c>
      <c r="CO137" s="32">
        <f t="shared" si="211"/>
        <v>0</v>
      </c>
      <c r="CP137" s="12"/>
      <c r="CQ137" s="12">
        <f t="shared" si="212"/>
        <v>0</v>
      </c>
      <c r="CR137" s="32">
        <f t="shared" si="213"/>
        <v>0</v>
      </c>
      <c r="CS137" s="12"/>
      <c r="CT137" s="12">
        <f t="shared" si="139"/>
        <v>0</v>
      </c>
      <c r="CU137" s="32">
        <f t="shared" si="140"/>
        <v>0</v>
      </c>
      <c r="CV137" s="12">
        <v>0.2</v>
      </c>
      <c r="CW137" s="12">
        <f t="shared" si="141"/>
        <v>9.4</v>
      </c>
      <c r="CX137" s="32">
        <f t="shared" si="142"/>
        <v>55.420614214705871</v>
      </c>
      <c r="CY137" s="12"/>
      <c r="CZ137" s="12">
        <f t="shared" si="143"/>
        <v>0</v>
      </c>
      <c r="DA137" s="32">
        <f t="shared" si="144"/>
        <v>0</v>
      </c>
      <c r="DB137" s="12"/>
      <c r="DC137" s="12">
        <f t="shared" si="145"/>
        <v>0</v>
      </c>
      <c r="DD137" s="32">
        <f t="shared" si="146"/>
        <v>0</v>
      </c>
      <c r="DE137" s="12"/>
      <c r="DF137" s="12">
        <f t="shared" si="147"/>
        <v>0</v>
      </c>
      <c r="DG137" s="32">
        <f t="shared" si="148"/>
        <v>0</v>
      </c>
      <c r="DH137" s="12"/>
      <c r="DI137" s="12">
        <f t="shared" si="153"/>
        <v>0</v>
      </c>
      <c r="DJ137" s="32">
        <f t="shared" si="149"/>
        <v>0</v>
      </c>
      <c r="DK137" s="12"/>
      <c r="DL137" s="12">
        <f t="shared" si="150"/>
        <v>0</v>
      </c>
      <c r="DM137" s="32">
        <f t="shared" si="151"/>
        <v>0</v>
      </c>
    </row>
    <row r="138" spans="1:117" s="6" customFormat="1" ht="22.25" customHeight="1" x14ac:dyDescent="0.35">
      <c r="A138" s="4">
        <v>132</v>
      </c>
      <c r="B138" s="5" t="s">
        <v>307</v>
      </c>
      <c r="C138" s="5" t="s">
        <v>308</v>
      </c>
      <c r="D138" s="7">
        <f t="shared" ref="D138:D143" si="214">E138/G138</f>
        <v>5.333333333333333</v>
      </c>
      <c r="E138" s="7">
        <f>80/15</f>
        <v>5.333333333333333</v>
      </c>
      <c r="F138" s="7">
        <v>1</v>
      </c>
      <c r="G138" s="7">
        <v>1</v>
      </c>
      <c r="H138" s="7">
        <f t="shared" si="155"/>
        <v>0.79999999999999993</v>
      </c>
      <c r="I138" s="9">
        <f t="shared" si="156"/>
        <v>6.1333333333333329</v>
      </c>
      <c r="J138" s="13"/>
      <c r="K138" s="12">
        <f t="shared" si="157"/>
        <v>0</v>
      </c>
      <c r="L138" s="32">
        <f t="shared" si="158"/>
        <v>0</v>
      </c>
      <c r="M138" s="12"/>
      <c r="N138" s="12">
        <f t="shared" si="159"/>
        <v>0</v>
      </c>
      <c r="O138" s="32">
        <f t="shared" si="160"/>
        <v>0</v>
      </c>
      <c r="P138" s="12"/>
      <c r="Q138" s="12">
        <f t="shared" si="152"/>
        <v>0</v>
      </c>
      <c r="R138" s="32">
        <f t="shared" si="161"/>
        <v>0</v>
      </c>
      <c r="S138" s="12"/>
      <c r="T138" s="12">
        <f t="shared" si="162"/>
        <v>0</v>
      </c>
      <c r="U138" s="32">
        <f t="shared" si="163"/>
        <v>0</v>
      </c>
      <c r="V138" s="12"/>
      <c r="W138" s="12">
        <f t="shared" si="164"/>
        <v>0</v>
      </c>
      <c r="X138" s="32">
        <f t="shared" si="165"/>
        <v>0</v>
      </c>
      <c r="Y138" s="12"/>
      <c r="Z138" s="12">
        <f t="shared" si="166"/>
        <v>0</v>
      </c>
      <c r="AA138" s="32">
        <f t="shared" si="167"/>
        <v>0</v>
      </c>
      <c r="AB138" s="12"/>
      <c r="AC138" s="12">
        <f t="shared" si="168"/>
        <v>0</v>
      </c>
      <c r="AD138" s="32">
        <f t="shared" si="169"/>
        <v>0</v>
      </c>
      <c r="AE138" s="12"/>
      <c r="AF138" s="37">
        <f t="shared" si="170"/>
        <v>0</v>
      </c>
      <c r="AG138" s="14">
        <f t="shared" si="171"/>
        <v>0</v>
      </c>
      <c r="AH138" s="12"/>
      <c r="AI138" s="12">
        <f t="shared" si="172"/>
        <v>0</v>
      </c>
      <c r="AJ138" s="32">
        <f t="shared" si="173"/>
        <v>0</v>
      </c>
      <c r="AK138" s="12"/>
      <c r="AL138" s="12">
        <f t="shared" si="174"/>
        <v>0</v>
      </c>
      <c r="AM138" s="32">
        <f t="shared" si="175"/>
        <v>0</v>
      </c>
      <c r="AN138" s="12"/>
      <c r="AO138" s="12">
        <f t="shared" si="176"/>
        <v>0</v>
      </c>
      <c r="AP138" s="32">
        <f t="shared" si="177"/>
        <v>0</v>
      </c>
      <c r="AQ138" s="12"/>
      <c r="AR138" s="12">
        <f t="shared" si="178"/>
        <v>0</v>
      </c>
      <c r="AS138" s="32">
        <f t="shared" si="179"/>
        <v>0</v>
      </c>
      <c r="AT138" s="12"/>
      <c r="AU138" s="12">
        <f t="shared" si="180"/>
        <v>0</v>
      </c>
      <c r="AV138" s="32">
        <f t="shared" si="181"/>
        <v>0</v>
      </c>
      <c r="AW138" s="12"/>
      <c r="AX138" s="12">
        <f t="shared" si="182"/>
        <v>0</v>
      </c>
      <c r="AY138" s="32">
        <f t="shared" si="183"/>
        <v>0</v>
      </c>
      <c r="AZ138" s="12"/>
      <c r="BA138" s="12">
        <f t="shared" si="184"/>
        <v>0</v>
      </c>
      <c r="BB138" s="32">
        <f t="shared" si="185"/>
        <v>0</v>
      </c>
      <c r="BC138" s="12"/>
      <c r="BD138" s="12">
        <f t="shared" si="186"/>
        <v>0</v>
      </c>
      <c r="BE138" s="32">
        <f t="shared" si="187"/>
        <v>0</v>
      </c>
      <c r="BF138" s="12"/>
      <c r="BG138" s="12">
        <f t="shared" si="188"/>
        <v>0</v>
      </c>
      <c r="BH138" s="32">
        <f t="shared" si="189"/>
        <v>0</v>
      </c>
      <c r="BI138" s="12"/>
      <c r="BJ138" s="12">
        <f t="shared" si="190"/>
        <v>0</v>
      </c>
      <c r="BK138" s="32">
        <f t="shared" si="191"/>
        <v>0</v>
      </c>
      <c r="BL138" s="12"/>
      <c r="BM138" s="12">
        <f t="shared" si="192"/>
        <v>0</v>
      </c>
      <c r="BN138" s="32">
        <f t="shared" si="193"/>
        <v>0</v>
      </c>
      <c r="BO138" s="12"/>
      <c r="BP138" s="12">
        <f t="shared" si="194"/>
        <v>0</v>
      </c>
      <c r="BQ138" s="32">
        <f t="shared" si="195"/>
        <v>0</v>
      </c>
      <c r="BR138" s="12"/>
      <c r="BS138" s="12">
        <f t="shared" si="196"/>
        <v>0</v>
      </c>
      <c r="BT138" s="32">
        <f t="shared" si="197"/>
        <v>0</v>
      </c>
      <c r="BU138" s="12"/>
      <c r="BV138" s="12">
        <f t="shared" si="198"/>
        <v>0</v>
      </c>
      <c r="BW138" s="32">
        <f t="shared" si="199"/>
        <v>0</v>
      </c>
      <c r="BX138" s="12"/>
      <c r="BY138" s="12">
        <f t="shared" si="200"/>
        <v>0</v>
      </c>
      <c r="BZ138" s="32">
        <f t="shared" si="201"/>
        <v>0</v>
      </c>
      <c r="CA138" s="12"/>
      <c r="CB138" s="12">
        <f t="shared" si="202"/>
        <v>0</v>
      </c>
      <c r="CC138" s="32">
        <f t="shared" si="203"/>
        <v>0</v>
      </c>
      <c r="CD138" s="12"/>
      <c r="CE138" s="12">
        <f t="shared" si="204"/>
        <v>0</v>
      </c>
      <c r="CF138" s="32">
        <f t="shared" si="205"/>
        <v>0</v>
      </c>
      <c r="CG138" s="12"/>
      <c r="CH138" s="12">
        <f t="shared" si="206"/>
        <v>0</v>
      </c>
      <c r="CI138" s="32">
        <f t="shared" si="207"/>
        <v>0</v>
      </c>
      <c r="CJ138" s="12"/>
      <c r="CK138" s="12">
        <f t="shared" si="208"/>
        <v>0</v>
      </c>
      <c r="CL138" s="32">
        <f t="shared" si="209"/>
        <v>0</v>
      </c>
      <c r="CM138" s="12"/>
      <c r="CN138" s="12">
        <f t="shared" si="210"/>
        <v>0</v>
      </c>
      <c r="CO138" s="32">
        <f t="shared" si="211"/>
        <v>0</v>
      </c>
      <c r="CP138" s="12"/>
      <c r="CQ138" s="12">
        <f t="shared" si="212"/>
        <v>0</v>
      </c>
      <c r="CR138" s="32">
        <f t="shared" si="213"/>
        <v>0</v>
      </c>
      <c r="CS138" s="12"/>
      <c r="CT138" s="12">
        <f t="shared" ref="CT138:CT143" si="215">CS138*G138</f>
        <v>0</v>
      </c>
      <c r="CU138" s="32">
        <f t="shared" ref="CU138:CU143" si="216">CT138/$CP$2</f>
        <v>0</v>
      </c>
      <c r="CV138" s="12"/>
      <c r="CW138" s="12">
        <f t="shared" ref="CW138:CW143" si="217">CV138*D138</f>
        <v>0</v>
      </c>
      <c r="CX138" s="32">
        <f t="shared" ref="CX138:CX143" si="218">CW138/$CP$2</f>
        <v>0</v>
      </c>
      <c r="CY138" s="12">
        <v>0.5</v>
      </c>
      <c r="CZ138" s="12">
        <f>CY138*D138</f>
        <v>2.6666666666666665</v>
      </c>
      <c r="DA138" s="32">
        <f t="shared" ref="DA138:DA143" si="219">CZ138/$CP$2</f>
        <v>15.722160060909465</v>
      </c>
      <c r="DB138" s="12"/>
      <c r="DC138" s="12">
        <f>DB138*P138</f>
        <v>0</v>
      </c>
      <c r="DD138" s="32">
        <f t="shared" ref="DD138:DD143" si="220">DC138/$CP$2</f>
        <v>0</v>
      </c>
      <c r="DE138" s="12"/>
      <c r="DF138" s="12">
        <f t="shared" ref="DF138:DF143" si="221">DE138*D138</f>
        <v>0</v>
      </c>
      <c r="DG138" s="32">
        <f t="shared" ref="DG138:DG143" si="222">DF138/$CP$2</f>
        <v>0</v>
      </c>
      <c r="DH138" s="12"/>
      <c r="DI138" s="12">
        <f t="shared" ref="DI138:DI143" si="223">DH138*D138</f>
        <v>0</v>
      </c>
      <c r="DJ138" s="32">
        <f t="shared" ref="DJ138:DJ143" si="224">DI138/$CP$2</f>
        <v>0</v>
      </c>
      <c r="DK138" s="12"/>
      <c r="DL138" s="12">
        <f t="shared" si="150"/>
        <v>0</v>
      </c>
      <c r="DM138" s="32">
        <f t="shared" ref="DM138:DM143" si="225">DL138/$CP$2</f>
        <v>0</v>
      </c>
    </row>
    <row r="139" spans="1:117" s="6" customFormat="1" ht="22.25" customHeight="1" x14ac:dyDescent="0.35">
      <c r="A139" s="4">
        <v>133</v>
      </c>
      <c r="B139" s="5" t="s">
        <v>309</v>
      </c>
      <c r="C139" s="5" t="s">
        <v>310</v>
      </c>
      <c r="D139" s="7">
        <f t="shared" si="214"/>
        <v>5.5</v>
      </c>
      <c r="E139" s="7">
        <v>5.5</v>
      </c>
      <c r="F139" s="7">
        <v>1</v>
      </c>
      <c r="G139" s="7">
        <v>1</v>
      </c>
      <c r="H139" s="7">
        <f t="shared" si="155"/>
        <v>0.82499999999999996</v>
      </c>
      <c r="I139" s="9">
        <f t="shared" si="156"/>
        <v>6.3250000000000002</v>
      </c>
      <c r="J139" s="13"/>
      <c r="K139" s="12">
        <f t="shared" si="157"/>
        <v>0</v>
      </c>
      <c r="L139" s="32">
        <f t="shared" si="158"/>
        <v>0</v>
      </c>
      <c r="M139" s="12"/>
      <c r="N139" s="12">
        <f t="shared" si="159"/>
        <v>0</v>
      </c>
      <c r="O139" s="32">
        <f t="shared" si="160"/>
        <v>0</v>
      </c>
      <c r="P139" s="12"/>
      <c r="Q139" s="12">
        <f t="shared" si="152"/>
        <v>0</v>
      </c>
      <c r="R139" s="32">
        <f t="shared" si="161"/>
        <v>0</v>
      </c>
      <c r="S139" s="12"/>
      <c r="T139" s="12">
        <f t="shared" si="162"/>
        <v>0</v>
      </c>
      <c r="U139" s="32">
        <f t="shared" si="163"/>
        <v>0</v>
      </c>
      <c r="V139" s="12"/>
      <c r="W139" s="12">
        <f t="shared" si="164"/>
        <v>0</v>
      </c>
      <c r="X139" s="32">
        <f t="shared" si="165"/>
        <v>0</v>
      </c>
      <c r="Y139" s="12"/>
      <c r="Z139" s="12">
        <f t="shared" si="166"/>
        <v>0</v>
      </c>
      <c r="AA139" s="32">
        <f t="shared" si="167"/>
        <v>0</v>
      </c>
      <c r="AB139" s="12"/>
      <c r="AC139" s="12">
        <f t="shared" si="168"/>
        <v>0</v>
      </c>
      <c r="AD139" s="32">
        <f t="shared" si="169"/>
        <v>0</v>
      </c>
      <c r="AE139" s="12"/>
      <c r="AF139" s="37">
        <f t="shared" si="170"/>
        <v>0</v>
      </c>
      <c r="AG139" s="14">
        <f t="shared" si="171"/>
        <v>0</v>
      </c>
      <c r="AH139" s="12"/>
      <c r="AI139" s="12">
        <f t="shared" si="172"/>
        <v>0</v>
      </c>
      <c r="AJ139" s="32">
        <f t="shared" si="173"/>
        <v>0</v>
      </c>
      <c r="AK139" s="12"/>
      <c r="AL139" s="12">
        <f t="shared" si="174"/>
        <v>0</v>
      </c>
      <c r="AM139" s="32">
        <f t="shared" si="175"/>
        <v>0</v>
      </c>
      <c r="AN139" s="12"/>
      <c r="AO139" s="12">
        <f t="shared" si="176"/>
        <v>0</v>
      </c>
      <c r="AP139" s="32">
        <f t="shared" si="177"/>
        <v>0</v>
      </c>
      <c r="AQ139" s="12"/>
      <c r="AR139" s="12">
        <f t="shared" si="178"/>
        <v>0</v>
      </c>
      <c r="AS139" s="32">
        <f t="shared" si="179"/>
        <v>0</v>
      </c>
      <c r="AT139" s="12"/>
      <c r="AU139" s="12">
        <f t="shared" si="180"/>
        <v>0</v>
      </c>
      <c r="AV139" s="32">
        <f t="shared" si="181"/>
        <v>0</v>
      </c>
      <c r="AW139" s="12"/>
      <c r="AX139" s="12">
        <f t="shared" si="182"/>
        <v>0</v>
      </c>
      <c r="AY139" s="32">
        <f t="shared" si="183"/>
        <v>0</v>
      </c>
      <c r="AZ139" s="12"/>
      <c r="BA139" s="12">
        <f t="shared" si="184"/>
        <v>0</v>
      </c>
      <c r="BB139" s="32">
        <f t="shared" si="185"/>
        <v>0</v>
      </c>
      <c r="BC139" s="12"/>
      <c r="BD139" s="12">
        <f t="shared" si="186"/>
        <v>0</v>
      </c>
      <c r="BE139" s="32">
        <f t="shared" si="187"/>
        <v>0</v>
      </c>
      <c r="BF139" s="12"/>
      <c r="BG139" s="12">
        <f t="shared" si="188"/>
        <v>0</v>
      </c>
      <c r="BH139" s="32">
        <f t="shared" si="189"/>
        <v>0</v>
      </c>
      <c r="BI139" s="12"/>
      <c r="BJ139" s="12">
        <f t="shared" si="190"/>
        <v>0</v>
      </c>
      <c r="BK139" s="32">
        <f t="shared" si="191"/>
        <v>0</v>
      </c>
      <c r="BL139" s="12"/>
      <c r="BM139" s="12">
        <f t="shared" si="192"/>
        <v>0</v>
      </c>
      <c r="BN139" s="32">
        <f t="shared" si="193"/>
        <v>0</v>
      </c>
      <c r="BO139" s="12"/>
      <c r="BP139" s="12">
        <f t="shared" si="194"/>
        <v>0</v>
      </c>
      <c r="BQ139" s="32">
        <f t="shared" si="195"/>
        <v>0</v>
      </c>
      <c r="BR139" s="12"/>
      <c r="BS139" s="12">
        <f t="shared" si="196"/>
        <v>0</v>
      </c>
      <c r="BT139" s="32">
        <f t="shared" si="197"/>
        <v>0</v>
      </c>
      <c r="BU139" s="12"/>
      <c r="BV139" s="12">
        <f t="shared" si="198"/>
        <v>0</v>
      </c>
      <c r="BW139" s="32">
        <f t="shared" si="199"/>
        <v>0</v>
      </c>
      <c r="BX139" s="12"/>
      <c r="BY139" s="12">
        <f t="shared" si="200"/>
        <v>0</v>
      </c>
      <c r="BZ139" s="32">
        <f t="shared" si="201"/>
        <v>0</v>
      </c>
      <c r="CA139" s="12"/>
      <c r="CB139" s="12">
        <f t="shared" si="202"/>
        <v>0</v>
      </c>
      <c r="CC139" s="32">
        <f t="shared" si="203"/>
        <v>0</v>
      </c>
      <c r="CD139" s="12"/>
      <c r="CE139" s="12">
        <f t="shared" si="204"/>
        <v>0</v>
      </c>
      <c r="CF139" s="32">
        <f t="shared" si="205"/>
        <v>0</v>
      </c>
      <c r="CG139" s="12"/>
      <c r="CH139" s="12">
        <f t="shared" si="206"/>
        <v>0</v>
      </c>
      <c r="CI139" s="32">
        <f t="shared" si="207"/>
        <v>0</v>
      </c>
      <c r="CJ139" s="12"/>
      <c r="CK139" s="12">
        <f t="shared" si="208"/>
        <v>0</v>
      </c>
      <c r="CL139" s="32">
        <f t="shared" si="209"/>
        <v>0</v>
      </c>
      <c r="CM139" s="12"/>
      <c r="CN139" s="12">
        <f t="shared" si="210"/>
        <v>0</v>
      </c>
      <c r="CO139" s="32">
        <f t="shared" si="211"/>
        <v>0</v>
      </c>
      <c r="CP139" s="12"/>
      <c r="CQ139" s="12">
        <f t="shared" si="212"/>
        <v>0</v>
      </c>
      <c r="CR139" s="32">
        <f t="shared" si="213"/>
        <v>0</v>
      </c>
      <c r="CS139" s="12"/>
      <c r="CT139" s="12">
        <f t="shared" si="215"/>
        <v>0</v>
      </c>
      <c r="CU139" s="32">
        <f t="shared" si="216"/>
        <v>0</v>
      </c>
      <c r="CV139" s="12"/>
      <c r="CW139" s="12">
        <f t="shared" si="217"/>
        <v>0</v>
      </c>
      <c r="CX139" s="32">
        <f t="shared" si="218"/>
        <v>0</v>
      </c>
      <c r="CY139" s="12"/>
      <c r="CZ139" s="12">
        <f>CY139*M139</f>
        <v>0</v>
      </c>
      <c r="DA139" s="32">
        <f t="shared" si="219"/>
        <v>0</v>
      </c>
      <c r="DB139" s="12"/>
      <c r="DC139" s="12">
        <f>DB139*D139</f>
        <v>0</v>
      </c>
      <c r="DD139" s="32">
        <f t="shared" si="220"/>
        <v>0</v>
      </c>
      <c r="DE139" s="12"/>
      <c r="DF139" s="12">
        <f t="shared" si="221"/>
        <v>0</v>
      </c>
      <c r="DG139" s="32">
        <f t="shared" si="222"/>
        <v>0</v>
      </c>
      <c r="DH139" s="12"/>
      <c r="DI139" s="12">
        <f t="shared" si="223"/>
        <v>0</v>
      </c>
      <c r="DJ139" s="32">
        <f t="shared" si="224"/>
        <v>0</v>
      </c>
      <c r="DK139" s="12"/>
      <c r="DL139" s="12">
        <f>DK139*D139</f>
        <v>0</v>
      </c>
      <c r="DM139" s="32">
        <f t="shared" si="225"/>
        <v>0</v>
      </c>
    </row>
    <row r="140" spans="1:117" s="6" customFormat="1" ht="22.25" customHeight="1" x14ac:dyDescent="0.35">
      <c r="A140" s="4">
        <v>134</v>
      </c>
      <c r="B140" s="5" t="s">
        <v>311</v>
      </c>
      <c r="C140" s="5" t="s">
        <v>312</v>
      </c>
      <c r="D140" s="7">
        <f t="shared" si="214"/>
        <v>0.35555555555555557</v>
      </c>
      <c r="E140" s="7">
        <f>160/450</f>
        <v>0.35555555555555557</v>
      </c>
      <c r="F140" s="7">
        <v>1</v>
      </c>
      <c r="G140" s="7">
        <v>1</v>
      </c>
      <c r="H140" s="7">
        <f t="shared" si="155"/>
        <v>5.3333333333333337E-2</v>
      </c>
      <c r="I140" s="9">
        <f t="shared" si="156"/>
        <v>0.40888888888888891</v>
      </c>
      <c r="J140" s="13"/>
      <c r="K140" s="12">
        <f t="shared" si="157"/>
        <v>0</v>
      </c>
      <c r="L140" s="32">
        <f t="shared" si="158"/>
        <v>0</v>
      </c>
      <c r="M140" s="12"/>
      <c r="N140" s="12">
        <f t="shared" si="159"/>
        <v>0</v>
      </c>
      <c r="O140" s="32">
        <f t="shared" si="160"/>
        <v>0</v>
      </c>
      <c r="P140" s="12"/>
      <c r="Q140" s="12">
        <f>P140*D140</f>
        <v>0</v>
      </c>
      <c r="R140" s="32">
        <f t="shared" si="161"/>
        <v>0</v>
      </c>
      <c r="S140" s="12"/>
      <c r="T140" s="12">
        <f t="shared" si="162"/>
        <v>0</v>
      </c>
      <c r="U140" s="32">
        <f t="shared" si="163"/>
        <v>0</v>
      </c>
      <c r="V140" s="12"/>
      <c r="W140" s="12">
        <f t="shared" si="164"/>
        <v>0</v>
      </c>
      <c r="X140" s="32">
        <f t="shared" si="165"/>
        <v>0</v>
      </c>
      <c r="Y140" s="12"/>
      <c r="Z140" s="12">
        <f t="shared" si="166"/>
        <v>0</v>
      </c>
      <c r="AA140" s="32">
        <f t="shared" si="167"/>
        <v>0</v>
      </c>
      <c r="AB140" s="12"/>
      <c r="AC140" s="12">
        <f t="shared" si="168"/>
        <v>0</v>
      </c>
      <c r="AD140" s="32">
        <f t="shared" si="169"/>
        <v>0</v>
      </c>
      <c r="AE140" s="12"/>
      <c r="AF140" s="37">
        <f t="shared" si="170"/>
        <v>0</v>
      </c>
      <c r="AG140" s="14">
        <f t="shared" si="171"/>
        <v>0</v>
      </c>
      <c r="AH140" s="12"/>
      <c r="AI140" s="12">
        <f t="shared" si="172"/>
        <v>0</v>
      </c>
      <c r="AJ140" s="32">
        <f t="shared" si="173"/>
        <v>0</v>
      </c>
      <c r="AK140" s="12"/>
      <c r="AL140" s="12">
        <f t="shared" si="174"/>
        <v>0</v>
      </c>
      <c r="AM140" s="32">
        <f t="shared" si="175"/>
        <v>0</v>
      </c>
      <c r="AN140" s="12"/>
      <c r="AO140" s="12">
        <f t="shared" si="176"/>
        <v>0</v>
      </c>
      <c r="AP140" s="32">
        <f t="shared" si="177"/>
        <v>0</v>
      </c>
      <c r="AQ140" s="12"/>
      <c r="AR140" s="12">
        <f t="shared" si="178"/>
        <v>0</v>
      </c>
      <c r="AS140" s="32">
        <f t="shared" si="179"/>
        <v>0</v>
      </c>
      <c r="AT140" s="12"/>
      <c r="AU140" s="12">
        <f t="shared" si="180"/>
        <v>0</v>
      </c>
      <c r="AV140" s="32">
        <f t="shared" si="181"/>
        <v>0</v>
      </c>
      <c r="AW140" s="12"/>
      <c r="AX140" s="12">
        <f t="shared" si="182"/>
        <v>0</v>
      </c>
      <c r="AY140" s="32">
        <f t="shared" si="183"/>
        <v>0</v>
      </c>
      <c r="AZ140" s="12"/>
      <c r="BA140" s="12">
        <f t="shared" si="184"/>
        <v>0</v>
      </c>
      <c r="BB140" s="32">
        <f t="shared" si="185"/>
        <v>0</v>
      </c>
      <c r="BC140" s="12"/>
      <c r="BD140" s="12">
        <f t="shared" si="186"/>
        <v>0</v>
      </c>
      <c r="BE140" s="32">
        <f t="shared" si="187"/>
        <v>0</v>
      </c>
      <c r="BF140" s="12"/>
      <c r="BG140" s="12">
        <f t="shared" si="188"/>
        <v>0</v>
      </c>
      <c r="BH140" s="32">
        <f t="shared" si="189"/>
        <v>0</v>
      </c>
      <c r="BI140" s="12"/>
      <c r="BJ140" s="12">
        <f t="shared" si="190"/>
        <v>0</v>
      </c>
      <c r="BK140" s="32">
        <f t="shared" si="191"/>
        <v>0</v>
      </c>
      <c r="BL140" s="12"/>
      <c r="BM140" s="12">
        <f t="shared" si="192"/>
        <v>0</v>
      </c>
      <c r="BN140" s="32">
        <f t="shared" si="193"/>
        <v>0</v>
      </c>
      <c r="BO140" s="12"/>
      <c r="BP140" s="12">
        <f t="shared" si="194"/>
        <v>0</v>
      </c>
      <c r="BQ140" s="32">
        <f t="shared" si="195"/>
        <v>0</v>
      </c>
      <c r="BR140" s="12"/>
      <c r="BS140" s="12">
        <f t="shared" si="196"/>
        <v>0</v>
      </c>
      <c r="BT140" s="32">
        <f t="shared" si="197"/>
        <v>0</v>
      </c>
      <c r="BU140" s="12"/>
      <c r="BV140" s="12">
        <f t="shared" si="198"/>
        <v>0</v>
      </c>
      <c r="BW140" s="32">
        <f t="shared" si="199"/>
        <v>0</v>
      </c>
      <c r="BX140" s="12"/>
      <c r="BY140" s="12">
        <f t="shared" si="200"/>
        <v>0</v>
      </c>
      <c r="BZ140" s="32">
        <f t="shared" si="201"/>
        <v>0</v>
      </c>
      <c r="CA140" s="12"/>
      <c r="CB140" s="12">
        <f t="shared" si="202"/>
        <v>0</v>
      </c>
      <c r="CC140" s="32">
        <f t="shared" si="203"/>
        <v>0</v>
      </c>
      <c r="CD140" s="12"/>
      <c r="CE140" s="12">
        <f t="shared" si="204"/>
        <v>0</v>
      </c>
      <c r="CF140" s="32">
        <f t="shared" si="205"/>
        <v>0</v>
      </c>
      <c r="CG140" s="12"/>
      <c r="CH140" s="12">
        <f t="shared" si="206"/>
        <v>0</v>
      </c>
      <c r="CI140" s="32">
        <f t="shared" si="207"/>
        <v>0</v>
      </c>
      <c r="CJ140" s="12"/>
      <c r="CK140" s="12">
        <f t="shared" si="208"/>
        <v>0</v>
      </c>
      <c r="CL140" s="32">
        <f t="shared" si="209"/>
        <v>0</v>
      </c>
      <c r="CM140" s="12"/>
      <c r="CN140" s="12">
        <f t="shared" si="210"/>
        <v>0</v>
      </c>
      <c r="CO140" s="32">
        <f t="shared" si="211"/>
        <v>0</v>
      </c>
      <c r="CP140" s="12"/>
      <c r="CQ140" s="12">
        <f t="shared" si="212"/>
        <v>0</v>
      </c>
      <c r="CR140" s="32">
        <f t="shared" si="213"/>
        <v>0</v>
      </c>
      <c r="CS140" s="12"/>
      <c r="CT140" s="12">
        <f t="shared" si="215"/>
        <v>0</v>
      </c>
      <c r="CU140" s="32">
        <f t="shared" si="216"/>
        <v>0</v>
      </c>
      <c r="CV140" s="12"/>
      <c r="CW140" s="12">
        <f t="shared" si="217"/>
        <v>0</v>
      </c>
      <c r="CX140" s="32">
        <f t="shared" si="218"/>
        <v>0</v>
      </c>
      <c r="CY140" s="12"/>
      <c r="CZ140" s="12">
        <f>CY140*M140</f>
        <v>0</v>
      </c>
      <c r="DA140" s="32">
        <f t="shared" si="219"/>
        <v>0</v>
      </c>
      <c r="DB140" s="12"/>
      <c r="DC140" s="12">
        <f>DB140*D140</f>
        <v>0</v>
      </c>
      <c r="DD140" s="32">
        <f t="shared" si="220"/>
        <v>0</v>
      </c>
      <c r="DE140" s="12"/>
      <c r="DF140" s="12">
        <f t="shared" si="221"/>
        <v>0</v>
      </c>
      <c r="DG140" s="32">
        <f t="shared" si="222"/>
        <v>0</v>
      </c>
      <c r="DH140" s="12"/>
      <c r="DI140" s="12">
        <f t="shared" si="223"/>
        <v>0</v>
      </c>
      <c r="DJ140" s="32">
        <f t="shared" si="224"/>
        <v>0</v>
      </c>
      <c r="DK140" s="12"/>
      <c r="DL140" s="12">
        <f>DK140*D140</f>
        <v>0</v>
      </c>
      <c r="DM140" s="32">
        <f t="shared" si="225"/>
        <v>0</v>
      </c>
    </row>
    <row r="141" spans="1:117" s="6" customFormat="1" ht="22.25" customHeight="1" x14ac:dyDescent="0.35">
      <c r="A141" s="4">
        <v>135</v>
      </c>
      <c r="B141" s="5" t="s">
        <v>313</v>
      </c>
      <c r="C141" s="5" t="s">
        <v>40</v>
      </c>
      <c r="D141" s="7">
        <f t="shared" si="214"/>
        <v>0.21</v>
      </c>
      <c r="E141" s="7">
        <v>0.21</v>
      </c>
      <c r="F141" s="7">
        <v>1</v>
      </c>
      <c r="G141" s="7">
        <v>1</v>
      </c>
      <c r="H141" s="7">
        <f t="shared" si="155"/>
        <v>3.15E-2</v>
      </c>
      <c r="I141" s="9">
        <f t="shared" si="156"/>
        <v>0.24149999999999999</v>
      </c>
      <c r="J141" s="13"/>
      <c r="K141" s="12">
        <f t="shared" si="157"/>
        <v>0</v>
      </c>
      <c r="L141" s="32">
        <f t="shared" si="158"/>
        <v>0</v>
      </c>
      <c r="M141" s="12"/>
      <c r="N141" s="12">
        <f t="shared" si="159"/>
        <v>0</v>
      </c>
      <c r="O141" s="32">
        <f t="shared" si="160"/>
        <v>0</v>
      </c>
      <c r="P141" s="12"/>
      <c r="Q141" s="12">
        <f>P141*D141</f>
        <v>0</v>
      </c>
      <c r="R141" s="32">
        <f t="shared" si="161"/>
        <v>0</v>
      </c>
      <c r="S141" s="12"/>
      <c r="T141" s="12">
        <f t="shared" si="162"/>
        <v>0</v>
      </c>
      <c r="U141" s="32">
        <f t="shared" si="163"/>
        <v>0</v>
      </c>
      <c r="V141" s="12"/>
      <c r="W141" s="12">
        <f t="shared" si="164"/>
        <v>0</v>
      </c>
      <c r="X141" s="32">
        <f t="shared" si="165"/>
        <v>0</v>
      </c>
      <c r="Y141" s="12"/>
      <c r="Z141" s="12">
        <f t="shared" si="166"/>
        <v>0</v>
      </c>
      <c r="AA141" s="32">
        <f t="shared" si="167"/>
        <v>0</v>
      </c>
      <c r="AB141" s="12"/>
      <c r="AC141" s="12">
        <f t="shared" si="168"/>
        <v>0</v>
      </c>
      <c r="AD141" s="32">
        <f t="shared" si="169"/>
        <v>0</v>
      </c>
      <c r="AE141" s="12"/>
      <c r="AF141" s="37">
        <f t="shared" si="170"/>
        <v>0</v>
      </c>
      <c r="AG141" s="14">
        <f t="shared" si="171"/>
        <v>0</v>
      </c>
      <c r="AH141" s="12"/>
      <c r="AI141" s="12">
        <f t="shared" si="172"/>
        <v>0</v>
      </c>
      <c r="AJ141" s="32">
        <f t="shared" si="173"/>
        <v>0</v>
      </c>
      <c r="AK141" s="12"/>
      <c r="AL141" s="12">
        <f t="shared" si="174"/>
        <v>0</v>
      </c>
      <c r="AM141" s="32">
        <f t="shared" si="175"/>
        <v>0</v>
      </c>
      <c r="AN141" s="12"/>
      <c r="AO141" s="12">
        <f t="shared" si="176"/>
        <v>0</v>
      </c>
      <c r="AP141" s="32">
        <f t="shared" si="177"/>
        <v>0</v>
      </c>
      <c r="AQ141" s="12"/>
      <c r="AR141" s="12">
        <f t="shared" si="178"/>
        <v>0</v>
      </c>
      <c r="AS141" s="32">
        <f t="shared" si="179"/>
        <v>0</v>
      </c>
      <c r="AT141" s="12"/>
      <c r="AU141" s="12">
        <f t="shared" si="180"/>
        <v>0</v>
      </c>
      <c r="AV141" s="32">
        <f t="shared" si="181"/>
        <v>0</v>
      </c>
      <c r="AW141" s="12"/>
      <c r="AX141" s="12">
        <f t="shared" si="182"/>
        <v>0</v>
      </c>
      <c r="AY141" s="32">
        <f t="shared" si="183"/>
        <v>0</v>
      </c>
      <c r="AZ141" s="12"/>
      <c r="BA141" s="12">
        <f t="shared" si="184"/>
        <v>0</v>
      </c>
      <c r="BB141" s="32">
        <f t="shared" si="185"/>
        <v>0</v>
      </c>
      <c r="BC141" s="12"/>
      <c r="BD141" s="12">
        <f t="shared" si="186"/>
        <v>0</v>
      </c>
      <c r="BE141" s="32">
        <f t="shared" si="187"/>
        <v>0</v>
      </c>
      <c r="BF141" s="12"/>
      <c r="BG141" s="12">
        <f t="shared" si="188"/>
        <v>0</v>
      </c>
      <c r="BH141" s="32">
        <f t="shared" si="189"/>
        <v>0</v>
      </c>
      <c r="BI141" s="12"/>
      <c r="BJ141" s="12">
        <f t="shared" si="190"/>
        <v>0</v>
      </c>
      <c r="BK141" s="32">
        <f t="shared" si="191"/>
        <v>0</v>
      </c>
      <c r="BL141" s="12"/>
      <c r="BM141" s="12">
        <f t="shared" si="192"/>
        <v>0</v>
      </c>
      <c r="BN141" s="32">
        <f t="shared" si="193"/>
        <v>0</v>
      </c>
      <c r="BO141" s="12"/>
      <c r="BP141" s="12">
        <f t="shared" si="194"/>
        <v>0</v>
      </c>
      <c r="BQ141" s="32">
        <f t="shared" si="195"/>
        <v>0</v>
      </c>
      <c r="BR141" s="12"/>
      <c r="BS141" s="12">
        <f t="shared" si="196"/>
        <v>0</v>
      </c>
      <c r="BT141" s="32">
        <f t="shared" si="197"/>
        <v>0</v>
      </c>
      <c r="BU141" s="12"/>
      <c r="BV141" s="12">
        <f t="shared" si="198"/>
        <v>0</v>
      </c>
      <c r="BW141" s="32">
        <f t="shared" si="199"/>
        <v>0</v>
      </c>
      <c r="BX141" s="12"/>
      <c r="BY141" s="12">
        <f t="shared" si="200"/>
        <v>0</v>
      </c>
      <c r="BZ141" s="32">
        <f t="shared" si="201"/>
        <v>0</v>
      </c>
      <c r="CA141" s="12"/>
      <c r="CB141" s="12">
        <f t="shared" si="202"/>
        <v>0</v>
      </c>
      <c r="CC141" s="32">
        <f t="shared" si="203"/>
        <v>0</v>
      </c>
      <c r="CD141" s="12"/>
      <c r="CE141" s="12">
        <f t="shared" si="204"/>
        <v>0</v>
      </c>
      <c r="CF141" s="32">
        <f t="shared" si="205"/>
        <v>0</v>
      </c>
      <c r="CG141" s="12"/>
      <c r="CH141" s="12">
        <f t="shared" si="206"/>
        <v>0</v>
      </c>
      <c r="CI141" s="32">
        <f t="shared" si="207"/>
        <v>0</v>
      </c>
      <c r="CJ141" s="12"/>
      <c r="CK141" s="12">
        <f t="shared" si="208"/>
        <v>0</v>
      </c>
      <c r="CL141" s="32">
        <f t="shared" si="209"/>
        <v>0</v>
      </c>
      <c r="CM141" s="12"/>
      <c r="CN141" s="12">
        <f t="shared" si="210"/>
        <v>0</v>
      </c>
      <c r="CO141" s="32">
        <f t="shared" si="211"/>
        <v>0</v>
      </c>
      <c r="CP141" s="12"/>
      <c r="CQ141" s="12">
        <f t="shared" si="212"/>
        <v>0</v>
      </c>
      <c r="CR141" s="32">
        <f t="shared" si="213"/>
        <v>0</v>
      </c>
      <c r="CS141" s="12"/>
      <c r="CT141" s="12">
        <f t="shared" si="215"/>
        <v>0</v>
      </c>
      <c r="CU141" s="32">
        <f t="shared" si="216"/>
        <v>0</v>
      </c>
      <c r="CV141" s="12"/>
      <c r="CW141" s="12">
        <f t="shared" si="217"/>
        <v>0</v>
      </c>
      <c r="CX141" s="32">
        <f t="shared" si="218"/>
        <v>0</v>
      </c>
      <c r="CY141" s="12"/>
      <c r="CZ141" s="12">
        <f>CY141*M141</f>
        <v>0</v>
      </c>
      <c r="DA141" s="32">
        <f t="shared" si="219"/>
        <v>0</v>
      </c>
      <c r="DB141" s="12"/>
      <c r="DC141" s="12">
        <f>DB141*D141</f>
        <v>0</v>
      </c>
      <c r="DD141" s="32">
        <f t="shared" si="220"/>
        <v>0</v>
      </c>
      <c r="DE141" s="12"/>
      <c r="DF141" s="12">
        <f t="shared" si="221"/>
        <v>0</v>
      </c>
      <c r="DG141" s="32">
        <f t="shared" si="222"/>
        <v>0</v>
      </c>
      <c r="DH141" s="12"/>
      <c r="DI141" s="12">
        <f t="shared" si="223"/>
        <v>0</v>
      </c>
      <c r="DJ141" s="32">
        <f t="shared" si="224"/>
        <v>0</v>
      </c>
      <c r="DK141" s="12"/>
      <c r="DL141" s="12">
        <f>DK141*D141</f>
        <v>0</v>
      </c>
      <c r="DM141" s="32">
        <f t="shared" si="225"/>
        <v>0</v>
      </c>
    </row>
    <row r="142" spans="1:117" s="6" customFormat="1" ht="22.25" customHeight="1" x14ac:dyDescent="0.35">
      <c r="A142" s="4">
        <v>136</v>
      </c>
      <c r="B142" s="5" t="s">
        <v>314</v>
      </c>
      <c r="C142" s="5" t="s">
        <v>315</v>
      </c>
      <c r="D142" s="7">
        <f t="shared" si="214"/>
        <v>6</v>
      </c>
      <c r="E142" s="7">
        <v>6</v>
      </c>
      <c r="F142" s="7">
        <v>1</v>
      </c>
      <c r="G142" s="7">
        <v>1</v>
      </c>
      <c r="H142" s="7">
        <f t="shared" si="155"/>
        <v>0.89999999999999991</v>
      </c>
      <c r="I142" s="9">
        <f t="shared" si="156"/>
        <v>6.9</v>
      </c>
      <c r="J142" s="13"/>
      <c r="K142" s="12">
        <f t="shared" si="157"/>
        <v>0</v>
      </c>
      <c r="L142" s="32">
        <f t="shared" si="158"/>
        <v>0</v>
      </c>
      <c r="M142" s="12"/>
      <c r="N142" s="12">
        <f t="shared" si="159"/>
        <v>0</v>
      </c>
      <c r="O142" s="32">
        <f t="shared" si="160"/>
        <v>0</v>
      </c>
      <c r="P142" s="12"/>
      <c r="Q142" s="12">
        <f>P142*D142</f>
        <v>0</v>
      </c>
      <c r="R142" s="32">
        <f t="shared" si="161"/>
        <v>0</v>
      </c>
      <c r="S142" s="12"/>
      <c r="T142" s="12">
        <f t="shared" si="162"/>
        <v>0</v>
      </c>
      <c r="U142" s="32">
        <f t="shared" si="163"/>
        <v>0</v>
      </c>
      <c r="V142" s="12"/>
      <c r="W142" s="12">
        <f t="shared" si="164"/>
        <v>0</v>
      </c>
      <c r="X142" s="32">
        <f t="shared" si="165"/>
        <v>0</v>
      </c>
      <c r="Y142" s="12"/>
      <c r="Z142" s="12">
        <f t="shared" si="166"/>
        <v>0</v>
      </c>
      <c r="AA142" s="32">
        <f t="shared" si="167"/>
        <v>0</v>
      </c>
      <c r="AB142" s="12"/>
      <c r="AC142" s="12">
        <f t="shared" si="168"/>
        <v>0</v>
      </c>
      <c r="AD142" s="32">
        <f t="shared" si="169"/>
        <v>0</v>
      </c>
      <c r="AE142" s="12"/>
      <c r="AF142" s="37">
        <f t="shared" si="170"/>
        <v>0</v>
      </c>
      <c r="AG142" s="14">
        <f t="shared" si="171"/>
        <v>0</v>
      </c>
      <c r="AH142" s="12"/>
      <c r="AI142" s="12">
        <f t="shared" si="172"/>
        <v>0</v>
      </c>
      <c r="AJ142" s="32">
        <f t="shared" si="173"/>
        <v>0</v>
      </c>
      <c r="AK142" s="12"/>
      <c r="AL142" s="12">
        <f t="shared" si="174"/>
        <v>0</v>
      </c>
      <c r="AM142" s="32">
        <f t="shared" si="175"/>
        <v>0</v>
      </c>
      <c r="AN142" s="12"/>
      <c r="AO142" s="12">
        <f t="shared" si="176"/>
        <v>0</v>
      </c>
      <c r="AP142" s="32">
        <f t="shared" si="177"/>
        <v>0</v>
      </c>
      <c r="AQ142" s="12"/>
      <c r="AR142" s="12">
        <f t="shared" si="178"/>
        <v>0</v>
      </c>
      <c r="AS142" s="32">
        <f t="shared" si="179"/>
        <v>0</v>
      </c>
      <c r="AT142" s="12"/>
      <c r="AU142" s="12">
        <f t="shared" si="180"/>
        <v>0</v>
      </c>
      <c r="AV142" s="32">
        <f t="shared" si="181"/>
        <v>0</v>
      </c>
      <c r="AW142" s="12"/>
      <c r="AX142" s="12">
        <f t="shared" si="182"/>
        <v>0</v>
      </c>
      <c r="AY142" s="32">
        <f t="shared" si="183"/>
        <v>0</v>
      </c>
      <c r="AZ142" s="12"/>
      <c r="BA142" s="12">
        <f t="shared" si="184"/>
        <v>0</v>
      </c>
      <c r="BB142" s="32">
        <f t="shared" si="185"/>
        <v>0</v>
      </c>
      <c r="BC142" s="12"/>
      <c r="BD142" s="12">
        <f t="shared" si="186"/>
        <v>0</v>
      </c>
      <c r="BE142" s="32">
        <f t="shared" si="187"/>
        <v>0</v>
      </c>
      <c r="BF142" s="12"/>
      <c r="BG142" s="12">
        <f t="shared" si="188"/>
        <v>0</v>
      </c>
      <c r="BH142" s="32">
        <f t="shared" si="189"/>
        <v>0</v>
      </c>
      <c r="BI142" s="12"/>
      <c r="BJ142" s="12">
        <f t="shared" si="190"/>
        <v>0</v>
      </c>
      <c r="BK142" s="32">
        <f t="shared" si="191"/>
        <v>0</v>
      </c>
      <c r="BL142" s="12"/>
      <c r="BM142" s="12">
        <f t="shared" si="192"/>
        <v>0</v>
      </c>
      <c r="BN142" s="32">
        <f t="shared" si="193"/>
        <v>0</v>
      </c>
      <c r="BO142" s="12"/>
      <c r="BP142" s="12">
        <f t="shared" si="194"/>
        <v>0</v>
      </c>
      <c r="BQ142" s="32">
        <f t="shared" si="195"/>
        <v>0</v>
      </c>
      <c r="BR142" s="12"/>
      <c r="BS142" s="12">
        <f t="shared" si="196"/>
        <v>0</v>
      </c>
      <c r="BT142" s="32">
        <f t="shared" si="197"/>
        <v>0</v>
      </c>
      <c r="BU142" s="12"/>
      <c r="BV142" s="12">
        <f t="shared" si="198"/>
        <v>0</v>
      </c>
      <c r="BW142" s="32">
        <f t="shared" si="199"/>
        <v>0</v>
      </c>
      <c r="BX142" s="12"/>
      <c r="BY142" s="12">
        <f t="shared" si="200"/>
        <v>0</v>
      </c>
      <c r="BZ142" s="32">
        <f t="shared" si="201"/>
        <v>0</v>
      </c>
      <c r="CA142" s="12"/>
      <c r="CB142" s="12">
        <f t="shared" si="202"/>
        <v>0</v>
      </c>
      <c r="CC142" s="32">
        <f t="shared" si="203"/>
        <v>0</v>
      </c>
      <c r="CD142" s="12"/>
      <c r="CE142" s="12">
        <f t="shared" si="204"/>
        <v>0</v>
      </c>
      <c r="CF142" s="32">
        <f t="shared" si="205"/>
        <v>0</v>
      </c>
      <c r="CG142" s="12"/>
      <c r="CH142" s="12">
        <f t="shared" si="206"/>
        <v>0</v>
      </c>
      <c r="CI142" s="32">
        <f t="shared" si="207"/>
        <v>0</v>
      </c>
      <c r="CJ142" s="12"/>
      <c r="CK142" s="12">
        <f t="shared" si="208"/>
        <v>0</v>
      </c>
      <c r="CL142" s="32">
        <f t="shared" si="209"/>
        <v>0</v>
      </c>
      <c r="CM142" s="12"/>
      <c r="CN142" s="12">
        <f t="shared" si="210"/>
        <v>0</v>
      </c>
      <c r="CO142" s="32">
        <f t="shared" si="211"/>
        <v>0</v>
      </c>
      <c r="CP142" s="12"/>
      <c r="CQ142" s="12">
        <f t="shared" si="212"/>
        <v>0</v>
      </c>
      <c r="CR142" s="32">
        <f t="shared" si="213"/>
        <v>0</v>
      </c>
      <c r="CS142" s="12"/>
      <c r="CT142" s="12">
        <f t="shared" si="215"/>
        <v>0</v>
      </c>
      <c r="CU142" s="32">
        <f t="shared" si="216"/>
        <v>0</v>
      </c>
      <c r="CV142" s="12"/>
      <c r="CW142" s="12">
        <f t="shared" si="217"/>
        <v>0</v>
      </c>
      <c r="CX142" s="32">
        <f t="shared" si="218"/>
        <v>0</v>
      </c>
      <c r="CY142" s="12"/>
      <c r="CZ142" s="12">
        <f>CY142*M142</f>
        <v>0</v>
      </c>
      <c r="DA142" s="32">
        <f t="shared" si="219"/>
        <v>0</v>
      </c>
      <c r="DB142" s="12"/>
      <c r="DC142" s="12">
        <f>DB142*D142</f>
        <v>0</v>
      </c>
      <c r="DD142" s="32">
        <f t="shared" si="220"/>
        <v>0</v>
      </c>
      <c r="DE142" s="12"/>
      <c r="DF142" s="12">
        <f t="shared" si="221"/>
        <v>0</v>
      </c>
      <c r="DG142" s="32">
        <f t="shared" si="222"/>
        <v>0</v>
      </c>
      <c r="DH142" s="12"/>
      <c r="DI142" s="12">
        <f t="shared" si="223"/>
        <v>0</v>
      </c>
      <c r="DJ142" s="32">
        <f t="shared" si="224"/>
        <v>0</v>
      </c>
      <c r="DK142" s="12"/>
      <c r="DL142" s="12">
        <f>DK142*D142</f>
        <v>0</v>
      </c>
      <c r="DM142" s="32">
        <f t="shared" si="225"/>
        <v>0</v>
      </c>
    </row>
    <row r="143" spans="1:117" s="18" customFormat="1" ht="22.25" customHeight="1" x14ac:dyDescent="0.35">
      <c r="A143" s="4">
        <v>120</v>
      </c>
      <c r="B143" s="4" t="s">
        <v>316</v>
      </c>
      <c r="C143" s="4" t="s">
        <v>284</v>
      </c>
      <c r="D143" s="7">
        <f t="shared" si="214"/>
        <v>2.7179764047800661</v>
      </c>
      <c r="E143" s="7">
        <f>DH2</f>
        <v>2.7179764047800661</v>
      </c>
      <c r="F143" s="7">
        <v>1</v>
      </c>
      <c r="G143" s="7">
        <v>1</v>
      </c>
      <c r="H143" s="7">
        <f t="shared" si="155"/>
        <v>0.40769646071700988</v>
      </c>
      <c r="I143" s="9">
        <f t="shared" si="156"/>
        <v>3.125672865497076</v>
      </c>
      <c r="J143" s="16"/>
      <c r="K143" s="15">
        <f t="shared" si="157"/>
        <v>0</v>
      </c>
      <c r="L143" s="34">
        <f t="shared" si="158"/>
        <v>0</v>
      </c>
      <c r="M143" s="15"/>
      <c r="N143" s="15">
        <f t="shared" si="159"/>
        <v>0</v>
      </c>
      <c r="O143" s="34">
        <f t="shared" si="160"/>
        <v>0</v>
      </c>
      <c r="P143" s="15"/>
      <c r="Q143" s="15">
        <f>P143*D143</f>
        <v>0</v>
      </c>
      <c r="R143" s="34">
        <f t="shared" si="161"/>
        <v>0</v>
      </c>
      <c r="S143" s="15"/>
      <c r="T143" s="15">
        <f t="shared" si="162"/>
        <v>0</v>
      </c>
      <c r="U143" s="34">
        <f t="shared" si="163"/>
        <v>0</v>
      </c>
      <c r="V143" s="15"/>
      <c r="W143" s="15">
        <f t="shared" si="164"/>
        <v>0</v>
      </c>
      <c r="X143" s="34">
        <f t="shared" si="165"/>
        <v>0</v>
      </c>
      <c r="Y143" s="15"/>
      <c r="Z143" s="15">
        <f t="shared" si="166"/>
        <v>0</v>
      </c>
      <c r="AA143" s="34">
        <f t="shared" si="167"/>
        <v>0</v>
      </c>
      <c r="AB143" s="15"/>
      <c r="AC143" s="15">
        <f t="shared" si="168"/>
        <v>0</v>
      </c>
      <c r="AD143" s="34">
        <f t="shared" si="169"/>
        <v>0</v>
      </c>
      <c r="AE143" s="15"/>
      <c r="AF143" s="39">
        <f t="shared" si="170"/>
        <v>0</v>
      </c>
      <c r="AG143" s="17">
        <f t="shared" si="171"/>
        <v>0</v>
      </c>
      <c r="AH143" s="15"/>
      <c r="AI143" s="15">
        <f t="shared" si="172"/>
        <v>0</v>
      </c>
      <c r="AJ143" s="34">
        <f t="shared" si="173"/>
        <v>0</v>
      </c>
      <c r="AK143" s="15"/>
      <c r="AL143" s="15">
        <f t="shared" si="174"/>
        <v>0</v>
      </c>
      <c r="AM143" s="34">
        <f t="shared" si="175"/>
        <v>0</v>
      </c>
      <c r="AN143" s="15"/>
      <c r="AO143" s="15">
        <f t="shared" si="176"/>
        <v>0</v>
      </c>
      <c r="AP143" s="34">
        <f t="shared" si="177"/>
        <v>0</v>
      </c>
      <c r="AQ143" s="15"/>
      <c r="AR143" s="15">
        <f t="shared" si="178"/>
        <v>0</v>
      </c>
      <c r="AS143" s="34">
        <f t="shared" si="179"/>
        <v>0</v>
      </c>
      <c r="AT143" s="15"/>
      <c r="AU143" s="15">
        <f t="shared" si="180"/>
        <v>0</v>
      </c>
      <c r="AV143" s="34">
        <f t="shared" si="181"/>
        <v>0</v>
      </c>
      <c r="AW143" s="15"/>
      <c r="AX143" s="15">
        <f t="shared" si="182"/>
        <v>0</v>
      </c>
      <c r="AY143" s="34">
        <f t="shared" si="183"/>
        <v>0</v>
      </c>
      <c r="AZ143" s="15"/>
      <c r="BA143" s="15">
        <f t="shared" si="184"/>
        <v>0</v>
      </c>
      <c r="BB143" s="34">
        <f t="shared" si="185"/>
        <v>0</v>
      </c>
      <c r="BC143" s="15"/>
      <c r="BD143" s="15">
        <f t="shared" si="186"/>
        <v>0</v>
      </c>
      <c r="BE143" s="34">
        <f t="shared" si="187"/>
        <v>0</v>
      </c>
      <c r="BF143" s="15"/>
      <c r="BG143" s="15">
        <f t="shared" si="188"/>
        <v>0</v>
      </c>
      <c r="BH143" s="34">
        <f t="shared" si="189"/>
        <v>0</v>
      </c>
      <c r="BI143" s="15"/>
      <c r="BJ143" s="15">
        <f t="shared" si="190"/>
        <v>0</v>
      </c>
      <c r="BK143" s="34">
        <f t="shared" si="191"/>
        <v>0</v>
      </c>
      <c r="BL143" s="15">
        <v>0.13</v>
      </c>
      <c r="BM143" s="15">
        <f t="shared" si="192"/>
        <v>0.35333693262140858</v>
      </c>
      <c r="BN143" s="34">
        <f t="shared" si="193"/>
        <v>0.25965937508351461</v>
      </c>
      <c r="BO143" s="15"/>
      <c r="BP143" s="15">
        <f t="shared" si="194"/>
        <v>0</v>
      </c>
      <c r="BQ143" s="34">
        <f t="shared" si="195"/>
        <v>0</v>
      </c>
      <c r="BR143" s="15"/>
      <c r="BS143" s="15">
        <f t="shared" si="196"/>
        <v>0</v>
      </c>
      <c r="BT143" s="34">
        <f t="shared" si="197"/>
        <v>0</v>
      </c>
      <c r="BU143" s="15"/>
      <c r="BV143" s="15">
        <f t="shared" si="198"/>
        <v>0</v>
      </c>
      <c r="BW143" s="34">
        <f t="shared" si="199"/>
        <v>0</v>
      </c>
      <c r="BX143" s="15"/>
      <c r="BY143" s="15">
        <f t="shared" si="200"/>
        <v>0</v>
      </c>
      <c r="BZ143" s="34">
        <f t="shared" si="201"/>
        <v>0</v>
      </c>
      <c r="CA143" s="15"/>
      <c r="CB143" s="15">
        <f t="shared" si="202"/>
        <v>0</v>
      </c>
      <c r="CC143" s="34">
        <f t="shared" si="203"/>
        <v>0</v>
      </c>
      <c r="CD143" s="15"/>
      <c r="CE143" s="15">
        <f t="shared" si="204"/>
        <v>0</v>
      </c>
      <c r="CF143" s="34">
        <f t="shared" si="205"/>
        <v>0</v>
      </c>
      <c r="CG143" s="15"/>
      <c r="CH143" s="15">
        <f t="shared" si="206"/>
        <v>0</v>
      </c>
      <c r="CI143" s="34">
        <f t="shared" si="207"/>
        <v>0</v>
      </c>
      <c r="CJ143" s="15"/>
      <c r="CK143" s="15">
        <f t="shared" si="208"/>
        <v>0</v>
      </c>
      <c r="CL143" s="34">
        <f t="shared" si="209"/>
        <v>0</v>
      </c>
      <c r="CM143" s="15"/>
      <c r="CN143" s="15">
        <f t="shared" si="210"/>
        <v>0</v>
      </c>
      <c r="CO143" s="34">
        <f t="shared" si="211"/>
        <v>0</v>
      </c>
      <c r="CP143" s="15"/>
      <c r="CQ143" s="15">
        <f t="shared" si="212"/>
        <v>0</v>
      </c>
      <c r="CR143" s="34">
        <f t="shared" si="213"/>
        <v>0</v>
      </c>
      <c r="CS143" s="15"/>
      <c r="CT143" s="15">
        <f t="shared" si="215"/>
        <v>0</v>
      </c>
      <c r="CU143" s="34">
        <f t="shared" si="216"/>
        <v>0</v>
      </c>
      <c r="CV143" s="15"/>
      <c r="CW143" s="12">
        <f t="shared" si="217"/>
        <v>0</v>
      </c>
      <c r="CX143" s="34">
        <f t="shared" si="218"/>
        <v>0</v>
      </c>
      <c r="CY143" s="15"/>
      <c r="CZ143" s="15">
        <f>CY143*M143</f>
        <v>0</v>
      </c>
      <c r="DA143" s="34">
        <f t="shared" si="219"/>
        <v>0</v>
      </c>
      <c r="DB143" s="15"/>
      <c r="DC143" s="15">
        <f>DB143*P143</f>
        <v>0</v>
      </c>
      <c r="DD143" s="34">
        <f t="shared" si="220"/>
        <v>0</v>
      </c>
      <c r="DE143" s="15"/>
      <c r="DF143" s="12">
        <f t="shared" si="221"/>
        <v>0</v>
      </c>
      <c r="DG143" s="34">
        <f t="shared" si="222"/>
        <v>0</v>
      </c>
      <c r="DH143" s="15"/>
      <c r="DI143" s="12">
        <f t="shared" si="223"/>
        <v>0</v>
      </c>
      <c r="DJ143" s="34">
        <f t="shared" si="224"/>
        <v>0</v>
      </c>
      <c r="DK143" s="15"/>
      <c r="DL143" s="12">
        <f>DK143*D143</f>
        <v>0</v>
      </c>
      <c r="DM143" s="34">
        <f t="shared" si="225"/>
        <v>0</v>
      </c>
    </row>
    <row r="144" spans="1:117" ht="22.25" customHeight="1" x14ac:dyDescent="0.3"/>
    <row r="145" spans="8:8" ht="22.25" customHeight="1" x14ac:dyDescent="0.3">
      <c r="H145" s="50"/>
    </row>
    <row r="146" spans="8:8" ht="22.25" customHeight="1" x14ac:dyDescent="0.3"/>
    <row r="147" spans="8:8" ht="22.25" customHeight="1" x14ac:dyDescent="0.3"/>
    <row r="148" spans="8:8" ht="22.25" customHeight="1" x14ac:dyDescent="0.3"/>
    <row r="149" spans="8:8" ht="22.25" customHeight="1" x14ac:dyDescent="0.3"/>
    <row r="150" spans="8:8" ht="22.25" customHeight="1" x14ac:dyDescent="0.3"/>
    <row r="151" spans="8:8" ht="22.25" customHeight="1" x14ac:dyDescent="0.3"/>
    <row r="152" spans="8:8" ht="22.25" customHeight="1" x14ac:dyDescent="0.3"/>
    <row r="153" spans="8:8" ht="22.25" customHeight="1" x14ac:dyDescent="0.3"/>
    <row r="154" spans="8:8" ht="22.25" customHeight="1" x14ac:dyDescent="0.3"/>
    <row r="155" spans="8:8" ht="22.25" customHeight="1" x14ac:dyDescent="0.3"/>
    <row r="156" spans="8:8" ht="22.25" customHeight="1" x14ac:dyDescent="0.3"/>
    <row r="157" spans="8:8" ht="22.25" customHeight="1" x14ac:dyDescent="0.3"/>
    <row r="158" spans="8:8" ht="22.25" customHeight="1" x14ac:dyDescent="0.3"/>
    <row r="159" spans="8:8" ht="22.25" customHeight="1" x14ac:dyDescent="0.3"/>
    <row r="160" spans="8:8" ht="22.25" customHeight="1" x14ac:dyDescent="0.3"/>
    <row r="161" ht="22.25" customHeight="1" x14ac:dyDescent="0.3"/>
    <row r="162" ht="22.25" customHeight="1" x14ac:dyDescent="0.3"/>
    <row r="163" ht="22.25" customHeight="1" x14ac:dyDescent="0.3"/>
    <row r="164" ht="22.25" customHeight="1" x14ac:dyDescent="0.3"/>
    <row r="165" ht="22.25" customHeight="1" x14ac:dyDescent="0.3"/>
    <row r="166" ht="22.25" customHeight="1" x14ac:dyDescent="0.3"/>
    <row r="167" ht="22.25" customHeight="1" x14ac:dyDescent="0.3"/>
    <row r="168" ht="22.25" customHeight="1" x14ac:dyDescent="0.3"/>
    <row r="169" ht="22.25" customHeight="1" x14ac:dyDescent="0.3"/>
    <row r="170" ht="22.25" customHeight="1" x14ac:dyDescent="0.3"/>
    <row r="171" ht="22.25" customHeight="1" x14ac:dyDescent="0.3"/>
    <row r="172" ht="22.25" customHeight="1" x14ac:dyDescent="0.3"/>
    <row r="173" ht="22.25" customHeight="1" x14ac:dyDescent="0.3"/>
    <row r="174" ht="22.25" customHeight="1" x14ac:dyDescent="0.3"/>
    <row r="175" ht="22.25" customHeight="1" x14ac:dyDescent="0.3"/>
    <row r="176" ht="22.25" customHeight="1" x14ac:dyDescent="0.3"/>
    <row r="177" ht="22.25" customHeight="1" x14ac:dyDescent="0.3"/>
    <row r="178" ht="22.25" customHeight="1" x14ac:dyDescent="0.3"/>
    <row r="179" ht="22.25" customHeight="1" x14ac:dyDescent="0.3"/>
    <row r="180" ht="22.25" customHeight="1" x14ac:dyDescent="0.3"/>
    <row r="181" ht="22.25" customHeight="1" x14ac:dyDescent="0.3"/>
    <row r="182" ht="22.25" customHeight="1" x14ac:dyDescent="0.3"/>
    <row r="183" ht="22.25" customHeight="1" x14ac:dyDescent="0.3"/>
    <row r="184" ht="22.25" customHeight="1" x14ac:dyDescent="0.3"/>
    <row r="185" ht="22.25" customHeight="1" x14ac:dyDescent="0.3"/>
    <row r="186" ht="22.25" customHeight="1" x14ac:dyDescent="0.3"/>
    <row r="187" ht="22.25" customHeight="1" x14ac:dyDescent="0.3"/>
    <row r="188" ht="22.25" customHeight="1" x14ac:dyDescent="0.3"/>
    <row r="189" ht="22.25" customHeight="1" x14ac:dyDescent="0.3"/>
    <row r="190" ht="22.25" customHeight="1" x14ac:dyDescent="0.3"/>
    <row r="191" ht="22.25" customHeight="1" x14ac:dyDescent="0.3"/>
    <row r="192" ht="22.25" customHeight="1" x14ac:dyDescent="0.3"/>
    <row r="193" ht="22.25" customHeight="1" x14ac:dyDescent="0.3"/>
    <row r="194" ht="22.25" customHeight="1" x14ac:dyDescent="0.3"/>
    <row r="195" ht="22.25" customHeight="1" x14ac:dyDescent="0.3"/>
    <row r="196" ht="22.25" customHeight="1" x14ac:dyDescent="0.3"/>
    <row r="197" ht="22.25" customHeight="1" x14ac:dyDescent="0.3"/>
    <row r="198" ht="22.25" customHeight="1" x14ac:dyDescent="0.3"/>
    <row r="199" ht="22.25" customHeight="1" x14ac:dyDescent="0.3"/>
    <row r="200" ht="22.25" customHeight="1" x14ac:dyDescent="0.3"/>
    <row r="201" ht="22.25" customHeight="1" x14ac:dyDescent="0.3"/>
    <row r="202" ht="22.25" customHeight="1" x14ac:dyDescent="0.3"/>
    <row r="203" ht="22.25" customHeight="1" x14ac:dyDescent="0.3"/>
    <row r="204" ht="22.25" customHeight="1" x14ac:dyDescent="0.3"/>
    <row r="205" ht="22.25" customHeight="1" x14ac:dyDescent="0.3"/>
    <row r="206" ht="22.25" customHeight="1" x14ac:dyDescent="0.3"/>
    <row r="207" ht="22.25" customHeight="1" x14ac:dyDescent="0.3"/>
    <row r="208" ht="22.25" customHeight="1" x14ac:dyDescent="0.3"/>
    <row r="209" ht="22.25" customHeight="1" x14ac:dyDescent="0.3"/>
    <row r="210" ht="22.25" customHeight="1" x14ac:dyDescent="0.3"/>
    <row r="211" ht="22.25" customHeight="1" x14ac:dyDescent="0.3"/>
    <row r="212" ht="22.25" customHeight="1" x14ac:dyDescent="0.3"/>
    <row r="213" ht="22.25" customHeight="1" x14ac:dyDescent="0.3"/>
    <row r="214" ht="22.25" customHeight="1" x14ac:dyDescent="0.3"/>
    <row r="215" ht="22.25" customHeight="1" x14ac:dyDescent="0.3"/>
    <row r="216" ht="22.25" customHeight="1" x14ac:dyDescent="0.3"/>
    <row r="217" ht="22.25" customHeight="1" x14ac:dyDescent="0.3"/>
    <row r="218" ht="15" customHeight="1" x14ac:dyDescent="0.3"/>
    <row r="219" ht="15" customHeight="1" x14ac:dyDescent="0.3"/>
    <row r="220" ht="15" customHeight="1" x14ac:dyDescent="0.3"/>
    <row r="221" ht="15" customHeight="1" x14ac:dyDescent="0.3"/>
    <row r="222" ht="15" customHeight="1" x14ac:dyDescent="0.3"/>
    <row r="223" ht="15" customHeight="1" x14ac:dyDescent="0.3"/>
    <row r="224" ht="15" customHeight="1" x14ac:dyDescent="0.3"/>
    <row r="225" ht="15" customHeight="1" x14ac:dyDescent="0.3"/>
    <row r="226" ht="15" customHeight="1" x14ac:dyDescent="0.3"/>
    <row r="227" ht="15" customHeight="1" x14ac:dyDescent="0.3"/>
    <row r="228" ht="15" customHeight="1" x14ac:dyDescent="0.3"/>
    <row r="229" ht="15" customHeight="1" x14ac:dyDescent="0.3"/>
    <row r="230" ht="15" customHeight="1" x14ac:dyDescent="0.3"/>
    <row r="231" ht="15" customHeight="1" x14ac:dyDescent="0.3"/>
    <row r="232" ht="15" customHeight="1" x14ac:dyDescent="0.3"/>
    <row r="233" ht="15" customHeight="1" x14ac:dyDescent="0.3"/>
    <row r="234" ht="15" customHeight="1" x14ac:dyDescent="0.3"/>
    <row r="235" ht="15" customHeight="1" x14ac:dyDescent="0.3"/>
    <row r="236" ht="15" customHeight="1" x14ac:dyDescent="0.3"/>
    <row r="237" ht="15" customHeight="1" x14ac:dyDescent="0.3"/>
    <row r="238" ht="15" customHeight="1" x14ac:dyDescent="0.3"/>
    <row r="239" ht="15" customHeight="1" x14ac:dyDescent="0.3"/>
    <row r="240" ht="15" customHeight="1" x14ac:dyDescent="0.3"/>
    <row r="241" ht="15" customHeight="1" x14ac:dyDescent="0.3"/>
    <row r="242" ht="15" customHeight="1" x14ac:dyDescent="0.3"/>
    <row r="243" ht="15" customHeight="1" x14ac:dyDescent="0.3"/>
    <row r="244" ht="15" customHeight="1" x14ac:dyDescent="0.3"/>
    <row r="245" ht="15" customHeight="1" x14ac:dyDescent="0.3"/>
    <row r="246" ht="15" customHeight="1" x14ac:dyDescent="0.3"/>
    <row r="247" ht="15" customHeight="1" x14ac:dyDescent="0.3"/>
    <row r="248" ht="15" customHeight="1" x14ac:dyDescent="0.3"/>
    <row r="249" ht="15" customHeight="1" x14ac:dyDescent="0.3"/>
    <row r="250" ht="15" customHeight="1" x14ac:dyDescent="0.3"/>
    <row r="251" ht="15" customHeight="1" x14ac:dyDescent="0.3"/>
    <row r="252" ht="15" customHeight="1" x14ac:dyDescent="0.3"/>
    <row r="253" ht="15" customHeight="1" x14ac:dyDescent="0.3"/>
    <row r="254" ht="15" customHeight="1" x14ac:dyDescent="0.3"/>
    <row r="255" ht="15" customHeight="1" x14ac:dyDescent="0.3"/>
    <row r="256" ht="15" customHeight="1" x14ac:dyDescent="0.3"/>
    <row r="257" ht="15" customHeight="1" x14ac:dyDescent="0.3"/>
    <row r="258" ht="15" customHeight="1" x14ac:dyDescent="0.3"/>
    <row r="259" ht="15" customHeight="1" x14ac:dyDescent="0.3"/>
    <row r="260" ht="15" customHeight="1" x14ac:dyDescent="0.3"/>
    <row r="261" ht="15" customHeight="1" x14ac:dyDescent="0.3"/>
    <row r="262" ht="15" customHeight="1" x14ac:dyDescent="0.3"/>
    <row r="263" ht="15" customHeight="1" x14ac:dyDescent="0.3"/>
    <row r="264" ht="15" customHeight="1" x14ac:dyDescent="0.3"/>
    <row r="265" ht="15" customHeight="1" x14ac:dyDescent="0.3"/>
    <row r="266" ht="15" customHeight="1" x14ac:dyDescent="0.3"/>
    <row r="267" ht="15" customHeight="1" x14ac:dyDescent="0.3"/>
    <row r="268" ht="15" customHeight="1" x14ac:dyDescent="0.3"/>
    <row r="269" ht="15" customHeight="1" x14ac:dyDescent="0.3"/>
    <row r="270" ht="15" customHeight="1" x14ac:dyDescent="0.3"/>
    <row r="271" ht="15" customHeight="1" x14ac:dyDescent="0.3"/>
    <row r="272" ht="15" customHeight="1" x14ac:dyDescent="0.3"/>
    <row r="273" ht="15" customHeight="1" x14ac:dyDescent="0.3"/>
    <row r="274" ht="15" customHeight="1" x14ac:dyDescent="0.3"/>
    <row r="275" ht="15" customHeight="1" x14ac:dyDescent="0.3"/>
    <row r="276" ht="15" customHeight="1" x14ac:dyDescent="0.3"/>
    <row r="277" ht="15" customHeight="1" x14ac:dyDescent="0.3"/>
    <row r="278" ht="15" customHeight="1" x14ac:dyDescent="0.3"/>
    <row r="279" ht="15" customHeight="1" x14ac:dyDescent="0.3"/>
    <row r="280" ht="15" customHeight="1" x14ac:dyDescent="0.3"/>
    <row r="281" ht="15" customHeight="1" x14ac:dyDescent="0.3"/>
    <row r="282" ht="15" customHeight="1" x14ac:dyDescent="0.3"/>
    <row r="283" ht="15" customHeight="1" x14ac:dyDescent="0.3"/>
    <row r="284" ht="15" customHeight="1" x14ac:dyDescent="0.3"/>
    <row r="285" ht="15" customHeight="1" x14ac:dyDescent="0.3"/>
    <row r="286" ht="15" customHeight="1" x14ac:dyDescent="0.3"/>
    <row r="287" ht="15" customHeight="1" x14ac:dyDescent="0.3"/>
    <row r="288" ht="15" customHeight="1" x14ac:dyDescent="0.3"/>
    <row r="289" ht="15" customHeight="1" x14ac:dyDescent="0.3"/>
    <row r="290" ht="15" customHeight="1" x14ac:dyDescent="0.3"/>
    <row r="291" ht="15" customHeight="1" x14ac:dyDescent="0.3"/>
    <row r="292" ht="15" customHeight="1" x14ac:dyDescent="0.3"/>
    <row r="293" ht="15" customHeight="1" x14ac:dyDescent="0.3"/>
    <row r="294" ht="15" customHeight="1" x14ac:dyDescent="0.3"/>
    <row r="295" ht="15" customHeight="1" x14ac:dyDescent="0.3"/>
    <row r="296" ht="15" customHeight="1" x14ac:dyDescent="0.3"/>
    <row r="297" ht="15" customHeight="1" x14ac:dyDescent="0.3"/>
    <row r="298" ht="15" customHeight="1" x14ac:dyDescent="0.3"/>
    <row r="299" ht="15" customHeight="1" x14ac:dyDescent="0.3"/>
    <row r="300" ht="15" customHeight="1" x14ac:dyDescent="0.3"/>
    <row r="301" ht="15" customHeight="1" x14ac:dyDescent="0.3"/>
    <row r="302" ht="15" customHeight="1" x14ac:dyDescent="0.3"/>
    <row r="303" ht="15" customHeight="1" x14ac:dyDescent="0.3"/>
    <row r="304" ht="15" customHeight="1" x14ac:dyDescent="0.3"/>
    <row r="305" ht="15" customHeight="1" x14ac:dyDescent="0.3"/>
    <row r="306" ht="15" customHeight="1" x14ac:dyDescent="0.3"/>
    <row r="307" ht="15" customHeight="1" x14ac:dyDescent="0.3"/>
    <row r="308" ht="15" customHeight="1" x14ac:dyDescent="0.3"/>
    <row r="309" ht="15" customHeight="1" x14ac:dyDescent="0.3"/>
    <row r="310" ht="15" customHeight="1" x14ac:dyDescent="0.3"/>
    <row r="311" ht="15" customHeight="1" x14ac:dyDescent="0.3"/>
    <row r="312" ht="15" customHeight="1" x14ac:dyDescent="0.3"/>
    <row r="313" ht="15" customHeight="1" x14ac:dyDescent="0.3"/>
    <row r="314" ht="15" customHeight="1" x14ac:dyDescent="0.3"/>
    <row r="315" ht="15" customHeight="1" x14ac:dyDescent="0.3"/>
    <row r="316" ht="15" customHeight="1" x14ac:dyDescent="0.3"/>
    <row r="317" ht="15" customHeight="1" x14ac:dyDescent="0.3"/>
    <row r="318" ht="15" customHeight="1" x14ac:dyDescent="0.3"/>
    <row r="319" ht="15" customHeight="1" x14ac:dyDescent="0.3"/>
    <row r="320" ht="15" customHeight="1" x14ac:dyDescent="0.3"/>
    <row r="321" ht="15" customHeight="1" x14ac:dyDescent="0.3"/>
    <row r="322" ht="15" customHeight="1" x14ac:dyDescent="0.3"/>
    <row r="323" ht="15" customHeight="1" x14ac:dyDescent="0.3"/>
    <row r="324" ht="15" customHeight="1" x14ac:dyDescent="0.3"/>
    <row r="325" ht="15" customHeight="1" x14ac:dyDescent="0.3"/>
    <row r="326" ht="15" customHeight="1" x14ac:dyDescent="0.3"/>
    <row r="327" ht="15" customHeight="1" x14ac:dyDescent="0.3"/>
    <row r="328" ht="15" customHeight="1" x14ac:dyDescent="0.3"/>
    <row r="329" ht="15" customHeight="1" x14ac:dyDescent="0.3"/>
    <row r="330" ht="15" customHeight="1" x14ac:dyDescent="0.3"/>
    <row r="331" ht="15" customHeight="1" x14ac:dyDescent="0.3"/>
    <row r="332" ht="15" customHeight="1" x14ac:dyDescent="0.3"/>
    <row r="333" ht="15" customHeight="1" x14ac:dyDescent="0.3"/>
    <row r="334" ht="15" customHeight="1" x14ac:dyDescent="0.3"/>
    <row r="335" ht="15" customHeight="1" x14ac:dyDescent="0.3"/>
    <row r="336" ht="15" customHeight="1" x14ac:dyDescent="0.3"/>
    <row r="337" ht="15" customHeight="1" x14ac:dyDescent="0.3"/>
    <row r="338" ht="15" customHeight="1" x14ac:dyDescent="0.3"/>
    <row r="339" ht="15" customHeight="1" x14ac:dyDescent="0.3"/>
    <row r="340" ht="15" customHeight="1" x14ac:dyDescent="0.3"/>
    <row r="341" ht="15" customHeight="1" x14ac:dyDescent="0.3"/>
    <row r="342" ht="15" customHeight="1" x14ac:dyDescent="0.3"/>
    <row r="343" ht="15" customHeight="1" x14ac:dyDescent="0.3"/>
    <row r="344" ht="15" customHeight="1" x14ac:dyDescent="0.3"/>
    <row r="345" ht="15" customHeight="1" x14ac:dyDescent="0.3"/>
    <row r="346" ht="15" customHeight="1" x14ac:dyDescent="0.3"/>
    <row r="347" ht="15" customHeight="1" x14ac:dyDescent="0.3"/>
    <row r="348" ht="15" customHeight="1" x14ac:dyDescent="0.3"/>
    <row r="349" ht="15" customHeight="1" x14ac:dyDescent="0.3"/>
    <row r="350" ht="15" customHeight="1" x14ac:dyDescent="0.3"/>
    <row r="351" ht="15" customHeight="1" x14ac:dyDescent="0.3"/>
    <row r="352" ht="15" customHeight="1" x14ac:dyDescent="0.3"/>
    <row r="353" ht="15" customHeight="1" x14ac:dyDescent="0.3"/>
    <row r="354" ht="15" customHeight="1" x14ac:dyDescent="0.3"/>
    <row r="355" ht="15" customHeight="1" x14ac:dyDescent="0.3"/>
    <row r="356" ht="15" customHeight="1" x14ac:dyDescent="0.3"/>
    <row r="357" ht="15" customHeight="1" x14ac:dyDescent="0.3"/>
    <row r="358" ht="15" customHeight="1" x14ac:dyDescent="0.3"/>
    <row r="359" ht="15" customHeight="1" x14ac:dyDescent="0.3"/>
    <row r="360" ht="15" customHeight="1" x14ac:dyDescent="0.3"/>
    <row r="361" ht="15" customHeight="1" x14ac:dyDescent="0.3"/>
    <row r="362" ht="15" customHeight="1" x14ac:dyDescent="0.3"/>
    <row r="363" ht="15" customHeight="1" x14ac:dyDescent="0.3"/>
    <row r="364" ht="15" customHeight="1" x14ac:dyDescent="0.3"/>
    <row r="365" ht="15" customHeight="1" x14ac:dyDescent="0.3"/>
    <row r="366" ht="15" customHeight="1" x14ac:dyDescent="0.3"/>
    <row r="367" ht="15" customHeight="1" x14ac:dyDescent="0.3"/>
    <row r="368" ht="15" customHeight="1" x14ac:dyDescent="0.3"/>
    <row r="369" ht="15" customHeight="1" x14ac:dyDescent="0.3"/>
    <row r="370" ht="15" customHeight="1" x14ac:dyDescent="0.3"/>
    <row r="371" ht="15" customHeight="1" x14ac:dyDescent="0.3"/>
    <row r="372" ht="15" customHeight="1" x14ac:dyDescent="0.3"/>
    <row r="373" ht="15" customHeight="1" x14ac:dyDescent="0.3"/>
    <row r="374" ht="15" customHeight="1" x14ac:dyDescent="0.3"/>
    <row r="375" ht="15" customHeight="1" x14ac:dyDescent="0.3"/>
    <row r="376" ht="15" customHeight="1" x14ac:dyDescent="0.3"/>
    <row r="377" ht="15" customHeight="1" x14ac:dyDescent="0.3"/>
    <row r="378" ht="15" customHeight="1" x14ac:dyDescent="0.3"/>
    <row r="379" ht="15" customHeight="1" x14ac:dyDescent="0.3"/>
    <row r="380" ht="15" customHeight="1" x14ac:dyDescent="0.3"/>
    <row r="381" ht="15" customHeight="1" x14ac:dyDescent="0.3"/>
    <row r="382" ht="15" customHeight="1" x14ac:dyDescent="0.3"/>
    <row r="383" ht="15" customHeight="1" x14ac:dyDescent="0.3"/>
    <row r="384" ht="15" customHeight="1" x14ac:dyDescent="0.3"/>
    <row r="385" ht="15" customHeight="1" x14ac:dyDescent="0.3"/>
    <row r="386" ht="15" customHeight="1" x14ac:dyDescent="0.3"/>
    <row r="387" ht="15" customHeight="1" x14ac:dyDescent="0.3"/>
    <row r="388" ht="15" customHeight="1" x14ac:dyDescent="0.3"/>
    <row r="389" ht="15" customHeight="1" x14ac:dyDescent="0.3"/>
    <row r="390" ht="15" customHeight="1" x14ac:dyDescent="0.3"/>
    <row r="391" ht="15" customHeight="1" x14ac:dyDescent="0.3"/>
    <row r="392" ht="15" customHeight="1" x14ac:dyDescent="0.3"/>
    <row r="393" ht="15" customHeight="1" x14ac:dyDescent="0.3"/>
    <row r="394" ht="15" customHeight="1" x14ac:dyDescent="0.3"/>
    <row r="395" ht="15" customHeight="1" x14ac:dyDescent="0.3"/>
    <row r="396" ht="15" customHeight="1" x14ac:dyDescent="0.3"/>
    <row r="397" ht="15" customHeight="1" x14ac:dyDescent="0.3"/>
    <row r="398" ht="15" customHeight="1" x14ac:dyDescent="0.3"/>
    <row r="399" ht="15" customHeight="1" x14ac:dyDescent="0.3"/>
    <row r="400" ht="15" customHeight="1" x14ac:dyDescent="0.3"/>
    <row r="401" ht="15" customHeight="1" x14ac:dyDescent="0.3"/>
    <row r="402" ht="15" customHeight="1" x14ac:dyDescent="0.3"/>
    <row r="403" ht="15" customHeight="1" x14ac:dyDescent="0.3"/>
    <row r="404" ht="15" customHeight="1" x14ac:dyDescent="0.3"/>
    <row r="405" ht="15" customHeight="1" x14ac:dyDescent="0.3"/>
    <row r="406" ht="15" customHeight="1" x14ac:dyDescent="0.3"/>
    <row r="407" ht="15" customHeight="1" x14ac:dyDescent="0.3"/>
    <row r="408" ht="15" customHeight="1" x14ac:dyDescent="0.3"/>
    <row r="409" ht="15" customHeight="1" x14ac:dyDescent="0.3"/>
    <row r="410" ht="15" customHeight="1" x14ac:dyDescent="0.3"/>
    <row r="411" ht="15" customHeight="1" x14ac:dyDescent="0.3"/>
    <row r="412" ht="15" customHeight="1" x14ac:dyDescent="0.3"/>
    <row r="413" ht="15" customHeight="1" x14ac:dyDescent="0.3"/>
    <row r="414" ht="15" customHeight="1" x14ac:dyDescent="0.3"/>
    <row r="415" ht="15" customHeight="1" x14ac:dyDescent="0.3"/>
    <row r="416" ht="15" customHeight="1" x14ac:dyDescent="0.3"/>
    <row r="417" ht="15" customHeight="1" x14ac:dyDescent="0.3"/>
  </sheetData>
  <autoFilter ref="A9:DM143" xr:uid="{00000000-0009-0000-0000-000000000000}"/>
  <mergeCells count="302">
    <mergeCell ref="F1:F9"/>
    <mergeCell ref="G1:G9"/>
    <mergeCell ref="A1:A9"/>
    <mergeCell ref="B1:B9"/>
    <mergeCell ref="C1:C9"/>
    <mergeCell ref="D1:D9"/>
    <mergeCell ref="S1:U1"/>
    <mergeCell ref="S2:U2"/>
    <mergeCell ref="S5:U5"/>
    <mergeCell ref="S8:U8"/>
    <mergeCell ref="J2:L2"/>
    <mergeCell ref="J5:L5"/>
    <mergeCell ref="J8:L8"/>
    <mergeCell ref="J1:L1"/>
    <mergeCell ref="M1:O1"/>
    <mergeCell ref="M2:O2"/>
    <mergeCell ref="M5:O5"/>
    <mergeCell ref="M8:O8"/>
    <mergeCell ref="P1:R1"/>
    <mergeCell ref="P2:R2"/>
    <mergeCell ref="P5:R5"/>
    <mergeCell ref="P8:R8"/>
    <mergeCell ref="H8:I8"/>
    <mergeCell ref="H5:I5"/>
    <mergeCell ref="V1:X1"/>
    <mergeCell ref="V2:X2"/>
    <mergeCell ref="V5:X5"/>
    <mergeCell ref="V8:X8"/>
    <mergeCell ref="Y1:AA1"/>
    <mergeCell ref="Y2:AA2"/>
    <mergeCell ref="Y5:AA5"/>
    <mergeCell ref="Y8:AA8"/>
    <mergeCell ref="Y6:AA6"/>
    <mergeCell ref="Y7:AA7"/>
    <mergeCell ref="V6:X6"/>
    <mergeCell ref="V7:X7"/>
    <mergeCell ref="H2:I2"/>
    <mergeCell ref="H1:I1"/>
    <mergeCell ref="J6:L6"/>
    <mergeCell ref="H6:I6"/>
    <mergeCell ref="H7:I7"/>
    <mergeCell ref="J7:L7"/>
    <mergeCell ref="M6:O6"/>
    <mergeCell ref="M7:O7"/>
    <mergeCell ref="P6:R6"/>
    <mergeCell ref="P7:R7"/>
    <mergeCell ref="H4:I4"/>
    <mergeCell ref="J4:L4"/>
    <mergeCell ref="M4:O4"/>
    <mergeCell ref="P4:R4"/>
    <mergeCell ref="S6:U6"/>
    <mergeCell ref="S7:U7"/>
    <mergeCell ref="AH1:AJ1"/>
    <mergeCell ref="AH2:AJ2"/>
    <mergeCell ref="AH5:AJ5"/>
    <mergeCell ref="AH3:AJ3"/>
    <mergeCell ref="AH4:AJ4"/>
    <mergeCell ref="AH8:AJ8"/>
    <mergeCell ref="AK1:AM1"/>
    <mergeCell ref="AK2:AM2"/>
    <mergeCell ref="AK5:AM5"/>
    <mergeCell ref="AK8:AM8"/>
    <mergeCell ref="AB1:AD1"/>
    <mergeCell ref="AB2:AD2"/>
    <mergeCell ref="AB5:AD5"/>
    <mergeCell ref="AB8:AD8"/>
    <mergeCell ref="AE1:AG1"/>
    <mergeCell ref="AE2:AG2"/>
    <mergeCell ref="AE5:AG5"/>
    <mergeCell ref="AE8:AG8"/>
    <mergeCell ref="AB6:AD6"/>
    <mergeCell ref="AB7:AD7"/>
    <mergeCell ref="AE6:AG6"/>
    <mergeCell ref="AE7:AG7"/>
    <mergeCell ref="AH6:AJ6"/>
    <mergeCell ref="AH7:AJ7"/>
    <mergeCell ref="AK6:AM6"/>
    <mergeCell ref="AT1:AV1"/>
    <mergeCell ref="AT2:AV2"/>
    <mergeCell ref="AT5:AV5"/>
    <mergeCell ref="AT8:AV8"/>
    <mergeCell ref="AW1:AY1"/>
    <mergeCell ref="AW2:AY2"/>
    <mergeCell ref="AW5:AY5"/>
    <mergeCell ref="AW8:AY8"/>
    <mergeCell ref="AN1:AP1"/>
    <mergeCell ref="AN2:AP2"/>
    <mergeCell ref="AN5:AP5"/>
    <mergeCell ref="AN8:AP8"/>
    <mergeCell ref="AQ1:AS1"/>
    <mergeCell ref="AQ2:AS2"/>
    <mergeCell ref="AQ5:AS5"/>
    <mergeCell ref="AQ8:AS8"/>
    <mergeCell ref="AQ6:AS6"/>
    <mergeCell ref="AQ7:AS7"/>
    <mergeCell ref="AT6:AV6"/>
    <mergeCell ref="AT7:AV7"/>
    <mergeCell ref="AW6:AY6"/>
    <mergeCell ref="BF1:BH1"/>
    <mergeCell ref="BF2:BH2"/>
    <mergeCell ref="BF5:BH5"/>
    <mergeCell ref="BF8:BH8"/>
    <mergeCell ref="BI1:BK1"/>
    <mergeCell ref="BI2:BK2"/>
    <mergeCell ref="BI5:BK5"/>
    <mergeCell ref="BI8:BK8"/>
    <mergeCell ref="AZ1:BB1"/>
    <mergeCell ref="AZ2:BB2"/>
    <mergeCell ref="AZ5:BB5"/>
    <mergeCell ref="AZ8:BB8"/>
    <mergeCell ref="BC1:BE1"/>
    <mergeCell ref="BC2:BE2"/>
    <mergeCell ref="BC5:BE5"/>
    <mergeCell ref="BC8:BE8"/>
    <mergeCell ref="BI6:BK6"/>
    <mergeCell ref="BI7:BK7"/>
    <mergeCell ref="BC6:BE6"/>
    <mergeCell ref="BC7:BE7"/>
    <mergeCell ref="BF6:BH6"/>
    <mergeCell ref="BI3:BK3"/>
    <mergeCell ref="BR1:BT1"/>
    <mergeCell ref="BR2:BT2"/>
    <mergeCell ref="BR5:BT5"/>
    <mergeCell ref="BR8:BT8"/>
    <mergeCell ref="BU1:BW1"/>
    <mergeCell ref="BU2:BW2"/>
    <mergeCell ref="BU5:BW5"/>
    <mergeCell ref="BU8:BW8"/>
    <mergeCell ref="BL1:BN1"/>
    <mergeCell ref="BL2:BN2"/>
    <mergeCell ref="BL5:BN5"/>
    <mergeCell ref="BL8:BN8"/>
    <mergeCell ref="BO1:BQ1"/>
    <mergeCell ref="BO2:BQ2"/>
    <mergeCell ref="BO5:BQ5"/>
    <mergeCell ref="BO8:BQ8"/>
    <mergeCell ref="BL6:BN6"/>
    <mergeCell ref="BL7:BN7"/>
    <mergeCell ref="BO6:BQ6"/>
    <mergeCell ref="BO7:BQ7"/>
    <mergeCell ref="BR6:BT6"/>
    <mergeCell ref="BR7:BT7"/>
    <mergeCell ref="BU6:BW6"/>
    <mergeCell ref="BU7:BW7"/>
    <mergeCell ref="CD1:CF1"/>
    <mergeCell ref="CD2:CF2"/>
    <mergeCell ref="CD5:CF5"/>
    <mergeCell ref="CD8:CF8"/>
    <mergeCell ref="CG1:CI1"/>
    <mergeCell ref="CG2:CI2"/>
    <mergeCell ref="CG5:CI5"/>
    <mergeCell ref="CG8:CI8"/>
    <mergeCell ref="BX1:BZ1"/>
    <mergeCell ref="BX2:BZ2"/>
    <mergeCell ref="BX5:BZ5"/>
    <mergeCell ref="BX8:BZ8"/>
    <mergeCell ref="CA1:CC1"/>
    <mergeCell ref="CA2:CC2"/>
    <mergeCell ref="CA5:CC5"/>
    <mergeCell ref="CA8:CC8"/>
    <mergeCell ref="CD6:CF6"/>
    <mergeCell ref="CD7:CF7"/>
    <mergeCell ref="CG6:CI6"/>
    <mergeCell ref="CG7:CI7"/>
    <mergeCell ref="BX6:BZ6"/>
    <mergeCell ref="BX7:BZ7"/>
    <mergeCell ref="CA6:CC6"/>
    <mergeCell ref="CA7:CC7"/>
    <mergeCell ref="CP1:CR1"/>
    <mergeCell ref="CP2:CR2"/>
    <mergeCell ref="CP5:CR5"/>
    <mergeCell ref="CP8:CR8"/>
    <mergeCell ref="CJ1:CL1"/>
    <mergeCell ref="CJ2:CL2"/>
    <mergeCell ref="CJ5:CL5"/>
    <mergeCell ref="CJ8:CL8"/>
    <mergeCell ref="CM1:CO1"/>
    <mergeCell ref="CM2:CO2"/>
    <mergeCell ref="CM5:CO5"/>
    <mergeCell ref="CM8:CO8"/>
    <mergeCell ref="CJ6:CL6"/>
    <mergeCell ref="CJ7:CL7"/>
    <mergeCell ref="CM6:CO6"/>
    <mergeCell ref="CM7:CO7"/>
    <mergeCell ref="CP6:CR6"/>
    <mergeCell ref="CP7:CR7"/>
    <mergeCell ref="CM3:CO3"/>
    <mergeCell ref="CP3:CR3"/>
    <mergeCell ref="CM4:CO4"/>
    <mergeCell ref="AK7:AM7"/>
    <mergeCell ref="AN6:AP6"/>
    <mergeCell ref="AN7:AP7"/>
    <mergeCell ref="AW7:AY7"/>
    <mergeCell ref="AZ6:BB6"/>
    <mergeCell ref="AZ7:BB7"/>
    <mergeCell ref="BF7:BH7"/>
    <mergeCell ref="H3:I3"/>
    <mergeCell ref="J3:L3"/>
    <mergeCell ref="M3:O3"/>
    <mergeCell ref="P3:R3"/>
    <mergeCell ref="S3:U3"/>
    <mergeCell ref="V3:X3"/>
    <mergeCell ref="Y3:AA3"/>
    <mergeCell ref="AB3:AD3"/>
    <mergeCell ref="AE3:AG3"/>
    <mergeCell ref="AK3:AM3"/>
    <mergeCell ref="AN3:AP3"/>
    <mergeCell ref="AQ3:AS3"/>
    <mergeCell ref="AT3:AV3"/>
    <mergeCell ref="AW3:AY3"/>
    <mergeCell ref="AZ3:BB3"/>
    <mergeCell ref="BC3:BE3"/>
    <mergeCell ref="BF3:BH3"/>
    <mergeCell ref="BL3:BN3"/>
    <mergeCell ref="BO3:BQ3"/>
    <mergeCell ref="BR3:BT3"/>
    <mergeCell ref="BU3:BW3"/>
    <mergeCell ref="BX3:BZ3"/>
    <mergeCell ref="CA3:CC3"/>
    <mergeCell ref="CD3:CF3"/>
    <mergeCell ref="CG3:CI3"/>
    <mergeCell ref="CJ3:CL3"/>
    <mergeCell ref="S4:U4"/>
    <mergeCell ref="V4:X4"/>
    <mergeCell ref="Y4:AA4"/>
    <mergeCell ref="AB4:AD4"/>
    <mergeCell ref="AE4:AG4"/>
    <mergeCell ref="AK4:AM4"/>
    <mergeCell ref="AN4:AP4"/>
    <mergeCell ref="AQ4:AS4"/>
    <mergeCell ref="AT4:AV4"/>
    <mergeCell ref="AW4:AY4"/>
    <mergeCell ref="AZ4:BB4"/>
    <mergeCell ref="BC4:BE4"/>
    <mergeCell ref="BF4:BH4"/>
    <mergeCell ref="BI4:BK4"/>
    <mergeCell ref="CP4:CR4"/>
    <mergeCell ref="BL4:BN4"/>
    <mergeCell ref="BO4:BQ4"/>
    <mergeCell ref="BR4:BT4"/>
    <mergeCell ref="BU4:BW4"/>
    <mergeCell ref="BX4:BZ4"/>
    <mergeCell ref="CA4:CC4"/>
    <mergeCell ref="CD4:CF4"/>
    <mergeCell ref="CG4:CI4"/>
    <mergeCell ref="CJ4:CL4"/>
    <mergeCell ref="CS1:CU1"/>
    <mergeCell ref="CS2:CU2"/>
    <mergeCell ref="CS3:CU3"/>
    <mergeCell ref="CS4:CU4"/>
    <mergeCell ref="CS5:CU5"/>
    <mergeCell ref="CS6:CU6"/>
    <mergeCell ref="CS7:CU7"/>
    <mergeCell ref="CS8:CU8"/>
    <mergeCell ref="CV1:CX1"/>
    <mergeCell ref="CV2:CX2"/>
    <mergeCell ref="CV3:CX3"/>
    <mergeCell ref="CV4:CX4"/>
    <mergeCell ref="CV5:CX5"/>
    <mergeCell ref="CV6:CX6"/>
    <mergeCell ref="CV7:CX7"/>
    <mergeCell ref="CV8:CX8"/>
    <mergeCell ref="DE1:DG1"/>
    <mergeCell ref="DE2:DG2"/>
    <mergeCell ref="DE3:DG3"/>
    <mergeCell ref="DE4:DG4"/>
    <mergeCell ref="DE5:DG5"/>
    <mergeCell ref="DE6:DG6"/>
    <mergeCell ref="DE7:DG7"/>
    <mergeCell ref="DE8:DG8"/>
    <mergeCell ref="CY1:DA1"/>
    <mergeCell ref="CY2:DA2"/>
    <mergeCell ref="CY3:DA3"/>
    <mergeCell ref="CY4:DA4"/>
    <mergeCell ref="CY5:DA5"/>
    <mergeCell ref="CY6:DA6"/>
    <mergeCell ref="CY7:DA7"/>
    <mergeCell ref="CY8:DA8"/>
    <mergeCell ref="DB1:DD1"/>
    <mergeCell ref="DB2:DD2"/>
    <mergeCell ref="DB3:DD3"/>
    <mergeCell ref="DB4:DD4"/>
    <mergeCell ref="DB5:DD5"/>
    <mergeCell ref="DB6:DD6"/>
    <mergeCell ref="DB7:DD7"/>
    <mergeCell ref="DB8:DD8"/>
    <mergeCell ref="DK1:DM1"/>
    <mergeCell ref="DK2:DM2"/>
    <mergeCell ref="DK3:DM3"/>
    <mergeCell ref="DK4:DM4"/>
    <mergeCell ref="DK5:DM5"/>
    <mergeCell ref="DK6:DM6"/>
    <mergeCell ref="DK7:DM7"/>
    <mergeCell ref="DK8:DM8"/>
    <mergeCell ref="DH1:DJ1"/>
    <mergeCell ref="DH2:DJ2"/>
    <mergeCell ref="DH3:DJ3"/>
    <mergeCell ref="DH4:DJ4"/>
    <mergeCell ref="DH5:DJ5"/>
    <mergeCell ref="DH6:DJ6"/>
    <mergeCell ref="DH7:DJ7"/>
    <mergeCell ref="DH8:DJ8"/>
  </mergeCells>
  <pageMargins left="0.7" right="0.7" top="0.75" bottom="0.75" header="0.3" footer="0.3"/>
  <pageSetup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5"/>
  <sheetViews>
    <sheetView rightToLeft="1" workbookViewId="0">
      <selection activeCell="C4" sqref="C4"/>
    </sheetView>
  </sheetViews>
  <sheetFormatPr defaultRowHeight="14" x14ac:dyDescent="0.3"/>
  <cols>
    <col min="1" max="2" width="12.9140625" customWidth="1"/>
    <col min="3" max="3" width="32.08203125" customWidth="1"/>
    <col min="4" max="4" width="12.1640625" customWidth="1"/>
  </cols>
  <sheetData>
    <row r="2" spans="1:4" ht="27" customHeight="1" x14ac:dyDescent="0.3">
      <c r="A2" s="21" t="s">
        <v>326</v>
      </c>
      <c r="B2" s="70">
        <f>'تكاليف المنتجات'!J2</f>
        <v>9.6924351416215409</v>
      </c>
      <c r="C2" s="21" t="s">
        <v>327</v>
      </c>
      <c r="D2" s="28">
        <f>'حساب الاطباق الجانبية'!J20</f>
        <v>1.2628203474472715</v>
      </c>
    </row>
    <row r="3" spans="1:4" ht="27" customHeight="1" x14ac:dyDescent="0.3">
      <c r="A3" s="21" t="s">
        <v>8</v>
      </c>
      <c r="B3" s="70">
        <f>'تكاليف المنتجات'!M2</f>
        <v>7.4682800000000009</v>
      </c>
      <c r="C3" s="21" t="s">
        <v>328</v>
      </c>
      <c r="D3" s="28">
        <f>'حساب الاطباق الجانبية'!J21</f>
        <v>1.2476235113938037</v>
      </c>
    </row>
    <row r="4" spans="1:4" ht="27" customHeight="1" x14ac:dyDescent="0.3">
      <c r="A4" s="21" t="s">
        <v>10</v>
      </c>
      <c r="B4" s="70">
        <f>'تكاليف المنتجات'!S2</f>
        <v>5.0339158136340263</v>
      </c>
      <c r="C4" s="21" t="s">
        <v>329</v>
      </c>
      <c r="D4" s="28">
        <f>'حساب الاطباق الجانبية'!J22</f>
        <v>0.64282699420021472</v>
      </c>
    </row>
    <row r="5" spans="1:4" ht="27" customHeight="1" x14ac:dyDescent="0.3">
      <c r="A5" s="21" t="s">
        <v>9</v>
      </c>
      <c r="B5" s="70">
        <f>'تكاليف المنتجات'!P2</f>
        <v>4.1725674766685952</v>
      </c>
      <c r="C5" s="21" t="s">
        <v>330</v>
      </c>
      <c r="D5" s="28">
        <f>'حساب الاطباق الجانبية'!J23</f>
        <v>1.8133186554297041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8"/>
  <sheetViews>
    <sheetView rightToLeft="1" workbookViewId="0">
      <selection activeCell="F3" sqref="F3:F7"/>
    </sheetView>
  </sheetViews>
  <sheetFormatPr defaultRowHeight="14" x14ac:dyDescent="0.3"/>
  <cols>
    <col min="1" max="1" width="8.08203125" style="20" customWidth="1"/>
    <col min="2" max="2" width="22.4140625" style="20" customWidth="1"/>
    <col min="3" max="3" width="26.6640625" style="20" customWidth="1"/>
    <col min="4" max="5" width="11.1640625" style="20" customWidth="1"/>
    <col min="6" max="6" width="13.4140625" style="20" customWidth="1"/>
    <col min="7" max="7" width="11.1640625" style="20" hidden="1" customWidth="1"/>
    <col min="8" max="8" width="13.4140625" style="20" hidden="1" customWidth="1"/>
    <col min="9" max="9" width="13.58203125" style="20" hidden="1" customWidth="1"/>
    <col min="10" max="10" width="10.58203125" hidden="1" customWidth="1"/>
    <col min="11" max="11" width="13.6640625" hidden="1" customWidth="1"/>
    <col min="12" max="12" width="12.58203125" hidden="1" customWidth="1"/>
  </cols>
  <sheetData>
    <row r="1" spans="1:12" ht="27" customHeight="1" x14ac:dyDescent="0.3">
      <c r="A1" s="217" t="s">
        <v>317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</row>
    <row r="2" spans="1:12" ht="40.25" customHeight="1" x14ac:dyDescent="0.3">
      <c r="A2" s="55" t="s">
        <v>0</v>
      </c>
      <c r="B2" s="55" t="s">
        <v>318</v>
      </c>
      <c r="C2" s="55" t="s">
        <v>319</v>
      </c>
      <c r="D2" s="55" t="s">
        <v>320</v>
      </c>
      <c r="E2" s="55" t="s">
        <v>321</v>
      </c>
      <c r="F2" s="55" t="s">
        <v>322</v>
      </c>
      <c r="G2" s="55" t="s">
        <v>44</v>
      </c>
      <c r="H2" s="55" t="s">
        <v>323</v>
      </c>
      <c r="I2" s="55" t="s">
        <v>324</v>
      </c>
      <c r="J2" s="55" t="s">
        <v>47</v>
      </c>
      <c r="K2" s="48" t="s">
        <v>48</v>
      </c>
      <c r="L2" s="48" t="s">
        <v>325</v>
      </c>
    </row>
    <row r="3" spans="1:12" ht="22.25" customHeight="1" x14ac:dyDescent="0.3">
      <c r="A3" s="19">
        <v>1</v>
      </c>
      <c r="B3" s="19" t="s">
        <v>326</v>
      </c>
      <c r="C3" s="19" t="s">
        <v>327</v>
      </c>
      <c r="D3" s="19">
        <f>VLOOKUP(B3,'قوائم المشاوي وخياراتها'!A$2:B$5,2,FALSE)</f>
        <v>9.6924351416215409</v>
      </c>
      <c r="E3" s="29">
        <f>VLOOKUP(C3,'قوائم المشاوي وخياراتها'!C$2:D$5,2,FALSE)</f>
        <v>1.2628203474472715</v>
      </c>
      <c r="F3" s="29">
        <f>E3+D3</f>
        <v>10.955255489068811</v>
      </c>
      <c r="G3" s="29">
        <f t="shared" ref="G3:G18" si="0">I3*18%</f>
        <v>5.22</v>
      </c>
      <c r="H3" s="29">
        <f t="shared" ref="H3:H18" si="1">F3+G3</f>
        <v>16.17525548906881</v>
      </c>
      <c r="I3" s="29">
        <v>29</v>
      </c>
      <c r="J3" s="29">
        <f t="shared" ref="J3:J18" si="2">I3-I3/1.15</f>
        <v>3.7826086956521721</v>
      </c>
      <c r="K3" s="56">
        <f t="shared" ref="K3:K18" si="3">H3/(I3-J3)</f>
        <v>0.64143254525617688</v>
      </c>
      <c r="L3" s="29">
        <f t="shared" ref="L3:L18" si="4">I3-J3-H3</f>
        <v>9.0421358152790177</v>
      </c>
    </row>
    <row r="4" spans="1:12" ht="22.25" customHeight="1" x14ac:dyDescent="0.3">
      <c r="A4" s="22">
        <v>5</v>
      </c>
      <c r="B4" s="22" t="s">
        <v>326</v>
      </c>
      <c r="C4" s="22" t="s">
        <v>328</v>
      </c>
      <c r="D4" s="22">
        <f>VLOOKUP(B4,'قوائم المشاوي وخياراتها'!A$2:B$5,2,FALSE)</f>
        <v>9.6924351416215409</v>
      </c>
      <c r="E4" s="30">
        <f>VLOOKUP(C4,'قوائم المشاوي وخياراتها'!C$2:D$5,2,FALSE)</f>
        <v>1.2476235113938037</v>
      </c>
      <c r="F4" s="30">
        <f t="shared" ref="F4:F18" si="5">E4+D4</f>
        <v>10.940058653015345</v>
      </c>
      <c r="G4" s="29">
        <f t="shared" si="0"/>
        <v>5.22</v>
      </c>
      <c r="H4" s="29">
        <f t="shared" si="1"/>
        <v>16.160058653015344</v>
      </c>
      <c r="I4" s="30">
        <v>29</v>
      </c>
      <c r="J4" s="30">
        <f t="shared" si="2"/>
        <v>3.7826086956521721</v>
      </c>
      <c r="K4" s="56">
        <f t="shared" si="3"/>
        <v>0.64082991210233253</v>
      </c>
      <c r="L4" s="30">
        <f t="shared" si="4"/>
        <v>9.0573326513324837</v>
      </c>
    </row>
    <row r="5" spans="1:12" ht="22.25" customHeight="1" x14ac:dyDescent="0.3">
      <c r="A5" s="19">
        <v>9</v>
      </c>
      <c r="B5" s="19" t="s">
        <v>326</v>
      </c>
      <c r="C5" s="19" t="s">
        <v>329</v>
      </c>
      <c r="D5" s="19">
        <f>VLOOKUP(B5,'قوائم المشاوي وخياراتها'!A$2:B$5,2,FALSE)</f>
        <v>9.6924351416215409</v>
      </c>
      <c r="E5" s="29">
        <f>VLOOKUP(C5,'قوائم المشاوي وخياراتها'!C$2:D$5,2,FALSE)</f>
        <v>0.64282699420021472</v>
      </c>
      <c r="F5" s="29">
        <f t="shared" si="5"/>
        <v>10.335262135821756</v>
      </c>
      <c r="G5" s="29">
        <f t="shared" si="0"/>
        <v>5.22</v>
      </c>
      <c r="H5" s="29">
        <f t="shared" si="1"/>
        <v>15.555262135821756</v>
      </c>
      <c r="I5" s="29">
        <v>29</v>
      </c>
      <c r="J5" s="29">
        <f t="shared" si="2"/>
        <v>3.7826086956521721</v>
      </c>
      <c r="K5" s="56">
        <f t="shared" si="3"/>
        <v>0.61684660193775931</v>
      </c>
      <c r="L5" s="29">
        <f t="shared" si="4"/>
        <v>9.6621291685260715</v>
      </c>
    </row>
    <row r="6" spans="1:12" ht="22.25" customHeight="1" x14ac:dyDescent="0.3">
      <c r="A6" s="22">
        <v>13</v>
      </c>
      <c r="B6" s="22" t="s">
        <v>326</v>
      </c>
      <c r="C6" s="22" t="s">
        <v>330</v>
      </c>
      <c r="D6" s="22">
        <f>VLOOKUP(B6,'قوائم المشاوي وخياراتها'!A$2:B$5,2,FALSE)</f>
        <v>9.6924351416215409</v>
      </c>
      <c r="E6" s="30">
        <f>VLOOKUP(C6,'قوائم المشاوي وخياراتها'!C$2:D$5,2,FALSE)</f>
        <v>1.8133186554297041</v>
      </c>
      <c r="F6" s="30">
        <f t="shared" si="5"/>
        <v>11.505753797051245</v>
      </c>
      <c r="G6" s="29">
        <f t="shared" si="0"/>
        <v>5.22</v>
      </c>
      <c r="H6" s="29">
        <f t="shared" si="1"/>
        <v>16.725753797051244</v>
      </c>
      <c r="I6" s="30">
        <v>29</v>
      </c>
      <c r="J6" s="30">
        <f t="shared" si="2"/>
        <v>3.7826086956521721</v>
      </c>
      <c r="K6" s="56">
        <f t="shared" si="3"/>
        <v>0.66326265057272171</v>
      </c>
      <c r="L6" s="30">
        <f t="shared" si="4"/>
        <v>8.4916375072965842</v>
      </c>
    </row>
    <row r="7" spans="1:12" ht="22.25" customHeight="1" x14ac:dyDescent="0.3">
      <c r="A7" s="19">
        <v>4</v>
      </c>
      <c r="B7" s="19" t="s">
        <v>9</v>
      </c>
      <c r="C7" s="19" t="s">
        <v>327</v>
      </c>
      <c r="D7" s="19">
        <f>VLOOKUP(B7,'قوائم المشاوي وخياراتها'!A$2:B$5,2,FALSE)</f>
        <v>4.1725674766685952</v>
      </c>
      <c r="E7" s="29">
        <f>VLOOKUP(C7,'قوائم المشاوي وخياراتها'!C$2:D$5,2,FALSE)</f>
        <v>1.2628203474472715</v>
      </c>
      <c r="F7" s="29">
        <f t="shared" si="5"/>
        <v>5.4353878241158666</v>
      </c>
      <c r="G7" s="29">
        <f t="shared" si="0"/>
        <v>4.8599999999999994</v>
      </c>
      <c r="H7" s="29">
        <f t="shared" si="1"/>
        <v>10.295387824115867</v>
      </c>
      <c r="I7" s="29">
        <v>27</v>
      </c>
      <c r="J7" s="29">
        <f t="shared" si="2"/>
        <v>3.5217391304347814</v>
      </c>
      <c r="K7" s="56">
        <f t="shared" si="3"/>
        <v>0.43850725917530542</v>
      </c>
      <c r="L7" s="29">
        <f t="shared" si="4"/>
        <v>13.182873045449352</v>
      </c>
    </row>
    <row r="8" spans="1:12" ht="22.25" customHeight="1" x14ac:dyDescent="0.3">
      <c r="A8" s="22">
        <v>8</v>
      </c>
      <c r="B8" s="22" t="s">
        <v>9</v>
      </c>
      <c r="C8" s="22" t="s">
        <v>328</v>
      </c>
      <c r="D8" s="22">
        <f>VLOOKUP(B8,'قوائم المشاوي وخياراتها'!A$2:B$5,2,FALSE)</f>
        <v>4.1725674766685952</v>
      </c>
      <c r="E8" s="30">
        <f>VLOOKUP(C8,'قوائم المشاوي وخياراتها'!C$2:D$5,2,FALSE)</f>
        <v>1.2476235113938037</v>
      </c>
      <c r="F8" s="30">
        <f t="shared" si="5"/>
        <v>5.4201909880623989</v>
      </c>
      <c r="G8" s="29">
        <f t="shared" si="0"/>
        <v>4.8599999999999994</v>
      </c>
      <c r="H8" s="29">
        <f t="shared" si="1"/>
        <v>10.280190988062397</v>
      </c>
      <c r="I8" s="30">
        <v>27</v>
      </c>
      <c r="J8" s="30">
        <f t="shared" si="2"/>
        <v>3.5217391304347814</v>
      </c>
      <c r="K8" s="57">
        <f t="shared" si="3"/>
        <v>0.43785998652858354</v>
      </c>
      <c r="L8" s="30">
        <f t="shared" si="4"/>
        <v>13.198069881502821</v>
      </c>
    </row>
    <row r="9" spans="1:12" ht="22.25" customHeight="1" x14ac:dyDescent="0.3">
      <c r="A9" s="19">
        <v>12</v>
      </c>
      <c r="B9" s="19" t="s">
        <v>9</v>
      </c>
      <c r="C9" s="19" t="s">
        <v>329</v>
      </c>
      <c r="D9" s="19">
        <f>VLOOKUP(B9,'قوائم المشاوي وخياراتها'!A$2:B$5,2,FALSE)</f>
        <v>4.1725674766685952</v>
      </c>
      <c r="E9" s="29">
        <f>VLOOKUP(C9,'قوائم المشاوي وخياراتها'!C$2:D$5,2,FALSE)</f>
        <v>0.64282699420021472</v>
      </c>
      <c r="F9" s="29">
        <f t="shared" si="5"/>
        <v>4.8153944708688101</v>
      </c>
      <c r="G9" s="29">
        <f t="shared" si="0"/>
        <v>4.8599999999999994</v>
      </c>
      <c r="H9" s="29">
        <f t="shared" si="1"/>
        <v>9.6753944708688095</v>
      </c>
      <c r="I9" s="29">
        <v>27</v>
      </c>
      <c r="J9" s="29">
        <f t="shared" si="2"/>
        <v>3.5217391304347814</v>
      </c>
      <c r="K9" s="57">
        <f t="shared" si="3"/>
        <v>0.41210013487033814</v>
      </c>
      <c r="L9" s="29">
        <f t="shared" si="4"/>
        <v>13.802866398696409</v>
      </c>
    </row>
    <row r="10" spans="1:12" ht="22.25" customHeight="1" x14ac:dyDescent="0.3">
      <c r="A10" s="22">
        <v>16</v>
      </c>
      <c r="B10" s="22" t="s">
        <v>9</v>
      </c>
      <c r="C10" s="22" t="s">
        <v>330</v>
      </c>
      <c r="D10" s="22">
        <f>VLOOKUP(B10,'قوائم المشاوي وخياراتها'!A$2:B$5,2,FALSE)</f>
        <v>4.1725674766685952</v>
      </c>
      <c r="E10" s="30">
        <f>VLOOKUP(C10,'قوائم المشاوي وخياراتها'!C$2:D$5,2,FALSE)</f>
        <v>1.8133186554297041</v>
      </c>
      <c r="F10" s="30">
        <f t="shared" si="5"/>
        <v>5.9858861320982992</v>
      </c>
      <c r="G10" s="29">
        <f t="shared" si="0"/>
        <v>4.8599999999999994</v>
      </c>
      <c r="H10" s="29">
        <f t="shared" si="1"/>
        <v>10.845886132098299</v>
      </c>
      <c r="I10" s="30">
        <v>27</v>
      </c>
      <c r="J10" s="30">
        <f t="shared" si="2"/>
        <v>3.5217391304347814</v>
      </c>
      <c r="K10" s="57">
        <f t="shared" si="3"/>
        <v>0.46195440933011267</v>
      </c>
      <c r="L10" s="30">
        <f t="shared" si="4"/>
        <v>12.63237473746692</v>
      </c>
    </row>
    <row r="11" spans="1:12" ht="22.25" customHeight="1" x14ac:dyDescent="0.3">
      <c r="A11" s="19">
        <v>3</v>
      </c>
      <c r="B11" s="19" t="s">
        <v>10</v>
      </c>
      <c r="C11" s="19" t="s">
        <v>327</v>
      </c>
      <c r="D11" s="19">
        <f>VLOOKUP(B11,'قوائم المشاوي وخياراتها'!A$2:B$5,2,FALSE)</f>
        <v>5.0339158136340263</v>
      </c>
      <c r="E11" s="29">
        <f>VLOOKUP(C11,'قوائم المشاوي وخياراتها'!C$2:D$5,2,FALSE)</f>
        <v>1.2628203474472715</v>
      </c>
      <c r="F11" s="29">
        <f t="shared" si="5"/>
        <v>6.2967361610812977</v>
      </c>
      <c r="G11" s="29">
        <f t="shared" si="0"/>
        <v>4.8599999999999994</v>
      </c>
      <c r="H11" s="29">
        <f t="shared" si="1"/>
        <v>11.156736161081298</v>
      </c>
      <c r="I11" s="29">
        <v>27</v>
      </c>
      <c r="J11" s="29">
        <f t="shared" si="2"/>
        <v>3.5217391304347814</v>
      </c>
      <c r="K11" s="57">
        <f t="shared" si="3"/>
        <v>0.47519431797198119</v>
      </c>
      <c r="L11" s="29">
        <f t="shared" si="4"/>
        <v>12.321524708483921</v>
      </c>
    </row>
    <row r="12" spans="1:12" ht="22.25" customHeight="1" x14ac:dyDescent="0.3">
      <c r="A12" s="22">
        <v>7</v>
      </c>
      <c r="B12" s="22" t="s">
        <v>10</v>
      </c>
      <c r="C12" s="22" t="s">
        <v>328</v>
      </c>
      <c r="D12" s="22">
        <f>VLOOKUP(B12,'قوائم المشاوي وخياراتها'!A$2:B$5,2,FALSE)</f>
        <v>5.0339158136340263</v>
      </c>
      <c r="E12" s="30">
        <f>VLOOKUP(C12,'قوائم المشاوي وخياراتها'!C$2:D$5,2,FALSE)</f>
        <v>1.2476235113938037</v>
      </c>
      <c r="F12" s="30">
        <f t="shared" si="5"/>
        <v>6.28153932502783</v>
      </c>
      <c r="G12" s="29">
        <f t="shared" si="0"/>
        <v>4.8599999999999994</v>
      </c>
      <c r="H12" s="29">
        <f t="shared" si="1"/>
        <v>11.141539325027829</v>
      </c>
      <c r="I12" s="30">
        <v>27</v>
      </c>
      <c r="J12" s="30">
        <f t="shared" si="2"/>
        <v>3.5217391304347814</v>
      </c>
      <c r="K12" s="57">
        <f t="shared" si="3"/>
        <v>0.47454704532525932</v>
      </c>
      <c r="L12" s="30">
        <f t="shared" si="4"/>
        <v>12.33672154453739</v>
      </c>
    </row>
    <row r="13" spans="1:12" ht="22.25" customHeight="1" x14ac:dyDescent="0.3">
      <c r="A13" s="19">
        <v>11</v>
      </c>
      <c r="B13" s="19" t="s">
        <v>10</v>
      </c>
      <c r="C13" s="19" t="s">
        <v>329</v>
      </c>
      <c r="D13" s="19">
        <f>VLOOKUP(B13,'قوائم المشاوي وخياراتها'!A$2:B$5,2,FALSE)</f>
        <v>5.0339158136340263</v>
      </c>
      <c r="E13" s="29">
        <f>VLOOKUP(C13,'قوائم المشاوي وخياراتها'!C$2:D$5,2,FALSE)</f>
        <v>0.64282699420021472</v>
      </c>
      <c r="F13" s="29">
        <f t="shared" si="5"/>
        <v>5.6767428078342412</v>
      </c>
      <c r="G13" s="29">
        <f t="shared" si="0"/>
        <v>4.8599999999999994</v>
      </c>
      <c r="H13" s="29">
        <f t="shared" si="1"/>
        <v>10.536742807834241</v>
      </c>
      <c r="I13" s="29">
        <v>27</v>
      </c>
      <c r="J13" s="29">
        <f t="shared" si="2"/>
        <v>3.5217391304347814</v>
      </c>
      <c r="K13" s="57">
        <f t="shared" si="3"/>
        <v>0.44878719366701392</v>
      </c>
      <c r="L13" s="29">
        <f t="shared" si="4"/>
        <v>12.941518061730978</v>
      </c>
    </row>
    <row r="14" spans="1:12" ht="22.25" customHeight="1" x14ac:dyDescent="0.3">
      <c r="A14" s="22">
        <v>15</v>
      </c>
      <c r="B14" s="22" t="s">
        <v>10</v>
      </c>
      <c r="C14" s="22" t="s">
        <v>330</v>
      </c>
      <c r="D14" s="22">
        <f>VLOOKUP(B14,'قوائم المشاوي وخياراتها'!A$2:B$5,2,FALSE)</f>
        <v>5.0339158136340263</v>
      </c>
      <c r="E14" s="30">
        <f>VLOOKUP(C14,'قوائم المشاوي وخياراتها'!C$2:D$5,2,FALSE)</f>
        <v>1.8133186554297041</v>
      </c>
      <c r="F14" s="30">
        <f t="shared" si="5"/>
        <v>6.8472344690637303</v>
      </c>
      <c r="G14" s="29">
        <f t="shared" si="0"/>
        <v>4.8599999999999994</v>
      </c>
      <c r="H14" s="29">
        <f t="shared" si="1"/>
        <v>11.70723446906373</v>
      </c>
      <c r="I14" s="30">
        <v>27</v>
      </c>
      <c r="J14" s="30">
        <f t="shared" si="2"/>
        <v>3.5217391304347814</v>
      </c>
      <c r="K14" s="57">
        <f t="shared" si="3"/>
        <v>0.49864146812678845</v>
      </c>
      <c r="L14" s="30">
        <f t="shared" si="4"/>
        <v>11.771026400501489</v>
      </c>
    </row>
    <row r="15" spans="1:12" ht="22.25" customHeight="1" x14ac:dyDescent="0.3">
      <c r="A15" s="19">
        <v>2</v>
      </c>
      <c r="B15" s="19" t="s">
        <v>8</v>
      </c>
      <c r="C15" s="19" t="s">
        <v>327</v>
      </c>
      <c r="D15" s="19">
        <f>VLOOKUP(B15,'قوائم المشاوي وخياراتها'!A$2:B$5,2,FALSE)</f>
        <v>7.4682800000000009</v>
      </c>
      <c r="E15" s="29">
        <f>VLOOKUP(C15,'قوائم المشاوي وخياراتها'!C$2:D$5,2,FALSE)</f>
        <v>1.2628203474472715</v>
      </c>
      <c r="F15" s="29">
        <f t="shared" si="5"/>
        <v>8.7311003474472724</v>
      </c>
      <c r="G15" s="29">
        <f t="shared" si="0"/>
        <v>5.22</v>
      </c>
      <c r="H15" s="29">
        <f t="shared" si="1"/>
        <v>13.951100347447273</v>
      </c>
      <c r="I15" s="29">
        <v>29</v>
      </c>
      <c r="J15" s="29">
        <f t="shared" si="2"/>
        <v>3.7826086956521721</v>
      </c>
      <c r="K15" s="56">
        <f t="shared" si="3"/>
        <v>0.55323328964015039</v>
      </c>
      <c r="L15" s="29">
        <f t="shared" si="4"/>
        <v>11.266290956900555</v>
      </c>
    </row>
    <row r="16" spans="1:12" ht="22.25" customHeight="1" x14ac:dyDescent="0.3">
      <c r="A16" s="22">
        <v>6</v>
      </c>
      <c r="B16" s="22" t="s">
        <v>8</v>
      </c>
      <c r="C16" s="22" t="s">
        <v>328</v>
      </c>
      <c r="D16" s="22">
        <f>VLOOKUP(B16,'قوائم المشاوي وخياراتها'!A$2:B$5,2,FALSE)</f>
        <v>7.4682800000000009</v>
      </c>
      <c r="E16" s="30">
        <f>VLOOKUP(C16,'قوائم المشاوي وخياراتها'!C$2:D$5,2,FALSE)</f>
        <v>1.2476235113938037</v>
      </c>
      <c r="F16" s="30">
        <f t="shared" si="5"/>
        <v>8.7159035113938046</v>
      </c>
      <c r="G16" s="29">
        <f t="shared" si="0"/>
        <v>5.22</v>
      </c>
      <c r="H16" s="29">
        <f t="shared" si="1"/>
        <v>13.935903511393803</v>
      </c>
      <c r="I16" s="30">
        <v>29</v>
      </c>
      <c r="J16" s="30">
        <f t="shared" si="2"/>
        <v>3.7826086956521721</v>
      </c>
      <c r="K16" s="56">
        <f t="shared" si="3"/>
        <v>0.55263065648630594</v>
      </c>
      <c r="L16" s="30">
        <f t="shared" si="4"/>
        <v>11.281487792954024</v>
      </c>
    </row>
    <row r="17" spans="1:12" ht="22.25" customHeight="1" x14ac:dyDescent="0.3">
      <c r="A17" s="19">
        <v>10</v>
      </c>
      <c r="B17" s="19" t="s">
        <v>8</v>
      </c>
      <c r="C17" s="19" t="s">
        <v>329</v>
      </c>
      <c r="D17" s="19">
        <f>VLOOKUP(B17,'قوائم المشاوي وخياراتها'!A$2:B$5,2,FALSE)</f>
        <v>7.4682800000000009</v>
      </c>
      <c r="E17" s="29">
        <f>VLOOKUP(C17,'قوائم المشاوي وخياراتها'!C$2:D$5,2,FALSE)</f>
        <v>0.64282699420021472</v>
      </c>
      <c r="F17" s="29">
        <f t="shared" si="5"/>
        <v>8.111106994200215</v>
      </c>
      <c r="G17" s="29">
        <f t="shared" si="0"/>
        <v>5.22</v>
      </c>
      <c r="H17" s="29">
        <f t="shared" si="1"/>
        <v>13.331106994200216</v>
      </c>
      <c r="I17" s="29">
        <v>29</v>
      </c>
      <c r="J17" s="29">
        <f t="shared" si="2"/>
        <v>3.7826086956521721</v>
      </c>
      <c r="K17" s="56">
        <f t="shared" si="3"/>
        <v>0.5286473463217326</v>
      </c>
      <c r="L17" s="29">
        <f t="shared" si="4"/>
        <v>11.886284310147612</v>
      </c>
    </row>
    <row r="18" spans="1:12" ht="22.25" customHeight="1" x14ac:dyDescent="0.3">
      <c r="A18" s="22">
        <v>14</v>
      </c>
      <c r="B18" s="22" t="s">
        <v>8</v>
      </c>
      <c r="C18" s="22" t="s">
        <v>330</v>
      </c>
      <c r="D18" s="22">
        <f>VLOOKUP(B18,'قوائم المشاوي وخياراتها'!A$2:B$5,2,FALSE)</f>
        <v>7.4682800000000009</v>
      </c>
      <c r="E18" s="30">
        <f>VLOOKUP(C18,'قوائم المشاوي وخياراتها'!C$2:D$5,2,FALSE)</f>
        <v>1.8133186554297041</v>
      </c>
      <c r="F18" s="30">
        <f t="shared" si="5"/>
        <v>9.2815986554297041</v>
      </c>
      <c r="G18" s="29">
        <f t="shared" si="0"/>
        <v>5.22</v>
      </c>
      <c r="H18" s="29">
        <f t="shared" si="1"/>
        <v>14.501598655429703</v>
      </c>
      <c r="I18" s="30">
        <v>29</v>
      </c>
      <c r="J18" s="30">
        <f t="shared" si="2"/>
        <v>3.7826086956521721</v>
      </c>
      <c r="K18" s="56">
        <f t="shared" si="3"/>
        <v>0.57506339495669512</v>
      </c>
      <c r="L18" s="30">
        <f t="shared" si="4"/>
        <v>10.715792648918125</v>
      </c>
    </row>
  </sheetData>
  <autoFilter ref="A2:L18" xr:uid="{00000000-0009-0000-0000-000002000000}">
    <sortState xmlns:xlrd2="http://schemas.microsoft.com/office/spreadsheetml/2017/richdata2" ref="A3:L18">
      <sortCondition ref="B2:B18"/>
    </sortState>
  </autoFilter>
  <mergeCells count="1">
    <mergeCell ref="A1:L1"/>
  </mergeCells>
  <pageMargins left="0.7" right="0.7" top="0.75" bottom="0.75" header="0.3" footer="0.3"/>
  <pageSetup orientation="portrait" horizontalDpi="203" verticalDpi="203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200-000000000000}">
          <x14:formula1>
            <xm:f>'قوائم المشاوي وخياراتها'!$A$2:$A$5</xm:f>
          </x14:formula1>
          <xm:sqref>B3:B18</xm:sqref>
        </x14:dataValidation>
        <x14:dataValidation type="list" allowBlank="1" showInputMessage="1" showErrorMessage="1" xr:uid="{00000000-0002-0000-0200-000001000000}">
          <x14:formula1>
            <xm:f>'قوائم المشاوي وخياراتها'!$C$2:$C$5</xm:f>
          </x14:formula1>
          <xm:sqref>C3:C18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52"/>
  <sheetViews>
    <sheetView rightToLeft="1" zoomScale="130" zoomScaleNormal="130" workbookViewId="0">
      <selection activeCell="Y6" sqref="Y6"/>
    </sheetView>
  </sheetViews>
  <sheetFormatPr defaultRowHeight="14" x14ac:dyDescent="0.3"/>
  <cols>
    <col min="1" max="1" width="13.6640625" customWidth="1"/>
    <col min="2" max="2" width="7.4140625" customWidth="1"/>
    <col min="3" max="3" width="7.1640625" customWidth="1"/>
    <col min="4" max="4" width="5.9140625" customWidth="1"/>
    <col min="5" max="5" width="7" customWidth="1"/>
    <col min="6" max="6" width="5.6640625" customWidth="1"/>
    <col min="7" max="7" width="6.6640625" customWidth="1"/>
    <col min="8" max="8" width="6.9140625" customWidth="1"/>
    <col min="9" max="9" width="5.4140625" style="26" hidden="1" customWidth="1"/>
    <col min="10" max="10" width="5.6640625" hidden="1" customWidth="1"/>
    <col min="11" max="11" width="5.4140625" hidden="1" customWidth="1"/>
    <col min="12" max="12" width="5.6640625" hidden="1" customWidth="1"/>
    <col min="13" max="13" width="5.4140625" hidden="1" customWidth="1"/>
    <col min="14" max="14" width="6.58203125" hidden="1" customWidth="1"/>
    <col min="15" max="15" width="5.58203125" hidden="1" customWidth="1"/>
    <col min="16" max="16" width="5.6640625" hidden="1" customWidth="1"/>
    <col min="17" max="17" width="5.4140625" hidden="1" customWidth="1"/>
    <col min="18" max="18" width="5.58203125" hidden="1" customWidth="1"/>
    <col min="19" max="19" width="7.58203125" customWidth="1"/>
    <col min="20" max="20" width="7" customWidth="1"/>
    <col min="21" max="21" width="7.4140625" customWidth="1"/>
    <col min="22" max="22" width="7.58203125" customWidth="1"/>
    <col min="23" max="23" width="6" customWidth="1"/>
    <col min="24" max="24" width="7.1640625" customWidth="1"/>
    <col min="25" max="25" width="9.9140625" customWidth="1"/>
    <col min="26" max="26" width="16.08203125" hidden="1" customWidth="1"/>
    <col min="27" max="29" width="8.6640625" customWidth="1"/>
    <col min="30" max="34" width="8.6640625" hidden="1" customWidth="1"/>
    <col min="35" max="35" width="8.6640625" customWidth="1"/>
  </cols>
  <sheetData>
    <row r="1" spans="1:34" ht="45" customHeight="1" x14ac:dyDescent="0.3">
      <c r="A1" s="227" t="s">
        <v>331</v>
      </c>
      <c r="B1" s="228"/>
      <c r="C1" s="228"/>
      <c r="D1" s="228"/>
      <c r="E1" s="228"/>
      <c r="F1" s="228"/>
      <c r="G1" s="228"/>
      <c r="H1" s="228"/>
      <c r="I1" s="228"/>
      <c r="J1" s="228"/>
      <c r="K1" s="228"/>
      <c r="L1" s="228"/>
      <c r="M1" s="228"/>
      <c r="N1" s="228"/>
      <c r="O1" s="228"/>
      <c r="P1" s="228"/>
      <c r="Q1" s="228"/>
      <c r="R1" s="228"/>
      <c r="S1" s="228"/>
      <c r="T1" s="228"/>
      <c r="U1" s="228"/>
      <c r="V1" s="228"/>
      <c r="W1" s="228"/>
      <c r="X1" s="228"/>
    </row>
    <row r="2" spans="1:34" s="64" customFormat="1" ht="39" customHeight="1" x14ac:dyDescent="0.3">
      <c r="A2" s="63" t="s">
        <v>332</v>
      </c>
      <c r="B2" s="63" t="s">
        <v>322</v>
      </c>
      <c r="C2" s="63" t="s">
        <v>44</v>
      </c>
      <c r="D2" s="63" t="s">
        <v>323</v>
      </c>
      <c r="E2" s="63" t="s">
        <v>333</v>
      </c>
      <c r="F2" s="63" t="s">
        <v>47</v>
      </c>
      <c r="G2" s="63" t="s">
        <v>48</v>
      </c>
      <c r="H2" s="63" t="s">
        <v>325</v>
      </c>
      <c r="I2" s="69" t="s">
        <v>334</v>
      </c>
      <c r="J2" s="68" t="s">
        <v>335</v>
      </c>
      <c r="K2" s="68" t="s">
        <v>323</v>
      </c>
      <c r="L2" s="68" t="s">
        <v>47</v>
      </c>
      <c r="M2" s="68" t="s">
        <v>325</v>
      </c>
      <c r="N2" s="68" t="s">
        <v>336</v>
      </c>
      <c r="O2" s="68" t="s">
        <v>335</v>
      </c>
      <c r="P2" s="68" t="s">
        <v>323</v>
      </c>
      <c r="Q2" s="68" t="s">
        <v>47</v>
      </c>
      <c r="R2" s="68" t="s">
        <v>325</v>
      </c>
      <c r="S2" s="63" t="s">
        <v>337</v>
      </c>
      <c r="T2" s="63" t="s">
        <v>338</v>
      </c>
      <c r="U2" s="63" t="s">
        <v>339</v>
      </c>
      <c r="V2" s="63" t="s">
        <v>340</v>
      </c>
      <c r="W2" s="63" t="s">
        <v>341</v>
      </c>
      <c r="X2" s="63" t="s">
        <v>342</v>
      </c>
    </row>
    <row r="3" spans="1:34" ht="18" customHeight="1" x14ac:dyDescent="0.3">
      <c r="A3" s="58" t="s">
        <v>7</v>
      </c>
      <c r="B3" s="49">
        <f>AVERAGE('تكلفةالمشاوي واحتماليات الاطباق'!F3:F6)</f>
        <v>10.934082518739288</v>
      </c>
      <c r="C3" s="49">
        <f>E3*18%</f>
        <v>7.02</v>
      </c>
      <c r="D3" s="49">
        <f>B3+C3</f>
        <v>17.954082518739288</v>
      </c>
      <c r="E3" s="49">
        <v>39</v>
      </c>
      <c r="F3" s="49">
        <f>E3-E3/1.15</f>
        <v>5.0869565217391255</v>
      </c>
      <c r="G3" s="71">
        <f>D3/(E3-F3)</f>
        <v>0.52941525375769682</v>
      </c>
      <c r="H3" s="49">
        <f>E3-F3-D3</f>
        <v>15.958960959521587</v>
      </c>
      <c r="I3" s="70">
        <f>B3/30%</f>
        <v>36.446941729130963</v>
      </c>
      <c r="S3" s="71">
        <f>D3/E3</f>
        <v>0.46036109022408428</v>
      </c>
      <c r="T3" s="49">
        <f>D3/20%</f>
        <v>89.770412593696435</v>
      </c>
      <c r="U3" s="49">
        <f>D3/30%</f>
        <v>59.846941729130961</v>
      </c>
      <c r="V3" s="49">
        <f>D3/40%</f>
        <v>44.885206296848217</v>
      </c>
      <c r="W3" s="49">
        <f>D3/50%</f>
        <v>35.908165037478575</v>
      </c>
      <c r="X3" s="49">
        <f>D3/60%</f>
        <v>29.923470864565481</v>
      </c>
    </row>
    <row r="4" spans="1:34" ht="18" customHeight="1" x14ac:dyDescent="0.3">
      <c r="A4" s="58" t="s">
        <v>8</v>
      </c>
      <c r="B4" s="49">
        <f>AVERAGE('تكلفةالمشاوي واحتماليات الاطباق'!F15:F18)</f>
        <v>8.709927377117749</v>
      </c>
      <c r="C4" s="49">
        <f t="shared" ref="C4:C31" si="0">E4*18%</f>
        <v>6.84</v>
      </c>
      <c r="D4" s="49">
        <f t="shared" ref="D4:D31" si="1">B4+C4</f>
        <v>15.549927377117749</v>
      </c>
      <c r="E4" s="49">
        <v>38</v>
      </c>
      <c r="F4" s="49">
        <f t="shared" ref="F4:F31" si="2">E4-E4/1.15</f>
        <v>4.9565217391304301</v>
      </c>
      <c r="G4" s="71">
        <f t="shared" ref="G4:G31" si="3">D4/(E4-F4)</f>
        <v>0.47058990746540547</v>
      </c>
      <c r="H4" s="49">
        <f t="shared" ref="H4:H31" si="4">E4-F4-D4</f>
        <v>17.493550883751823</v>
      </c>
      <c r="I4" s="70">
        <f t="shared" ref="I4:I31" si="5">B4/30%</f>
        <v>29.033091257059166</v>
      </c>
      <c r="S4" s="71">
        <f t="shared" ref="S4:S31" si="6">D4/E4</f>
        <v>0.40920861518730917</v>
      </c>
      <c r="T4" s="49">
        <f t="shared" ref="T4:T31" si="7">D4/20%</f>
        <v>77.749636885588743</v>
      </c>
      <c r="U4" s="49">
        <f t="shared" ref="U4:U31" si="8">D4/30%</f>
        <v>51.833091257059166</v>
      </c>
      <c r="V4" s="49">
        <f t="shared" ref="V4:V31" si="9">D4/40%</f>
        <v>38.874818442794371</v>
      </c>
      <c r="W4" s="49">
        <f t="shared" ref="W4:W31" si="10">D4/50%</f>
        <v>31.099854754235498</v>
      </c>
      <c r="X4" s="49">
        <f t="shared" ref="X4:X31" si="11">D4/60%</f>
        <v>25.916545628529583</v>
      </c>
    </row>
    <row r="5" spans="1:34" ht="18" customHeight="1" x14ac:dyDescent="0.3">
      <c r="A5" s="58" t="s">
        <v>9</v>
      </c>
      <c r="B5" s="49">
        <f>AVERAGE('تكلفةالمشاوي واحتماليات الاطباق'!F7:F10)</f>
        <v>5.4142148537863442</v>
      </c>
      <c r="C5" s="49">
        <f t="shared" si="0"/>
        <v>6.66</v>
      </c>
      <c r="D5" s="49">
        <f t="shared" si="1"/>
        <v>12.074214853786344</v>
      </c>
      <c r="E5" s="49">
        <v>37</v>
      </c>
      <c r="F5" s="49">
        <f t="shared" si="2"/>
        <v>4.8260869565217348</v>
      </c>
      <c r="G5" s="71">
        <f t="shared" si="3"/>
        <v>0.37527965086092685</v>
      </c>
      <c r="H5" s="49">
        <f t="shared" si="4"/>
        <v>20.099698189691921</v>
      </c>
      <c r="I5" s="70">
        <f t="shared" si="5"/>
        <v>18.047382845954481</v>
      </c>
      <c r="S5" s="71">
        <f t="shared" si="6"/>
        <v>0.3263301311834147</v>
      </c>
      <c r="T5" s="49">
        <f t="shared" si="7"/>
        <v>60.371074268931721</v>
      </c>
      <c r="U5" s="49">
        <f t="shared" si="8"/>
        <v>40.247382845954483</v>
      </c>
      <c r="V5" s="49">
        <f t="shared" si="9"/>
        <v>30.185537134465861</v>
      </c>
      <c r="W5" s="49">
        <f t="shared" si="10"/>
        <v>24.148429707572689</v>
      </c>
      <c r="X5" s="49">
        <f t="shared" si="11"/>
        <v>20.123691422977242</v>
      </c>
    </row>
    <row r="6" spans="1:34" ht="18" customHeight="1" x14ac:dyDescent="0.3">
      <c r="A6" s="58" t="s">
        <v>10</v>
      </c>
      <c r="B6" s="49">
        <f>AVERAGE('تكلفةالمشاوي واحتماليات الاطباق'!F11:F14)</f>
        <v>6.2755631907517753</v>
      </c>
      <c r="C6" s="49">
        <f t="shared" si="0"/>
        <v>6.4799999999999995</v>
      </c>
      <c r="D6" s="49">
        <f t="shared" si="1"/>
        <v>12.755563190751776</v>
      </c>
      <c r="E6" s="49">
        <v>36</v>
      </c>
      <c r="F6" s="49">
        <f t="shared" si="2"/>
        <v>4.6956521739130395</v>
      </c>
      <c r="G6" s="71">
        <f>D6/(E6-F6)</f>
        <v>0.40746937970457053</v>
      </c>
      <c r="H6" s="49">
        <f t="shared" si="4"/>
        <v>18.548784635335185</v>
      </c>
      <c r="I6" s="70">
        <f t="shared" si="5"/>
        <v>20.918543969172585</v>
      </c>
      <c r="S6" s="71">
        <f t="shared" si="6"/>
        <v>0.35432119974310489</v>
      </c>
      <c r="T6" s="49">
        <f t="shared" si="7"/>
        <v>63.777815953758875</v>
      </c>
      <c r="U6" s="49">
        <f t="shared" si="8"/>
        <v>42.51854396917259</v>
      </c>
      <c r="V6" s="49">
        <f t="shared" si="9"/>
        <v>31.888907976879437</v>
      </c>
      <c r="W6" s="49">
        <f t="shared" si="10"/>
        <v>25.511126381503551</v>
      </c>
      <c r="X6" s="49">
        <f t="shared" si="11"/>
        <v>21.259271984586295</v>
      </c>
      <c r="Z6" s="75" t="s">
        <v>343</v>
      </c>
    </row>
    <row r="7" spans="1:34" ht="18" customHeight="1" x14ac:dyDescent="0.3">
      <c r="A7" s="59" t="s">
        <v>11</v>
      </c>
      <c r="B7" s="49">
        <f>'تكاليف المنتجات'!V$2</f>
        <v>6.6337860498842716</v>
      </c>
      <c r="C7" s="49">
        <f t="shared" si="0"/>
        <v>6.84</v>
      </c>
      <c r="D7" s="49">
        <f t="shared" si="1"/>
        <v>13.473786049884271</v>
      </c>
      <c r="E7" s="49">
        <v>38</v>
      </c>
      <c r="F7" s="49">
        <f t="shared" si="2"/>
        <v>4.9565217391304301</v>
      </c>
      <c r="G7" s="71">
        <f t="shared" si="3"/>
        <v>0.40775931466755028</v>
      </c>
      <c r="H7" s="49">
        <f t="shared" si="4"/>
        <v>19.569692210985298</v>
      </c>
      <c r="I7" s="70">
        <f t="shared" si="5"/>
        <v>22.112620166280905</v>
      </c>
      <c r="S7" s="71">
        <f t="shared" si="6"/>
        <v>0.35457331710221768</v>
      </c>
      <c r="T7" s="49">
        <f t="shared" si="7"/>
        <v>67.368930249421354</v>
      </c>
      <c r="U7" s="49">
        <f t="shared" si="8"/>
        <v>44.912620166280909</v>
      </c>
      <c r="V7" s="49">
        <f t="shared" si="9"/>
        <v>33.684465124710677</v>
      </c>
      <c r="W7" s="49">
        <f t="shared" si="10"/>
        <v>26.947572099768543</v>
      </c>
      <c r="X7" s="49">
        <f t="shared" si="11"/>
        <v>22.456310083140455</v>
      </c>
      <c r="Z7" s="76" t="s">
        <v>344</v>
      </c>
    </row>
    <row r="8" spans="1:34" ht="18" customHeight="1" x14ac:dyDescent="0.3">
      <c r="A8" s="59" t="s">
        <v>12</v>
      </c>
      <c r="B8" s="49">
        <f>'تكاليف المنتجات'!Y2</f>
        <v>4.2958416306491127</v>
      </c>
      <c r="C8" s="49">
        <f t="shared" si="0"/>
        <v>6.66</v>
      </c>
      <c r="D8" s="49">
        <f t="shared" si="1"/>
        <v>10.955841630649113</v>
      </c>
      <c r="E8" s="49">
        <v>37</v>
      </c>
      <c r="F8" s="49">
        <f t="shared" si="2"/>
        <v>4.8260869565217348</v>
      </c>
      <c r="G8" s="71">
        <f t="shared" si="3"/>
        <v>0.34051940203368858</v>
      </c>
      <c r="H8" s="49">
        <f t="shared" si="4"/>
        <v>21.218071412829154</v>
      </c>
      <c r="I8" s="70">
        <f t="shared" si="5"/>
        <v>14.31947210216371</v>
      </c>
      <c r="S8" s="71">
        <f t="shared" si="6"/>
        <v>0.29610382785538142</v>
      </c>
      <c r="T8" s="49">
        <f t="shared" si="7"/>
        <v>54.779208153245563</v>
      </c>
      <c r="U8" s="49">
        <f t="shared" si="8"/>
        <v>36.519472102163711</v>
      </c>
      <c r="V8" s="49">
        <f t="shared" si="9"/>
        <v>27.389604076622781</v>
      </c>
      <c r="W8" s="49">
        <f t="shared" si="10"/>
        <v>21.911683261298226</v>
      </c>
      <c r="X8" s="49">
        <f t="shared" si="11"/>
        <v>18.259736051081855</v>
      </c>
      <c r="Z8" s="77" t="s">
        <v>345</v>
      </c>
    </row>
    <row r="9" spans="1:34" ht="18" customHeight="1" x14ac:dyDescent="0.3">
      <c r="A9" s="59" t="s">
        <v>13</v>
      </c>
      <c r="B9" s="49">
        <f>'تكاليف المنتجات'!AB$2</f>
        <v>3.6889195608749237</v>
      </c>
      <c r="C9" s="49">
        <f t="shared" si="0"/>
        <v>4.32</v>
      </c>
      <c r="D9" s="49">
        <f t="shared" si="1"/>
        <v>8.008919560874924</v>
      </c>
      <c r="E9" s="49">
        <v>24</v>
      </c>
      <c r="F9" s="49">
        <f t="shared" si="2"/>
        <v>3.1304347826086953</v>
      </c>
      <c r="G9" s="71">
        <f t="shared" si="3"/>
        <v>0.38376072895859009</v>
      </c>
      <c r="H9" s="49">
        <f t="shared" si="4"/>
        <v>12.860645656516381</v>
      </c>
      <c r="I9" s="70">
        <f t="shared" si="5"/>
        <v>12.296398536249747</v>
      </c>
      <c r="S9" s="71">
        <f t="shared" si="6"/>
        <v>0.33370498170312185</v>
      </c>
      <c r="T9" s="49">
        <f t="shared" si="7"/>
        <v>40.044597804374618</v>
      </c>
      <c r="U9" s="49">
        <f t="shared" si="8"/>
        <v>26.696398536249749</v>
      </c>
      <c r="V9" s="49">
        <f t="shared" si="9"/>
        <v>20.022298902187309</v>
      </c>
      <c r="W9" s="49">
        <f t="shared" si="10"/>
        <v>16.017839121749848</v>
      </c>
      <c r="X9" s="49">
        <f t="shared" si="11"/>
        <v>13.348199268124874</v>
      </c>
      <c r="Z9" s="78" t="s">
        <v>346</v>
      </c>
    </row>
    <row r="10" spans="1:34" ht="18" customHeight="1" x14ac:dyDescent="0.3">
      <c r="A10" s="59" t="s">
        <v>14</v>
      </c>
      <c r="B10" s="49">
        <f>'تكاليف المنتجات'!AE2</f>
        <v>2.8772299771167051</v>
      </c>
      <c r="C10" s="49">
        <f t="shared" si="0"/>
        <v>4.1399999999999997</v>
      </c>
      <c r="D10" s="49">
        <f t="shared" si="1"/>
        <v>7.0172299771167044</v>
      </c>
      <c r="E10" s="49">
        <v>23</v>
      </c>
      <c r="F10" s="49">
        <f t="shared" si="2"/>
        <v>3</v>
      </c>
      <c r="G10" s="71">
        <f t="shared" si="3"/>
        <v>0.35086149885583523</v>
      </c>
      <c r="H10" s="49">
        <f t="shared" si="4"/>
        <v>12.982770022883296</v>
      </c>
      <c r="I10" s="70">
        <f t="shared" si="5"/>
        <v>9.590766590389018</v>
      </c>
      <c r="S10" s="71">
        <f t="shared" si="6"/>
        <v>0.30509695552681321</v>
      </c>
      <c r="T10" s="49">
        <f t="shared" si="7"/>
        <v>35.086149885583517</v>
      </c>
      <c r="U10" s="49">
        <f t="shared" si="8"/>
        <v>23.390766590389017</v>
      </c>
      <c r="V10" s="49">
        <f t="shared" si="9"/>
        <v>17.543074942791758</v>
      </c>
      <c r="W10" s="49">
        <f t="shared" si="10"/>
        <v>14.034459954233409</v>
      </c>
      <c r="X10" s="49">
        <f t="shared" si="11"/>
        <v>11.695383295194508</v>
      </c>
      <c r="Z10" s="79" t="s">
        <v>347</v>
      </c>
    </row>
    <row r="11" spans="1:34" ht="18" customHeight="1" x14ac:dyDescent="0.3">
      <c r="A11" s="60" t="s">
        <v>15</v>
      </c>
      <c r="B11" s="49">
        <f>'تكاليف المنتجات'!AH2</f>
        <v>1.1374836003051105</v>
      </c>
      <c r="C11" s="49">
        <f t="shared" si="0"/>
        <v>2.52</v>
      </c>
      <c r="D11" s="49">
        <f t="shared" si="1"/>
        <v>3.6574836003051105</v>
      </c>
      <c r="E11" s="49">
        <v>14</v>
      </c>
      <c r="F11" s="49">
        <f t="shared" si="2"/>
        <v>1.8260869565217384</v>
      </c>
      <c r="G11" s="71">
        <f t="shared" si="3"/>
        <v>0.30043615288220549</v>
      </c>
      <c r="H11" s="49">
        <f t="shared" si="4"/>
        <v>8.516429443173152</v>
      </c>
      <c r="I11" s="70">
        <f t="shared" si="5"/>
        <v>3.7916120010170351</v>
      </c>
      <c r="S11" s="71">
        <f t="shared" si="6"/>
        <v>0.26124882859322218</v>
      </c>
      <c r="T11" s="49">
        <f t="shared" si="7"/>
        <v>18.287418001525552</v>
      </c>
      <c r="U11" s="49">
        <f t="shared" si="8"/>
        <v>12.191612001017036</v>
      </c>
      <c r="V11" s="49">
        <f t="shared" si="9"/>
        <v>9.1437090007627759</v>
      </c>
      <c r="W11" s="49">
        <f t="shared" si="10"/>
        <v>7.3149672006102211</v>
      </c>
      <c r="X11" s="49">
        <f t="shared" si="11"/>
        <v>6.0958060005085182</v>
      </c>
    </row>
    <row r="12" spans="1:34" ht="18" customHeight="1" x14ac:dyDescent="0.3">
      <c r="A12" s="60" t="s">
        <v>16</v>
      </c>
      <c r="B12" s="49">
        <f>'تكاليف المنتجات'!AK2</f>
        <v>2.4518188882532415</v>
      </c>
      <c r="C12" s="49">
        <f t="shared" si="0"/>
        <v>2.52</v>
      </c>
      <c r="D12" s="49">
        <f t="shared" si="1"/>
        <v>4.9718188882532415</v>
      </c>
      <c r="E12" s="49">
        <v>14</v>
      </c>
      <c r="F12" s="49">
        <f t="shared" si="2"/>
        <v>1.8260869565217384</v>
      </c>
      <c r="G12" s="71">
        <f t="shared" si="3"/>
        <v>0.40839940867794483</v>
      </c>
      <c r="H12" s="49">
        <f t="shared" si="4"/>
        <v>7.2020941552250202</v>
      </c>
      <c r="I12" s="70">
        <f t="shared" si="5"/>
        <v>8.1727296275108046</v>
      </c>
      <c r="S12" s="71">
        <f t="shared" si="6"/>
        <v>0.35512992058951726</v>
      </c>
      <c r="T12" s="49">
        <f t="shared" si="7"/>
        <v>24.859094441266205</v>
      </c>
      <c r="U12" s="49">
        <f t="shared" si="8"/>
        <v>16.572729627510807</v>
      </c>
      <c r="V12" s="49">
        <f t="shared" si="9"/>
        <v>12.429547220633102</v>
      </c>
      <c r="W12" s="49">
        <f t="shared" si="10"/>
        <v>9.943637776506483</v>
      </c>
      <c r="X12" s="49">
        <f t="shared" si="11"/>
        <v>8.2863648137554033</v>
      </c>
    </row>
    <row r="13" spans="1:34" ht="18" customHeight="1" x14ac:dyDescent="0.3">
      <c r="A13" s="60" t="s">
        <v>17</v>
      </c>
      <c r="B13" s="49">
        <f>'تكاليف المنتجات'!AN2</f>
        <v>4.0902399082393215</v>
      </c>
      <c r="C13" s="49">
        <f t="shared" si="0"/>
        <v>3.2399999999999998</v>
      </c>
      <c r="D13" s="49">
        <f t="shared" si="1"/>
        <v>7.3302399082393208</v>
      </c>
      <c r="E13" s="49">
        <v>18</v>
      </c>
      <c r="F13" s="49">
        <f t="shared" si="2"/>
        <v>2.3478260869565197</v>
      </c>
      <c r="G13" s="71">
        <f t="shared" si="3"/>
        <v>0.46832088302640101</v>
      </c>
      <c r="H13" s="49">
        <f t="shared" si="4"/>
        <v>8.3219340048041595</v>
      </c>
      <c r="I13" s="70">
        <f t="shared" si="5"/>
        <v>13.634133027464406</v>
      </c>
      <c r="S13" s="71">
        <f t="shared" si="6"/>
        <v>0.40723555045774007</v>
      </c>
      <c r="T13" s="49">
        <f t="shared" si="7"/>
        <v>36.651199541196604</v>
      </c>
      <c r="U13" s="49">
        <f t="shared" si="8"/>
        <v>24.434133027464405</v>
      </c>
      <c r="V13" s="49">
        <f t="shared" si="9"/>
        <v>18.325599770598302</v>
      </c>
      <c r="W13" s="49">
        <f t="shared" si="10"/>
        <v>14.660479816478642</v>
      </c>
      <c r="X13" s="49">
        <f t="shared" si="11"/>
        <v>12.217066513732203</v>
      </c>
    </row>
    <row r="14" spans="1:34" ht="18" customHeight="1" x14ac:dyDescent="0.3">
      <c r="A14" s="60" t="s">
        <v>18</v>
      </c>
      <c r="B14" s="49">
        <f>'تكاليف المنتجات'!AQ2</f>
        <v>4.3667578947368417</v>
      </c>
      <c r="C14" s="49">
        <f t="shared" si="0"/>
        <v>3.2399999999999998</v>
      </c>
      <c r="D14" s="49">
        <f t="shared" si="1"/>
        <v>7.6067578947368411</v>
      </c>
      <c r="E14" s="49">
        <v>18</v>
      </c>
      <c r="F14" s="49">
        <f t="shared" si="2"/>
        <v>2.3478260869565197</v>
      </c>
      <c r="G14" s="71">
        <f t="shared" si="3"/>
        <v>0.48598730994152034</v>
      </c>
      <c r="H14" s="49">
        <f t="shared" si="4"/>
        <v>8.0454160183066392</v>
      </c>
      <c r="I14" s="70">
        <f t="shared" si="5"/>
        <v>14.555859649122807</v>
      </c>
      <c r="S14" s="71">
        <f t="shared" si="6"/>
        <v>0.42259766081871342</v>
      </c>
      <c r="T14" s="49">
        <f t="shared" si="7"/>
        <v>38.033789473684202</v>
      </c>
      <c r="U14" s="49">
        <f t="shared" si="8"/>
        <v>25.355859649122806</v>
      </c>
      <c r="V14" s="49">
        <f t="shared" si="9"/>
        <v>19.016894736842101</v>
      </c>
      <c r="W14" s="49">
        <f t="shared" si="10"/>
        <v>15.213515789473682</v>
      </c>
      <c r="X14" s="49">
        <f t="shared" si="11"/>
        <v>12.677929824561403</v>
      </c>
      <c r="AE14" s="40">
        <v>0.2</v>
      </c>
      <c r="AF14" s="40">
        <v>0.3</v>
      </c>
      <c r="AG14" s="40">
        <v>0.4</v>
      </c>
      <c r="AH14" s="40">
        <v>0.5</v>
      </c>
    </row>
    <row r="15" spans="1:34" ht="18" customHeight="1" x14ac:dyDescent="0.3">
      <c r="A15" s="60" t="s">
        <v>19</v>
      </c>
      <c r="B15" s="49">
        <f>'تكاليف المنتجات'!AT2</f>
        <v>1.3528911375534718</v>
      </c>
      <c r="C15" s="49">
        <f t="shared" si="0"/>
        <v>3.06</v>
      </c>
      <c r="D15" s="49">
        <f t="shared" si="1"/>
        <v>4.4128911375534718</v>
      </c>
      <c r="E15" s="49">
        <v>17</v>
      </c>
      <c r="F15" s="49">
        <f t="shared" si="2"/>
        <v>2.2173913043478244</v>
      </c>
      <c r="G15" s="71">
        <f t="shared" si="3"/>
        <v>0.29851910636391127</v>
      </c>
      <c r="H15" s="49">
        <f t="shared" si="4"/>
        <v>10.369717558098703</v>
      </c>
      <c r="I15" s="70">
        <f t="shared" si="5"/>
        <v>4.5096371251782399</v>
      </c>
      <c r="S15" s="71">
        <f t="shared" si="6"/>
        <v>0.25958183162079246</v>
      </c>
      <c r="T15" s="49">
        <f t="shared" si="7"/>
        <v>22.064455687767357</v>
      </c>
      <c r="U15" s="49">
        <f t="shared" si="8"/>
        <v>14.70963712517824</v>
      </c>
      <c r="V15" s="49">
        <f t="shared" si="9"/>
        <v>11.032227843883678</v>
      </c>
      <c r="W15" s="49">
        <f t="shared" si="10"/>
        <v>8.8257822751069437</v>
      </c>
      <c r="X15" s="49">
        <f t="shared" si="11"/>
        <v>7.35481856258912</v>
      </c>
    </row>
    <row r="16" spans="1:34" ht="18" customHeight="1" x14ac:dyDescent="0.3">
      <c r="A16" s="60" t="s">
        <v>20</v>
      </c>
      <c r="B16" s="49">
        <f>'تكاليف المنتجات'!AW2</f>
        <v>2.1891231390033634</v>
      </c>
      <c r="C16" s="49">
        <f t="shared" si="0"/>
        <v>2.52</v>
      </c>
      <c r="D16" s="49">
        <f t="shared" si="1"/>
        <v>4.7091231390033634</v>
      </c>
      <c r="E16" s="49">
        <v>14</v>
      </c>
      <c r="F16" s="49">
        <f t="shared" si="2"/>
        <v>1.8260869565217384</v>
      </c>
      <c r="G16" s="71">
        <f t="shared" si="3"/>
        <v>0.38682082927527628</v>
      </c>
      <c r="H16" s="49">
        <f t="shared" si="4"/>
        <v>7.4647899044748982</v>
      </c>
      <c r="I16" s="70">
        <f t="shared" si="5"/>
        <v>7.2970771300112114</v>
      </c>
      <c r="S16" s="71">
        <f t="shared" si="6"/>
        <v>0.33636593850024027</v>
      </c>
      <c r="T16" s="49">
        <f t="shared" si="7"/>
        <v>23.545615695016817</v>
      </c>
      <c r="U16" s="49">
        <f t="shared" si="8"/>
        <v>15.697077130011213</v>
      </c>
      <c r="V16" s="49">
        <f t="shared" si="9"/>
        <v>11.772807847508409</v>
      </c>
      <c r="W16" s="49">
        <f t="shared" si="10"/>
        <v>9.4182462780067269</v>
      </c>
      <c r="X16" s="49">
        <f t="shared" si="11"/>
        <v>7.8485385650056063</v>
      </c>
    </row>
    <row r="17" spans="1:24" ht="18" customHeight="1" x14ac:dyDescent="0.3">
      <c r="A17" s="60" t="s">
        <v>21</v>
      </c>
      <c r="B17" s="49">
        <f>'تكاليف المنتجات'!AZ2</f>
        <v>3.9314166845878136</v>
      </c>
      <c r="C17" s="49">
        <f>E17*18%</f>
        <v>3.42</v>
      </c>
      <c r="D17" s="49">
        <f t="shared" si="1"/>
        <v>7.3514166845878135</v>
      </c>
      <c r="E17" s="49">
        <v>19</v>
      </c>
      <c r="F17" s="49">
        <f t="shared" si="2"/>
        <v>2.4782608695652151</v>
      </c>
      <c r="G17" s="71">
        <f t="shared" si="3"/>
        <v>0.44495416775136759</v>
      </c>
      <c r="H17" s="49">
        <f t="shared" si="4"/>
        <v>9.1703224458469705</v>
      </c>
      <c r="I17" s="70">
        <f t="shared" si="5"/>
        <v>13.104722281959379</v>
      </c>
      <c r="S17" s="71">
        <f t="shared" si="6"/>
        <v>0.38691666760988491</v>
      </c>
      <c r="T17" s="49">
        <f t="shared" si="7"/>
        <v>36.757083422939068</v>
      </c>
      <c r="U17" s="49">
        <f t="shared" si="8"/>
        <v>24.504722281959378</v>
      </c>
      <c r="V17" s="49">
        <f t="shared" si="9"/>
        <v>18.378541711469534</v>
      </c>
      <c r="W17" s="49">
        <f t="shared" si="10"/>
        <v>14.702833369175627</v>
      </c>
      <c r="X17" s="49">
        <f t="shared" si="11"/>
        <v>12.252361140979689</v>
      </c>
    </row>
    <row r="18" spans="1:24" ht="18" customHeight="1" x14ac:dyDescent="0.3">
      <c r="A18" s="60" t="s">
        <v>22</v>
      </c>
      <c r="B18" s="49">
        <f>'تكاليف المنتجات'!BC2</f>
        <v>1.4439199305791361</v>
      </c>
      <c r="C18" s="49">
        <f t="shared" si="0"/>
        <v>2.52</v>
      </c>
      <c r="D18" s="49">
        <f t="shared" si="1"/>
        <v>3.9639199305791362</v>
      </c>
      <c r="E18" s="49">
        <v>14</v>
      </c>
      <c r="F18" s="49">
        <f t="shared" si="2"/>
        <v>1.8260869565217384</v>
      </c>
      <c r="G18" s="71">
        <f t="shared" si="3"/>
        <v>0.32560770858328614</v>
      </c>
      <c r="H18" s="49">
        <f t="shared" si="4"/>
        <v>8.2099931128991255</v>
      </c>
      <c r="I18" s="70">
        <f t="shared" si="5"/>
        <v>4.8130664352637877</v>
      </c>
      <c r="S18" s="71">
        <f t="shared" si="6"/>
        <v>0.28313713789850975</v>
      </c>
      <c r="T18" s="49">
        <f t="shared" si="7"/>
        <v>19.819599652895679</v>
      </c>
      <c r="U18" s="49">
        <f t="shared" si="8"/>
        <v>13.213066435263787</v>
      </c>
      <c r="V18" s="49">
        <f t="shared" si="9"/>
        <v>9.9097998264478395</v>
      </c>
      <c r="W18" s="49">
        <f t="shared" si="10"/>
        <v>7.9278398611582723</v>
      </c>
      <c r="X18" s="49">
        <f t="shared" si="11"/>
        <v>6.6065332176318936</v>
      </c>
    </row>
    <row r="19" spans="1:24" ht="18" customHeight="1" x14ac:dyDescent="0.3">
      <c r="A19" s="60" t="s">
        <v>23</v>
      </c>
      <c r="B19" s="49">
        <f>'تكاليف المنتجات'!BF2</f>
        <v>3.0536773932112018</v>
      </c>
      <c r="C19" s="49">
        <f t="shared" si="0"/>
        <v>2.52</v>
      </c>
      <c r="D19" s="49">
        <f t="shared" si="1"/>
        <v>5.5736773932112023</v>
      </c>
      <c r="E19" s="49">
        <v>14</v>
      </c>
      <c r="F19" s="49">
        <f t="shared" si="2"/>
        <v>1.8260869565217384</v>
      </c>
      <c r="G19" s="71">
        <f>D19/(E19-F19)</f>
        <v>0.45783778587092017</v>
      </c>
      <c r="H19" s="49">
        <f t="shared" si="4"/>
        <v>6.6002356502670594</v>
      </c>
      <c r="I19" s="70">
        <f t="shared" si="5"/>
        <v>10.178924644037339</v>
      </c>
      <c r="S19" s="71">
        <f t="shared" si="6"/>
        <v>0.39811981380080014</v>
      </c>
      <c r="T19" s="49">
        <f t="shared" si="7"/>
        <v>27.868386966056011</v>
      </c>
      <c r="U19" s="49">
        <f t="shared" si="8"/>
        <v>18.578924644037343</v>
      </c>
      <c r="V19" s="49">
        <f t="shared" si="9"/>
        <v>13.934193483028006</v>
      </c>
      <c r="W19" s="49">
        <f t="shared" si="10"/>
        <v>11.147354786422405</v>
      </c>
      <c r="X19" s="49">
        <f t="shared" si="11"/>
        <v>9.2894623220186716</v>
      </c>
    </row>
    <row r="20" spans="1:24" ht="18" customHeight="1" x14ac:dyDescent="0.3">
      <c r="A20" s="61" t="s">
        <v>24</v>
      </c>
      <c r="B20" s="49">
        <f>'تكاليف المنتجات'!BI2</f>
        <v>3.4456421540885738</v>
      </c>
      <c r="C20" s="49">
        <f t="shared" si="0"/>
        <v>2.52</v>
      </c>
      <c r="D20" s="49">
        <f t="shared" si="1"/>
        <v>5.9656421540885738</v>
      </c>
      <c r="E20" s="49">
        <v>14</v>
      </c>
      <c r="F20" s="49">
        <f t="shared" si="2"/>
        <v>1.8260869565217384</v>
      </c>
      <c r="G20" s="71">
        <f t="shared" si="3"/>
        <v>0.49003489122870425</v>
      </c>
      <c r="H20" s="49">
        <f t="shared" si="4"/>
        <v>6.2082708893896879</v>
      </c>
      <c r="I20" s="70">
        <f t="shared" si="5"/>
        <v>11.485473846961913</v>
      </c>
      <c r="S20" s="71">
        <f t="shared" si="6"/>
        <v>0.42611729672061244</v>
      </c>
      <c r="T20" s="49">
        <f t="shared" si="7"/>
        <v>29.828210770442869</v>
      </c>
      <c r="U20" s="49">
        <f t="shared" si="8"/>
        <v>19.885473846961915</v>
      </c>
      <c r="V20" s="49">
        <f t="shared" si="9"/>
        <v>14.914105385221434</v>
      </c>
      <c r="W20" s="49">
        <f t="shared" si="10"/>
        <v>11.931284308177148</v>
      </c>
      <c r="X20" s="49">
        <f t="shared" si="11"/>
        <v>9.9427369234809575</v>
      </c>
    </row>
    <row r="21" spans="1:24" ht="18" customHeight="1" x14ac:dyDescent="0.3">
      <c r="A21" s="61" t="s">
        <v>25</v>
      </c>
      <c r="B21" s="49">
        <f>'تكاليف المنتجات'!BL2</f>
        <v>1.3607709427312775</v>
      </c>
      <c r="C21" s="49">
        <f t="shared" si="0"/>
        <v>2.52</v>
      </c>
      <c r="D21" s="49">
        <f t="shared" si="1"/>
        <v>3.8807709427312775</v>
      </c>
      <c r="E21" s="49">
        <v>14</v>
      </c>
      <c r="F21" s="49">
        <f t="shared" si="2"/>
        <v>1.8260869565217384</v>
      </c>
      <c r="G21" s="71">
        <f t="shared" si="3"/>
        <v>0.31877761315292635</v>
      </c>
      <c r="H21" s="49">
        <f t="shared" si="4"/>
        <v>8.2931421007469837</v>
      </c>
      <c r="I21" s="70">
        <f t="shared" si="5"/>
        <v>4.5359031424375917</v>
      </c>
      <c r="S21" s="71">
        <f t="shared" si="6"/>
        <v>0.27719792448080555</v>
      </c>
      <c r="T21" s="49">
        <f t="shared" si="7"/>
        <v>19.403854713656386</v>
      </c>
      <c r="U21" s="49">
        <f t="shared" si="8"/>
        <v>12.935903142437592</v>
      </c>
      <c r="V21" s="49">
        <f t="shared" si="9"/>
        <v>9.7019273568281932</v>
      </c>
      <c r="W21" s="49">
        <f t="shared" si="10"/>
        <v>7.7615418854625551</v>
      </c>
      <c r="X21" s="49">
        <f t="shared" si="11"/>
        <v>6.467951571218796</v>
      </c>
    </row>
    <row r="22" spans="1:24" ht="18" customHeight="1" x14ac:dyDescent="0.3">
      <c r="A22" s="61" t="s">
        <v>26</v>
      </c>
      <c r="B22" s="49">
        <f>'تكاليف المنتجات'!BO2</f>
        <v>2.2973437894736852</v>
      </c>
      <c r="C22" s="49">
        <f t="shared" si="0"/>
        <v>2.52</v>
      </c>
      <c r="D22" s="49">
        <f t="shared" si="1"/>
        <v>4.8173437894736857</v>
      </c>
      <c r="E22" s="49">
        <v>14</v>
      </c>
      <c r="F22" s="49">
        <f t="shared" si="2"/>
        <v>1.8260869565217384</v>
      </c>
      <c r="G22" s="71">
        <f t="shared" si="3"/>
        <v>0.39571038270676701</v>
      </c>
      <c r="H22" s="49">
        <f t="shared" si="4"/>
        <v>7.356569254004576</v>
      </c>
      <c r="I22" s="70">
        <f t="shared" si="5"/>
        <v>7.6578126315789508</v>
      </c>
      <c r="S22" s="71">
        <f t="shared" si="6"/>
        <v>0.34409598496240612</v>
      </c>
      <c r="T22" s="49">
        <f t="shared" si="7"/>
        <v>24.086718947368428</v>
      </c>
      <c r="U22" s="49">
        <f t="shared" si="8"/>
        <v>16.057812631578955</v>
      </c>
      <c r="V22" s="49">
        <f t="shared" si="9"/>
        <v>12.043359473684214</v>
      </c>
      <c r="W22" s="49">
        <f t="shared" si="10"/>
        <v>9.6346875789473714</v>
      </c>
      <c r="X22" s="49">
        <f t="shared" si="11"/>
        <v>8.0289063157894773</v>
      </c>
    </row>
    <row r="23" spans="1:24" ht="18" customHeight="1" x14ac:dyDescent="0.3">
      <c r="A23" s="61" t="s">
        <v>27</v>
      </c>
      <c r="B23" s="49">
        <f>'تكاليف المنتجات'!BR2</f>
        <v>3.6220431444026153</v>
      </c>
      <c r="C23" s="49">
        <f t="shared" si="0"/>
        <v>3.2399999999999998</v>
      </c>
      <c r="D23" s="49">
        <f t="shared" si="1"/>
        <v>6.8620431444026151</v>
      </c>
      <c r="E23" s="49">
        <v>18</v>
      </c>
      <c r="F23" s="49">
        <f t="shared" si="2"/>
        <v>2.3478260869565197</v>
      </c>
      <c r="G23" s="71">
        <f t="shared" si="3"/>
        <v>0.43840831200350033</v>
      </c>
      <c r="H23" s="49">
        <f t="shared" si="4"/>
        <v>8.7901307686408643</v>
      </c>
      <c r="I23" s="70">
        <f t="shared" si="5"/>
        <v>12.073477148008719</v>
      </c>
      <c r="S23" s="71">
        <f t="shared" si="6"/>
        <v>0.3812246191334786</v>
      </c>
      <c r="T23" s="49">
        <f t="shared" si="7"/>
        <v>34.310215722013076</v>
      </c>
      <c r="U23" s="49">
        <f t="shared" si="8"/>
        <v>22.873477148008718</v>
      </c>
      <c r="V23" s="49">
        <f t="shared" si="9"/>
        <v>17.155107861006538</v>
      </c>
      <c r="W23" s="49">
        <f t="shared" si="10"/>
        <v>13.72408628880523</v>
      </c>
      <c r="X23" s="49">
        <f t="shared" si="11"/>
        <v>11.436738574004359</v>
      </c>
    </row>
    <row r="24" spans="1:24" ht="18" customHeight="1" x14ac:dyDescent="0.3">
      <c r="A24" s="61" t="s">
        <v>28</v>
      </c>
      <c r="B24" s="49">
        <f>'تكاليف المنتجات'!BU2</f>
        <v>3.3522781409731341</v>
      </c>
      <c r="C24" s="49">
        <f t="shared" si="0"/>
        <v>3.2399999999999998</v>
      </c>
      <c r="D24" s="49">
        <f t="shared" si="1"/>
        <v>6.5922781409731339</v>
      </c>
      <c r="E24" s="49">
        <v>18</v>
      </c>
      <c r="F24" s="49">
        <f t="shared" si="2"/>
        <v>2.3478260869565197</v>
      </c>
      <c r="G24" s="71">
        <f t="shared" si="3"/>
        <v>0.42117332567328353</v>
      </c>
      <c r="H24" s="49">
        <f t="shared" si="4"/>
        <v>9.0598957720703464</v>
      </c>
      <c r="I24" s="70">
        <f>B24/30%</f>
        <v>11.174260469910447</v>
      </c>
      <c r="S24" s="71">
        <f t="shared" si="6"/>
        <v>0.36623767449850742</v>
      </c>
      <c r="T24" s="49">
        <f t="shared" si="7"/>
        <v>32.961390704865664</v>
      </c>
      <c r="U24" s="49">
        <f t="shared" si="8"/>
        <v>21.974260469910448</v>
      </c>
      <c r="V24" s="49">
        <f t="shared" si="9"/>
        <v>16.480695352432832</v>
      </c>
      <c r="W24" s="49">
        <f t="shared" si="10"/>
        <v>13.184556281946268</v>
      </c>
      <c r="X24" s="49">
        <f t="shared" si="11"/>
        <v>10.987130234955224</v>
      </c>
    </row>
    <row r="25" spans="1:24" s="67" customFormat="1" ht="18" customHeight="1" x14ac:dyDescent="0.3">
      <c r="A25" s="65" t="s">
        <v>348</v>
      </c>
      <c r="B25" s="49">
        <f>'تكاليف المنتجات'!BX2</f>
        <v>1.8655869008660033</v>
      </c>
      <c r="C25" s="66">
        <f t="shared" si="0"/>
        <v>3.2399999999999998</v>
      </c>
      <c r="D25" s="66">
        <f t="shared" si="1"/>
        <v>5.1055869008660029</v>
      </c>
      <c r="E25" s="66">
        <v>18</v>
      </c>
      <c r="F25" s="66">
        <f t="shared" si="2"/>
        <v>2.3478260869565197</v>
      </c>
      <c r="G25" s="72">
        <f t="shared" si="3"/>
        <v>0.32619027422199459</v>
      </c>
      <c r="H25" s="66">
        <f t="shared" si="4"/>
        <v>10.546587012177477</v>
      </c>
      <c r="I25" s="70">
        <f t="shared" si="5"/>
        <v>6.2186230028866776</v>
      </c>
      <c r="S25" s="72">
        <f t="shared" si="6"/>
        <v>0.28364371671477795</v>
      </c>
      <c r="T25" s="66">
        <f t="shared" si="7"/>
        <v>25.527934504330013</v>
      </c>
      <c r="U25" s="66">
        <f t="shared" si="8"/>
        <v>17.018623002886677</v>
      </c>
      <c r="V25" s="49">
        <f t="shared" si="9"/>
        <v>12.763967252165006</v>
      </c>
      <c r="W25" s="49">
        <f t="shared" si="10"/>
        <v>10.211173801732006</v>
      </c>
      <c r="X25" s="49">
        <f t="shared" si="11"/>
        <v>8.5093115014433387</v>
      </c>
    </row>
    <row r="26" spans="1:24" ht="18" customHeight="1" x14ac:dyDescent="0.3">
      <c r="A26" s="61" t="s">
        <v>30</v>
      </c>
      <c r="B26" s="49">
        <f>'تكاليف المنتجات'!CA2</f>
        <v>3.5869223747493408</v>
      </c>
      <c r="C26" s="49">
        <f t="shared" si="0"/>
        <v>3.42</v>
      </c>
      <c r="D26" s="49">
        <f t="shared" si="1"/>
        <v>7.0069223747493403</v>
      </c>
      <c r="E26" s="49">
        <v>19</v>
      </c>
      <c r="F26" s="49">
        <f t="shared" si="2"/>
        <v>2.4782608695652151</v>
      </c>
      <c r="G26" s="71">
        <f t="shared" si="3"/>
        <v>0.42410319636640736</v>
      </c>
      <c r="H26" s="49">
        <f t="shared" si="4"/>
        <v>9.5148167556854446</v>
      </c>
      <c r="I26" s="70">
        <f t="shared" si="5"/>
        <v>11.956407915831136</v>
      </c>
      <c r="S26" s="71">
        <f t="shared" si="6"/>
        <v>0.36878538814470213</v>
      </c>
      <c r="T26" s="49">
        <f t="shared" si="7"/>
        <v>35.034611873746698</v>
      </c>
      <c r="U26" s="49">
        <f t="shared" si="8"/>
        <v>23.356407915831134</v>
      </c>
      <c r="V26" s="49">
        <f t="shared" si="9"/>
        <v>17.517305936873349</v>
      </c>
      <c r="W26" s="49">
        <f t="shared" si="10"/>
        <v>14.013844749498681</v>
      </c>
      <c r="X26" s="49">
        <f t="shared" si="11"/>
        <v>11.678203957915567</v>
      </c>
    </row>
    <row r="27" spans="1:24" ht="18" customHeight="1" x14ac:dyDescent="0.3">
      <c r="A27" s="62" t="s">
        <v>31</v>
      </c>
      <c r="B27" s="49">
        <f>'تكاليف المنتجات'!CD2</f>
        <v>0.26805874920087658</v>
      </c>
      <c r="C27" s="49">
        <f t="shared" si="0"/>
        <v>0.54</v>
      </c>
      <c r="D27" s="49">
        <f t="shared" si="1"/>
        <v>0.80805874920087661</v>
      </c>
      <c r="E27" s="49">
        <v>3</v>
      </c>
      <c r="F27" s="49">
        <f t="shared" si="2"/>
        <v>0.39130434782608692</v>
      </c>
      <c r="G27" s="71">
        <f t="shared" si="3"/>
        <v>0.30975585386033605</v>
      </c>
      <c r="H27" s="49">
        <f t="shared" si="4"/>
        <v>1.8006369029730365</v>
      </c>
      <c r="I27" s="70">
        <f t="shared" si="5"/>
        <v>0.89352916400292193</v>
      </c>
      <c r="S27" s="71">
        <f t="shared" si="6"/>
        <v>0.26935291640029219</v>
      </c>
      <c r="T27" s="49">
        <f t="shared" si="7"/>
        <v>4.0402937460043828</v>
      </c>
      <c r="U27" s="49">
        <f t="shared" si="8"/>
        <v>2.6935291640029222</v>
      </c>
      <c r="V27" s="49">
        <f t="shared" si="9"/>
        <v>2.0201468730021914</v>
      </c>
      <c r="W27" s="49">
        <f t="shared" si="10"/>
        <v>1.6161174984017532</v>
      </c>
      <c r="X27" s="49">
        <f t="shared" si="11"/>
        <v>1.3467645820014611</v>
      </c>
    </row>
    <row r="28" spans="1:24" ht="18" customHeight="1" x14ac:dyDescent="0.3">
      <c r="A28" s="62" t="s">
        <v>32</v>
      </c>
      <c r="B28" s="49">
        <f>'تكاليف المنتجات'!CG2</f>
        <v>0.20513913196641731</v>
      </c>
      <c r="C28" s="49">
        <f t="shared" si="0"/>
        <v>0.54</v>
      </c>
      <c r="D28" s="49">
        <f t="shared" si="1"/>
        <v>0.74513913196641735</v>
      </c>
      <c r="E28" s="49">
        <v>3</v>
      </c>
      <c r="F28" s="49">
        <f t="shared" si="2"/>
        <v>0.39130434782608692</v>
      </c>
      <c r="G28" s="71">
        <f t="shared" si="3"/>
        <v>0.28563666725379333</v>
      </c>
      <c r="H28" s="49">
        <f t="shared" si="4"/>
        <v>1.8635565202074957</v>
      </c>
      <c r="I28" s="70">
        <f t="shared" si="5"/>
        <v>0.68379710655472437</v>
      </c>
      <c r="S28" s="71">
        <f t="shared" si="6"/>
        <v>0.24837971065547246</v>
      </c>
      <c r="T28" s="49">
        <f t="shared" si="7"/>
        <v>3.7256956598320867</v>
      </c>
      <c r="U28" s="49">
        <f t="shared" si="8"/>
        <v>2.4837971065547246</v>
      </c>
      <c r="V28" s="49">
        <f t="shared" si="9"/>
        <v>1.8628478299160434</v>
      </c>
      <c r="W28" s="49">
        <f t="shared" si="10"/>
        <v>1.4902782639328347</v>
      </c>
      <c r="X28" s="49">
        <f t="shared" si="11"/>
        <v>1.2418985532773623</v>
      </c>
    </row>
    <row r="29" spans="1:24" ht="18" customHeight="1" x14ac:dyDescent="0.3">
      <c r="A29" s="62" t="s">
        <v>33</v>
      </c>
      <c r="B29" s="49">
        <f>'تكاليف المنتجات'!CJ2</f>
        <v>0.38351999999999997</v>
      </c>
      <c r="C29" s="49">
        <f t="shared" si="0"/>
        <v>0.54</v>
      </c>
      <c r="D29" s="49">
        <f t="shared" si="1"/>
        <v>0.92352000000000001</v>
      </c>
      <c r="E29" s="49">
        <v>3</v>
      </c>
      <c r="F29" s="49">
        <f t="shared" si="2"/>
        <v>0.39130434782608692</v>
      </c>
      <c r="G29" s="71">
        <f t="shared" si="3"/>
        <v>0.354016</v>
      </c>
      <c r="H29" s="49">
        <f t="shared" si="4"/>
        <v>1.6851756521739132</v>
      </c>
      <c r="I29" s="70">
        <f t="shared" si="5"/>
        <v>1.2784</v>
      </c>
      <c r="S29" s="71">
        <f t="shared" si="6"/>
        <v>0.30784</v>
      </c>
      <c r="T29" s="49">
        <f t="shared" si="7"/>
        <v>4.6175999999999995</v>
      </c>
      <c r="U29" s="49">
        <f t="shared" si="8"/>
        <v>3.0784000000000002</v>
      </c>
      <c r="V29" s="49">
        <f t="shared" si="9"/>
        <v>2.3087999999999997</v>
      </c>
      <c r="W29" s="49">
        <f t="shared" si="10"/>
        <v>1.84704</v>
      </c>
      <c r="X29" s="49">
        <f t="shared" si="11"/>
        <v>1.5392000000000001</v>
      </c>
    </row>
    <row r="30" spans="1:24" ht="18" customHeight="1" x14ac:dyDescent="0.3">
      <c r="A30" s="62" t="s">
        <v>34</v>
      </c>
      <c r="B30" s="49">
        <f>'تكاليف المنتجات'!CM2</f>
        <v>0.15968624093698192</v>
      </c>
      <c r="C30" s="49">
        <f t="shared" si="0"/>
        <v>0.54</v>
      </c>
      <c r="D30" s="49">
        <f>B30+C30</f>
        <v>0.69968624093698195</v>
      </c>
      <c r="E30" s="49">
        <v>3</v>
      </c>
      <c r="F30" s="49">
        <f t="shared" si="2"/>
        <v>0.39130434782608692</v>
      </c>
      <c r="G30" s="71">
        <f t="shared" si="3"/>
        <v>0.26821305902584308</v>
      </c>
      <c r="H30" s="49">
        <f t="shared" si="4"/>
        <v>1.9090094112369311</v>
      </c>
      <c r="I30" s="70">
        <f t="shared" si="5"/>
        <v>0.53228746978993979</v>
      </c>
      <c r="S30" s="71">
        <f t="shared" si="6"/>
        <v>0.23322874697899398</v>
      </c>
      <c r="T30" s="49">
        <f t="shared" si="7"/>
        <v>3.4984312046849095</v>
      </c>
      <c r="U30" s="49">
        <f t="shared" si="8"/>
        <v>2.3322874697899398</v>
      </c>
      <c r="V30" s="49">
        <f t="shared" si="9"/>
        <v>1.7492156023424548</v>
      </c>
      <c r="W30" s="49">
        <f t="shared" si="10"/>
        <v>1.3993724818739639</v>
      </c>
      <c r="X30" s="49">
        <f t="shared" si="11"/>
        <v>1.1661437348949699</v>
      </c>
    </row>
    <row r="31" spans="1:24" ht="18" customHeight="1" x14ac:dyDescent="0.3">
      <c r="A31" s="62" t="s">
        <v>349</v>
      </c>
      <c r="B31" s="49">
        <f>'تكاليف المنتجات'!CP2</f>
        <v>0.16961197801928563</v>
      </c>
      <c r="C31" s="49">
        <f t="shared" si="0"/>
        <v>0.54</v>
      </c>
      <c r="D31" s="49">
        <f t="shared" si="1"/>
        <v>0.70961197801928566</v>
      </c>
      <c r="E31" s="49">
        <v>3</v>
      </c>
      <c r="F31" s="49">
        <f t="shared" si="2"/>
        <v>0.39130434782608692</v>
      </c>
      <c r="G31" s="71">
        <f t="shared" si="3"/>
        <v>0.27201792490739285</v>
      </c>
      <c r="H31" s="49">
        <f t="shared" si="4"/>
        <v>1.8990836741546273</v>
      </c>
      <c r="I31" s="70">
        <f t="shared" si="5"/>
        <v>0.56537326006428545</v>
      </c>
      <c r="S31" s="71">
        <f t="shared" si="6"/>
        <v>0.23653732600642854</v>
      </c>
      <c r="T31" s="49">
        <f t="shared" si="7"/>
        <v>3.548059890096428</v>
      </c>
      <c r="U31" s="49">
        <f t="shared" si="8"/>
        <v>2.3653732600642856</v>
      </c>
      <c r="V31" s="49">
        <f t="shared" si="9"/>
        <v>1.774029945048214</v>
      </c>
      <c r="W31" s="49">
        <f t="shared" si="10"/>
        <v>1.4192239560385713</v>
      </c>
      <c r="X31" s="49">
        <f t="shared" si="11"/>
        <v>1.1826866300321428</v>
      </c>
    </row>
    <row r="32" spans="1:24" x14ac:dyDescent="0.3">
      <c r="E32" s="27"/>
      <c r="F32" s="27"/>
      <c r="G32" s="27"/>
      <c r="H32" s="27"/>
      <c r="S32" s="27"/>
    </row>
    <row r="33" spans="1:24" ht="29" customHeight="1" x14ac:dyDescent="0.3">
      <c r="A33" s="229" t="s">
        <v>350</v>
      </c>
      <c r="B33" s="229"/>
      <c r="C33" s="229"/>
      <c r="D33" s="229"/>
      <c r="E33" s="229"/>
      <c r="F33" s="229"/>
      <c r="G33" s="229"/>
      <c r="H33" s="229"/>
      <c r="I33" s="229"/>
      <c r="J33" s="229"/>
      <c r="K33" s="229"/>
      <c r="L33" s="229"/>
      <c r="M33" s="229"/>
      <c r="N33" s="229"/>
      <c r="O33" s="229"/>
      <c r="P33" s="229"/>
      <c r="Q33" s="229"/>
      <c r="R33" s="229"/>
      <c r="S33" s="229"/>
      <c r="T33" s="229"/>
      <c r="U33" s="229"/>
      <c r="V33" s="229"/>
      <c r="W33" s="229"/>
      <c r="X33" s="229"/>
    </row>
    <row r="34" spans="1:24" ht="18" customHeight="1" x14ac:dyDescent="0.35">
      <c r="A34" s="83" t="s">
        <v>351</v>
      </c>
      <c r="B34" s="221" t="s">
        <v>352</v>
      </c>
      <c r="C34" s="221"/>
      <c r="D34" s="221"/>
      <c r="E34" s="221"/>
      <c r="F34" s="221"/>
      <c r="G34" s="221"/>
      <c r="H34" s="221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230" t="s">
        <v>353</v>
      </c>
      <c r="V34" s="230"/>
      <c r="W34" s="80"/>
      <c r="X34" s="80"/>
    </row>
    <row r="35" spans="1:24" ht="18" customHeight="1" x14ac:dyDescent="0.35">
      <c r="A35" s="83" t="s">
        <v>354</v>
      </c>
      <c r="B35" s="221" t="s">
        <v>355</v>
      </c>
      <c r="C35" s="221"/>
      <c r="D35" s="221"/>
      <c r="E35" s="221"/>
      <c r="F35" s="221"/>
      <c r="G35" s="221"/>
      <c r="H35" s="221"/>
      <c r="I35" s="81"/>
      <c r="J35" s="80"/>
      <c r="K35" s="80"/>
      <c r="L35" s="80"/>
      <c r="M35" s="80"/>
      <c r="N35" s="80"/>
      <c r="O35" s="80"/>
      <c r="P35" s="80"/>
      <c r="Q35" s="80"/>
      <c r="R35" s="80"/>
      <c r="S35" s="82"/>
      <c r="T35" s="80"/>
      <c r="U35" s="231" t="s">
        <v>356</v>
      </c>
      <c r="V35" s="231"/>
      <c r="W35" s="80"/>
      <c r="X35" s="80"/>
    </row>
    <row r="36" spans="1:24" ht="18" customHeight="1" x14ac:dyDescent="0.35">
      <c r="A36" s="83" t="s">
        <v>357</v>
      </c>
      <c r="B36" s="221" t="s">
        <v>358</v>
      </c>
      <c r="C36" s="221"/>
      <c r="D36" s="221"/>
      <c r="E36" s="221"/>
      <c r="F36" s="221"/>
      <c r="G36" s="221"/>
      <c r="H36" s="221"/>
      <c r="I36" s="81"/>
      <c r="J36" s="80"/>
      <c r="K36" s="80"/>
      <c r="L36" s="80"/>
      <c r="M36" s="80"/>
      <c r="N36" s="80"/>
      <c r="O36" s="80"/>
      <c r="P36" s="80"/>
      <c r="Q36" s="80"/>
      <c r="R36" s="80"/>
      <c r="S36" s="82"/>
      <c r="T36" s="80"/>
      <c r="U36" s="224" t="s">
        <v>359</v>
      </c>
      <c r="V36" s="224"/>
      <c r="W36" s="80"/>
      <c r="X36" s="80"/>
    </row>
    <row r="37" spans="1:24" ht="18" customHeight="1" x14ac:dyDescent="0.35">
      <c r="A37" s="83" t="s">
        <v>360</v>
      </c>
      <c r="B37" s="221" t="s">
        <v>361</v>
      </c>
      <c r="C37" s="221"/>
      <c r="D37" s="221"/>
      <c r="E37" s="221"/>
      <c r="F37" s="221"/>
      <c r="G37" s="221"/>
      <c r="H37" s="221"/>
      <c r="I37" s="81"/>
      <c r="J37" s="80"/>
      <c r="K37" s="80"/>
      <c r="L37" s="80"/>
      <c r="M37" s="80"/>
      <c r="N37" s="80"/>
      <c r="O37" s="80"/>
      <c r="P37" s="80"/>
      <c r="Q37" s="80"/>
      <c r="R37" s="80"/>
      <c r="S37" s="82"/>
      <c r="T37" s="80"/>
      <c r="U37" s="225" t="s">
        <v>362</v>
      </c>
      <c r="V37" s="225"/>
      <c r="W37" s="80"/>
      <c r="X37" s="80"/>
    </row>
    <row r="38" spans="1:24" ht="18" customHeight="1" x14ac:dyDescent="0.35">
      <c r="A38" s="83" t="s">
        <v>47</v>
      </c>
      <c r="B38" s="221" t="s">
        <v>363</v>
      </c>
      <c r="C38" s="221"/>
      <c r="D38" s="221"/>
      <c r="E38" s="221"/>
      <c r="F38" s="221"/>
      <c r="G38" s="221"/>
      <c r="H38" s="221"/>
      <c r="I38" s="81"/>
      <c r="J38" s="80"/>
      <c r="K38" s="80"/>
      <c r="L38" s="80"/>
      <c r="M38" s="80"/>
      <c r="N38" s="80"/>
      <c r="O38" s="80"/>
      <c r="P38" s="80"/>
      <c r="Q38" s="80"/>
      <c r="R38" s="80"/>
      <c r="S38" s="82"/>
      <c r="T38" s="80"/>
      <c r="U38" s="226" t="s">
        <v>364</v>
      </c>
      <c r="V38" s="226"/>
      <c r="W38" s="80"/>
      <c r="X38" s="80"/>
    </row>
    <row r="39" spans="1:24" ht="18" customHeight="1" x14ac:dyDescent="0.35">
      <c r="A39" s="83" t="s">
        <v>48</v>
      </c>
      <c r="B39" s="221" t="s">
        <v>365</v>
      </c>
      <c r="C39" s="221"/>
      <c r="D39" s="221"/>
      <c r="E39" s="221"/>
      <c r="F39" s="221"/>
      <c r="G39" s="221"/>
      <c r="H39" s="221"/>
      <c r="I39" s="81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</row>
    <row r="40" spans="1:24" ht="18" customHeight="1" x14ac:dyDescent="0.35">
      <c r="A40" s="83" t="s">
        <v>366</v>
      </c>
      <c r="B40" s="221" t="s">
        <v>367</v>
      </c>
      <c r="C40" s="221"/>
      <c r="D40" s="221"/>
      <c r="E40" s="221"/>
      <c r="F40" s="221"/>
      <c r="G40" s="221"/>
      <c r="H40" s="221"/>
      <c r="I40" s="81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</row>
    <row r="41" spans="1:24" ht="30.65" customHeight="1" x14ac:dyDescent="0.35">
      <c r="A41" s="84" t="s">
        <v>337</v>
      </c>
      <c r="B41" s="222" t="s">
        <v>368</v>
      </c>
      <c r="C41" s="222"/>
      <c r="D41" s="222"/>
      <c r="E41" s="222"/>
      <c r="F41" s="222"/>
      <c r="G41" s="222"/>
      <c r="H41" s="222"/>
      <c r="I41" s="81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</row>
    <row r="42" spans="1:24" ht="21.65" customHeight="1" x14ac:dyDescent="0.35">
      <c r="A42" s="83" t="s">
        <v>369</v>
      </c>
      <c r="B42" s="223" t="s">
        <v>370</v>
      </c>
      <c r="C42" s="223"/>
      <c r="D42" s="223"/>
      <c r="E42" s="223"/>
      <c r="F42" s="223"/>
      <c r="G42" s="223"/>
      <c r="H42" s="223"/>
      <c r="I42" s="81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</row>
    <row r="43" spans="1:24" ht="68" customHeight="1" x14ac:dyDescent="0.35">
      <c r="A43" s="220" t="s">
        <v>371</v>
      </c>
      <c r="B43" s="220"/>
      <c r="C43" s="220"/>
      <c r="D43" s="220"/>
      <c r="E43" s="220"/>
      <c r="F43" s="220"/>
      <c r="G43" s="220"/>
      <c r="H43" s="22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</row>
    <row r="44" spans="1:24" x14ac:dyDescent="0.3">
      <c r="C44" s="219"/>
      <c r="D44" s="219"/>
      <c r="E44" s="219"/>
    </row>
    <row r="45" spans="1:24" x14ac:dyDescent="0.3">
      <c r="C45" s="219"/>
      <c r="D45" s="219"/>
      <c r="E45" s="219"/>
    </row>
    <row r="51" spans="5:19" x14ac:dyDescent="0.3">
      <c r="E51" s="27"/>
      <c r="F51" s="27"/>
      <c r="G51" s="27"/>
      <c r="H51" s="27"/>
      <c r="S51" s="27"/>
    </row>
    <row r="52" spans="5:19" x14ac:dyDescent="0.3">
      <c r="E52" s="27"/>
      <c r="F52" s="27"/>
      <c r="G52" s="27"/>
      <c r="H52" s="27"/>
      <c r="S52" s="27"/>
    </row>
  </sheetData>
  <autoFilter ref="A2:S31" xr:uid="{00000000-0009-0000-0000-000003000000}"/>
  <mergeCells count="19">
    <mergeCell ref="U36:V36"/>
    <mergeCell ref="U37:V37"/>
    <mergeCell ref="U38:V38"/>
    <mergeCell ref="A1:X1"/>
    <mergeCell ref="A33:X33"/>
    <mergeCell ref="B34:H34"/>
    <mergeCell ref="B35:H35"/>
    <mergeCell ref="B36:H36"/>
    <mergeCell ref="B37:H37"/>
    <mergeCell ref="B38:H38"/>
    <mergeCell ref="U34:V34"/>
    <mergeCell ref="U35:V35"/>
    <mergeCell ref="C45:E45"/>
    <mergeCell ref="A43:H43"/>
    <mergeCell ref="C44:E44"/>
    <mergeCell ref="B39:H39"/>
    <mergeCell ref="B40:H40"/>
    <mergeCell ref="B41:H41"/>
    <mergeCell ref="B42:H42"/>
  </mergeCells>
  <conditionalFormatting sqref="G3:G31 G1907:G1048576 AH14">
    <cfRule type="cellIs" dxfId="7" priority="10" operator="lessThan">
      <formula>$AH$14</formula>
    </cfRule>
  </conditionalFormatting>
  <conditionalFormatting sqref="G3:G31 G1907:G1048576">
    <cfRule type="cellIs" dxfId="6" priority="9" operator="greaterThan">
      <formula>$AH$14</formula>
    </cfRule>
  </conditionalFormatting>
  <conditionalFormatting sqref="G3:G31 S3:S31 G1907:G1048576 S1907:S1048576">
    <cfRule type="cellIs" dxfId="5" priority="1" operator="lessThan">
      <formula>$AE$14</formula>
    </cfRule>
    <cfRule type="cellIs" dxfId="4" priority="2" operator="lessThan">
      <formula>$AF$14</formula>
    </cfRule>
    <cfRule type="cellIs" dxfId="3" priority="3" operator="between">
      <formula>$AG$14</formula>
      <formula>$AH$14</formula>
    </cfRule>
  </conditionalFormatting>
  <conditionalFormatting sqref="S3:S31">
    <cfRule type="cellIs" dxfId="2" priority="6" operator="greaterThan">
      <formula>$AH$14</formula>
    </cfRule>
    <cfRule type="cellIs" dxfId="1" priority="7" operator="lessThan">
      <formula>$AH$14</formula>
    </cfRule>
    <cfRule type="cellIs" dxfId="0" priority="8" operator="greaterThan">
      <formula>$AH$14</formula>
    </cfRule>
  </conditionalFormatting>
  <printOptions horizontalCentered="1"/>
  <pageMargins left="0.25" right="0.65" top="0.75" bottom="0.75" header="0.3" footer="0.3"/>
  <pageSetup fitToWidth="0" orientation="landscape" r:id="rId1"/>
  <headerFooter scaleWithDoc="0"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2"/>
  <sheetViews>
    <sheetView rightToLeft="1" topLeftCell="A10" workbookViewId="0">
      <selection activeCell="C13" sqref="C13:E21"/>
    </sheetView>
  </sheetViews>
  <sheetFormatPr defaultRowHeight="14" x14ac:dyDescent="0.3"/>
  <cols>
    <col min="1" max="1" width="9.4140625" style="64" customWidth="1"/>
    <col min="2" max="3" width="33.08203125" style="64" customWidth="1"/>
    <col min="4" max="4" width="13.1640625" style="64" customWidth="1"/>
    <col min="5" max="5" width="20.83203125" style="64" customWidth="1"/>
  </cols>
  <sheetData>
    <row r="1" spans="1:5" ht="38.4" customHeight="1" x14ac:dyDescent="0.3">
      <c r="A1" s="68" t="s">
        <v>0</v>
      </c>
      <c r="B1" s="68" t="s">
        <v>393</v>
      </c>
      <c r="C1" s="68" t="s">
        <v>394</v>
      </c>
      <c r="D1" s="68" t="s">
        <v>395</v>
      </c>
      <c r="E1" s="68" t="s">
        <v>396</v>
      </c>
    </row>
    <row r="2" spans="1:5" ht="45" customHeight="1" x14ac:dyDescent="0.3">
      <c r="A2" s="87">
        <v>1</v>
      </c>
      <c r="B2" s="86" t="s">
        <v>446</v>
      </c>
      <c r="C2" s="86" t="s">
        <v>413</v>
      </c>
      <c r="D2" s="86" t="s">
        <v>428</v>
      </c>
      <c r="E2" s="86" t="s">
        <v>435</v>
      </c>
    </row>
    <row r="3" spans="1:5" ht="53.4" customHeight="1" x14ac:dyDescent="0.3">
      <c r="A3" s="87">
        <v>2</v>
      </c>
      <c r="B3" s="87" t="s">
        <v>447</v>
      </c>
      <c r="C3" s="87" t="s">
        <v>399</v>
      </c>
      <c r="D3" s="87" t="s">
        <v>400</v>
      </c>
      <c r="E3" s="87" t="s">
        <v>401</v>
      </c>
    </row>
    <row r="4" spans="1:5" ht="57.65" customHeight="1" x14ac:dyDescent="0.3">
      <c r="A4" s="86">
        <v>3</v>
      </c>
      <c r="B4" s="86" t="s">
        <v>411</v>
      </c>
      <c r="C4" s="86" t="s">
        <v>414</v>
      </c>
      <c r="D4" s="86" t="s">
        <v>400</v>
      </c>
      <c r="E4" s="86" t="s">
        <v>436</v>
      </c>
    </row>
    <row r="5" spans="1:5" ht="49.75" customHeight="1" x14ac:dyDescent="0.3">
      <c r="A5" s="87">
        <v>4</v>
      </c>
      <c r="B5" s="86" t="s">
        <v>412</v>
      </c>
      <c r="C5" s="86" t="s">
        <v>415</v>
      </c>
      <c r="D5" s="86" t="s">
        <v>428</v>
      </c>
      <c r="E5" s="86" t="s">
        <v>438</v>
      </c>
    </row>
    <row r="6" spans="1:5" ht="40.75" customHeight="1" x14ac:dyDescent="0.3">
      <c r="A6" s="87">
        <v>5</v>
      </c>
      <c r="B6" s="87" t="s">
        <v>397</v>
      </c>
      <c r="C6" s="87" t="s">
        <v>403</v>
      </c>
      <c r="D6" s="87" t="s">
        <v>400</v>
      </c>
      <c r="E6" s="87" t="s">
        <v>407</v>
      </c>
    </row>
    <row r="7" spans="1:5" ht="27" customHeight="1" x14ac:dyDescent="0.3">
      <c r="A7" s="134">
        <v>6</v>
      </c>
      <c r="B7" s="134" t="s">
        <v>448</v>
      </c>
      <c r="C7" s="134" t="s">
        <v>453</v>
      </c>
      <c r="D7" s="134" t="s">
        <v>400</v>
      </c>
      <c r="E7" s="134" t="s">
        <v>449</v>
      </c>
    </row>
    <row r="8" spans="1:5" ht="27" customHeight="1" x14ac:dyDescent="0.3">
      <c r="A8" s="87">
        <v>7</v>
      </c>
      <c r="B8" s="86" t="s">
        <v>416</v>
      </c>
      <c r="C8" s="86" t="s">
        <v>419</v>
      </c>
      <c r="D8" s="86" t="s">
        <v>405</v>
      </c>
      <c r="E8" s="86" t="s">
        <v>442</v>
      </c>
    </row>
    <row r="9" spans="1:5" ht="27" customHeight="1" x14ac:dyDescent="0.3">
      <c r="A9" s="86">
        <v>8</v>
      </c>
      <c r="B9" s="86" t="s">
        <v>417</v>
      </c>
      <c r="C9" s="86" t="s">
        <v>418</v>
      </c>
      <c r="D9" s="86" t="s">
        <v>431</v>
      </c>
      <c r="E9" s="86" t="s">
        <v>444</v>
      </c>
    </row>
    <row r="10" spans="1:5" ht="27" customHeight="1" x14ac:dyDescent="0.3">
      <c r="A10" s="87">
        <v>9</v>
      </c>
      <c r="B10" s="86" t="s">
        <v>421</v>
      </c>
      <c r="C10" s="86" t="s">
        <v>427</v>
      </c>
      <c r="D10" s="86" t="s">
        <v>400</v>
      </c>
      <c r="E10" s="86" t="s">
        <v>443</v>
      </c>
    </row>
    <row r="11" spans="1:5" ht="27" customHeight="1" x14ac:dyDescent="0.3">
      <c r="A11" s="86">
        <v>10</v>
      </c>
      <c r="B11" s="86" t="s">
        <v>450</v>
      </c>
      <c r="C11" s="86" t="s">
        <v>451</v>
      </c>
      <c r="D11" s="86" t="s">
        <v>405</v>
      </c>
      <c r="E11" s="86" t="s">
        <v>452</v>
      </c>
    </row>
    <row r="12" spans="1:5" ht="27" customHeight="1" x14ac:dyDescent="0.3">
      <c r="A12" s="86">
        <v>11</v>
      </c>
      <c r="B12" s="86" t="s">
        <v>454</v>
      </c>
      <c r="C12" s="86" t="s">
        <v>455</v>
      </c>
      <c r="D12" s="86" t="s">
        <v>400</v>
      </c>
      <c r="E12" s="86"/>
    </row>
    <row r="13" spans="1:5" ht="27" customHeight="1" x14ac:dyDescent="0.3">
      <c r="A13" s="134">
        <v>12</v>
      </c>
      <c r="B13" s="134" t="s">
        <v>456</v>
      </c>
      <c r="C13" s="134" t="s">
        <v>457</v>
      </c>
      <c r="D13" s="134" t="s">
        <v>405</v>
      </c>
      <c r="E13" s="134"/>
    </row>
    <row r="14" spans="1:5" ht="54.65" customHeight="1" x14ac:dyDescent="0.3">
      <c r="A14" s="87"/>
      <c r="B14" s="87" t="s">
        <v>410</v>
      </c>
      <c r="C14" s="87" t="s">
        <v>402</v>
      </c>
      <c r="D14" s="87" t="s">
        <v>405</v>
      </c>
      <c r="E14" s="87" t="s">
        <v>406</v>
      </c>
    </row>
    <row r="15" spans="1:5" ht="39" customHeight="1" x14ac:dyDescent="0.3">
      <c r="A15" s="87"/>
      <c r="B15" s="87" t="s">
        <v>398</v>
      </c>
      <c r="C15" s="87" t="s">
        <v>404</v>
      </c>
      <c r="D15" s="87" t="s">
        <v>400</v>
      </c>
      <c r="E15" s="87" t="s">
        <v>408</v>
      </c>
    </row>
    <row r="16" spans="1:5" ht="27" customHeight="1" x14ac:dyDescent="0.3">
      <c r="A16" s="86"/>
      <c r="B16" s="86" t="s">
        <v>409</v>
      </c>
      <c r="C16" s="86" t="s">
        <v>429</v>
      </c>
      <c r="D16" s="86" t="s">
        <v>405</v>
      </c>
      <c r="E16" s="86"/>
    </row>
    <row r="17" spans="1:5" ht="27" customHeight="1" x14ac:dyDescent="0.3">
      <c r="A17" s="86"/>
      <c r="B17" s="134" t="s">
        <v>439</v>
      </c>
      <c r="C17" s="86" t="s">
        <v>433</v>
      </c>
      <c r="D17" s="86" t="s">
        <v>430</v>
      </c>
      <c r="E17" s="86" t="s">
        <v>440</v>
      </c>
    </row>
    <row r="18" spans="1:5" ht="27" customHeight="1" x14ac:dyDescent="0.3">
      <c r="A18" s="86"/>
      <c r="B18" s="134" t="s">
        <v>432</v>
      </c>
      <c r="C18" s="86" t="s">
        <v>434</v>
      </c>
      <c r="D18" s="86" t="s">
        <v>428</v>
      </c>
      <c r="E18" s="86" t="s">
        <v>441</v>
      </c>
    </row>
    <row r="19" spans="1:5" ht="27" customHeight="1" x14ac:dyDescent="0.3">
      <c r="A19" s="87"/>
      <c r="B19" s="134" t="s">
        <v>420</v>
      </c>
      <c r="C19" s="86" t="s">
        <v>424</v>
      </c>
      <c r="D19" s="86" t="s">
        <v>400</v>
      </c>
      <c r="E19" s="86" t="s">
        <v>445</v>
      </c>
    </row>
    <row r="20" spans="1:5" ht="27" customHeight="1" x14ac:dyDescent="0.3">
      <c r="A20" s="86"/>
      <c r="B20" s="86" t="s">
        <v>422</v>
      </c>
      <c r="C20" s="86" t="s">
        <v>425</v>
      </c>
      <c r="D20" s="86" t="s">
        <v>400</v>
      </c>
      <c r="E20" s="86" t="s">
        <v>445</v>
      </c>
    </row>
    <row r="21" spans="1:5" ht="27" customHeight="1" x14ac:dyDescent="0.3">
      <c r="A21" s="86"/>
      <c r="B21" s="86" t="s">
        <v>423</v>
      </c>
      <c r="C21" s="86" t="s">
        <v>426</v>
      </c>
      <c r="D21" s="86" t="s">
        <v>400</v>
      </c>
      <c r="E21" s="86"/>
    </row>
    <row r="22" spans="1:5" ht="27" customHeight="1" x14ac:dyDescent="0.3"/>
  </sheetData>
  <autoFilter ref="A1:E1" xr:uid="{00000000-0009-0000-0000-000004000000}">
    <sortState xmlns:xlrd2="http://schemas.microsoft.com/office/spreadsheetml/2017/richdata2" ref="A2:E20">
      <sortCondition ref="A1"/>
    </sortState>
  </autoFilter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99"/>
  <sheetViews>
    <sheetView rightToLeft="1" workbookViewId="0">
      <selection activeCell="G10" sqref="G10"/>
    </sheetView>
  </sheetViews>
  <sheetFormatPr defaultRowHeight="14" x14ac:dyDescent="0.3"/>
  <cols>
    <col min="1" max="1" width="5.4140625" customWidth="1"/>
    <col min="7" max="7" width="13.83203125" customWidth="1"/>
    <col min="8" max="8" width="11.08203125" customWidth="1"/>
    <col min="9" max="9" width="15.9140625" customWidth="1"/>
    <col min="15" max="15" width="13.1640625" customWidth="1"/>
  </cols>
  <sheetData>
    <row r="1" spans="1:15" ht="36" customHeight="1" x14ac:dyDescent="0.3">
      <c r="A1" s="232" t="s">
        <v>662</v>
      </c>
      <c r="B1" s="232"/>
      <c r="C1" s="232"/>
      <c r="D1" s="232"/>
      <c r="E1" s="232"/>
      <c r="F1" s="232"/>
      <c r="G1" s="232"/>
      <c r="H1" s="232"/>
      <c r="I1" s="232"/>
    </row>
    <row r="2" spans="1:15" ht="24.65" customHeight="1" x14ac:dyDescent="0.3">
      <c r="A2" s="145" t="s">
        <v>0</v>
      </c>
      <c r="B2" s="145" t="s">
        <v>663</v>
      </c>
      <c r="C2" s="145" t="s">
        <v>602</v>
      </c>
      <c r="D2" s="145" t="s">
        <v>671</v>
      </c>
      <c r="E2" s="145" t="s">
        <v>664</v>
      </c>
      <c r="F2" s="145" t="s">
        <v>499</v>
      </c>
      <c r="G2" s="145" t="s">
        <v>665</v>
      </c>
      <c r="H2" s="145" t="s">
        <v>666</v>
      </c>
      <c r="I2" s="145" t="s">
        <v>667</v>
      </c>
    </row>
    <row r="3" spans="1:15" ht="20.399999999999999" customHeight="1" x14ac:dyDescent="0.3">
      <c r="A3" s="22">
        <v>1</v>
      </c>
      <c r="B3" s="22"/>
      <c r="C3" s="22"/>
      <c r="D3" s="22"/>
      <c r="E3" s="22"/>
      <c r="F3" s="22"/>
      <c r="G3" s="22"/>
      <c r="H3" s="22"/>
      <c r="I3" s="22"/>
    </row>
    <row r="4" spans="1:15" ht="18.649999999999999" customHeight="1" x14ac:dyDescent="0.3">
      <c r="A4" s="22">
        <v>2</v>
      </c>
      <c r="B4" s="22"/>
      <c r="C4" s="22"/>
      <c r="D4" s="22"/>
      <c r="E4" s="22"/>
      <c r="F4" s="22"/>
      <c r="G4" s="22"/>
      <c r="H4" s="22"/>
      <c r="I4" s="22"/>
    </row>
    <row r="5" spans="1:15" ht="18.649999999999999" customHeight="1" x14ac:dyDescent="0.3">
      <c r="A5" s="22">
        <v>3</v>
      </c>
      <c r="B5" s="22"/>
      <c r="C5" s="22"/>
      <c r="D5" s="22"/>
      <c r="E5" s="22"/>
      <c r="F5" s="22"/>
      <c r="G5" s="22"/>
      <c r="H5" s="22"/>
      <c r="I5" s="22"/>
      <c r="L5" s="233" t="s">
        <v>668</v>
      </c>
      <c r="M5" s="233"/>
      <c r="N5" s="233"/>
      <c r="O5" s="233"/>
    </row>
    <row r="6" spans="1:15" ht="18.649999999999999" customHeight="1" x14ac:dyDescent="0.3">
      <c r="A6" s="22">
        <v>4</v>
      </c>
      <c r="B6" s="22"/>
      <c r="C6" s="22"/>
      <c r="D6" s="22"/>
      <c r="E6" s="22"/>
      <c r="F6" s="22"/>
      <c r="G6" s="22"/>
      <c r="H6" s="22"/>
      <c r="I6" s="22"/>
      <c r="L6" s="199" t="s">
        <v>669</v>
      </c>
      <c r="M6" s="199"/>
      <c r="N6" s="199" t="s">
        <v>670</v>
      </c>
      <c r="O6" s="199"/>
    </row>
    <row r="7" spans="1:15" ht="18.649999999999999" customHeight="1" x14ac:dyDescent="0.3">
      <c r="A7" s="22">
        <v>5</v>
      </c>
      <c r="B7" s="22"/>
      <c r="C7" s="22"/>
      <c r="D7" s="22"/>
      <c r="E7" s="22"/>
      <c r="F7" s="22"/>
      <c r="G7" s="22"/>
      <c r="H7" s="22"/>
      <c r="I7" s="22"/>
      <c r="L7" s="207">
        <f>SUM(E3:E772)</f>
        <v>0</v>
      </c>
      <c r="M7" s="207"/>
      <c r="N7" s="207">
        <f>SUM(I3:I1000)</f>
        <v>0</v>
      </c>
      <c r="O7" s="207"/>
    </row>
    <row r="8" spans="1:15" ht="18.649999999999999" customHeight="1" x14ac:dyDescent="0.3">
      <c r="A8" s="22">
        <v>6</v>
      </c>
      <c r="B8" s="22"/>
      <c r="C8" s="22"/>
      <c r="D8" s="22"/>
      <c r="E8" s="22"/>
      <c r="F8" s="22"/>
      <c r="G8" s="22"/>
      <c r="H8" s="22"/>
      <c r="I8" s="22"/>
    </row>
    <row r="9" spans="1:15" ht="18.649999999999999" customHeight="1" x14ac:dyDescent="0.3">
      <c r="A9" s="22">
        <v>7</v>
      </c>
      <c r="B9" s="22"/>
      <c r="C9" s="22"/>
      <c r="D9" s="22"/>
      <c r="E9" s="22"/>
      <c r="F9" s="22"/>
      <c r="G9" s="22"/>
      <c r="H9" s="22"/>
      <c r="I9" s="22"/>
    </row>
    <row r="10" spans="1:15" ht="18.649999999999999" customHeight="1" x14ac:dyDescent="0.3">
      <c r="A10" s="22">
        <v>8</v>
      </c>
      <c r="B10" s="22"/>
      <c r="C10" s="22"/>
      <c r="D10" s="22"/>
      <c r="E10" s="22"/>
      <c r="F10" s="22"/>
      <c r="G10" s="22"/>
      <c r="H10" s="22"/>
      <c r="I10" s="22"/>
    </row>
    <row r="11" spans="1:15" ht="18.649999999999999" customHeight="1" x14ac:dyDescent="0.3">
      <c r="A11" s="22">
        <v>9</v>
      </c>
      <c r="B11" s="22"/>
      <c r="C11" s="22"/>
      <c r="D11" s="22"/>
      <c r="E11" s="22"/>
      <c r="F11" s="22"/>
      <c r="G11" s="22"/>
      <c r="H11" s="22"/>
      <c r="I11" s="22"/>
    </row>
    <row r="12" spans="1:15" ht="18.649999999999999" customHeight="1" x14ac:dyDescent="0.3">
      <c r="A12" s="22">
        <v>10</v>
      </c>
      <c r="B12" s="22"/>
      <c r="C12" s="22"/>
      <c r="D12" s="22"/>
      <c r="E12" s="22"/>
      <c r="F12" s="22"/>
      <c r="G12" s="22"/>
      <c r="H12" s="22"/>
      <c r="I12" s="22"/>
    </row>
    <row r="13" spans="1:15" ht="18.649999999999999" customHeight="1" x14ac:dyDescent="0.3">
      <c r="A13" s="22">
        <v>11</v>
      </c>
      <c r="B13" s="22"/>
      <c r="C13" s="22"/>
      <c r="D13" s="22"/>
      <c r="E13" s="22"/>
      <c r="F13" s="22"/>
      <c r="G13" s="22"/>
      <c r="H13" s="22"/>
      <c r="I13" s="22"/>
    </row>
    <row r="14" spans="1:15" ht="18.649999999999999" customHeight="1" x14ac:dyDescent="0.3">
      <c r="A14" s="22">
        <v>12</v>
      </c>
      <c r="B14" s="22"/>
      <c r="C14" s="22"/>
      <c r="D14" s="22"/>
      <c r="E14" s="22"/>
      <c r="F14" s="22"/>
      <c r="G14" s="22"/>
      <c r="H14" s="22"/>
      <c r="I14" s="22"/>
    </row>
    <row r="15" spans="1:15" ht="18.649999999999999" customHeight="1" x14ac:dyDescent="0.3">
      <c r="A15" s="22">
        <v>13</v>
      </c>
      <c r="B15" s="22"/>
      <c r="C15" s="22"/>
      <c r="D15" s="22"/>
      <c r="E15" s="22"/>
      <c r="F15" s="22"/>
      <c r="G15" s="22"/>
      <c r="H15" s="22"/>
      <c r="I15" s="22"/>
    </row>
    <row r="16" spans="1:15" ht="18.649999999999999" customHeight="1" x14ac:dyDescent="0.3">
      <c r="A16" s="22">
        <v>14</v>
      </c>
      <c r="B16" s="22"/>
      <c r="C16" s="22"/>
      <c r="D16" s="22"/>
      <c r="E16" s="22"/>
      <c r="F16" s="22"/>
      <c r="G16" s="22"/>
      <c r="H16" s="22"/>
      <c r="I16" s="22"/>
    </row>
    <row r="17" spans="1:9" ht="18.649999999999999" customHeight="1" x14ac:dyDescent="0.3">
      <c r="A17" s="22">
        <v>15</v>
      </c>
      <c r="B17" s="22"/>
      <c r="C17" s="22"/>
      <c r="D17" s="22"/>
      <c r="E17" s="22"/>
      <c r="F17" s="22"/>
      <c r="G17" s="22"/>
      <c r="H17" s="22"/>
      <c r="I17" s="22"/>
    </row>
    <row r="18" spans="1:9" ht="18.649999999999999" customHeight="1" x14ac:dyDescent="0.3">
      <c r="A18" s="22">
        <v>16</v>
      </c>
      <c r="B18" s="22"/>
      <c r="C18" s="22"/>
      <c r="D18" s="22"/>
      <c r="E18" s="22"/>
      <c r="F18" s="22"/>
      <c r="G18" s="22"/>
      <c r="H18" s="22"/>
      <c r="I18" s="22"/>
    </row>
    <row r="19" spans="1:9" ht="18.649999999999999" customHeight="1" x14ac:dyDescent="0.3">
      <c r="A19" s="22">
        <v>17</v>
      </c>
      <c r="B19" s="22"/>
      <c r="C19" s="22"/>
      <c r="D19" s="22"/>
      <c r="E19" s="22"/>
      <c r="F19" s="22"/>
      <c r="G19" s="22"/>
      <c r="H19" s="22"/>
      <c r="I19" s="22"/>
    </row>
    <row r="20" spans="1:9" ht="18.649999999999999" customHeight="1" x14ac:dyDescent="0.3">
      <c r="A20" s="22">
        <v>18</v>
      </c>
      <c r="B20" s="22"/>
      <c r="C20" s="22"/>
      <c r="D20" s="22"/>
      <c r="E20" s="22"/>
      <c r="F20" s="22"/>
      <c r="G20" s="22"/>
      <c r="H20" s="22"/>
      <c r="I20" s="22"/>
    </row>
    <row r="21" spans="1:9" ht="18.649999999999999" customHeight="1" x14ac:dyDescent="0.3">
      <c r="A21" s="22">
        <v>19</v>
      </c>
      <c r="B21" s="22"/>
      <c r="C21" s="22"/>
      <c r="D21" s="22"/>
      <c r="E21" s="22"/>
      <c r="F21" s="22"/>
      <c r="G21" s="22"/>
      <c r="H21" s="22"/>
      <c r="I21" s="22"/>
    </row>
    <row r="22" spans="1:9" ht="18.649999999999999" customHeight="1" x14ac:dyDescent="0.3">
      <c r="A22" s="22">
        <v>20</v>
      </c>
      <c r="B22" s="22"/>
      <c r="C22" s="22"/>
      <c r="D22" s="22"/>
      <c r="E22" s="22"/>
      <c r="F22" s="22"/>
      <c r="G22" s="22"/>
      <c r="H22" s="22"/>
      <c r="I22" s="22"/>
    </row>
    <row r="23" spans="1:9" ht="18.649999999999999" customHeight="1" x14ac:dyDescent="0.3">
      <c r="A23" s="22">
        <v>21</v>
      </c>
      <c r="B23" s="22"/>
      <c r="C23" s="22"/>
      <c r="D23" s="22"/>
      <c r="E23" s="22"/>
      <c r="F23" s="22"/>
      <c r="G23" s="22"/>
      <c r="H23" s="22"/>
      <c r="I23" s="22"/>
    </row>
    <row r="24" spans="1:9" ht="18.649999999999999" customHeight="1" x14ac:dyDescent="0.3">
      <c r="A24" s="22">
        <v>22</v>
      </c>
      <c r="B24" s="22"/>
      <c r="C24" s="22"/>
      <c r="D24" s="22"/>
      <c r="E24" s="22"/>
      <c r="F24" s="22"/>
      <c r="G24" s="22"/>
      <c r="H24" s="22"/>
      <c r="I24" s="22"/>
    </row>
    <row r="25" spans="1:9" ht="18.649999999999999" customHeight="1" x14ac:dyDescent="0.3">
      <c r="A25" s="22">
        <v>23</v>
      </c>
      <c r="B25" s="22"/>
      <c r="C25" s="22"/>
      <c r="D25" s="22"/>
      <c r="E25" s="22"/>
      <c r="F25" s="22"/>
      <c r="G25" s="22"/>
      <c r="H25" s="22"/>
      <c r="I25" s="22"/>
    </row>
    <row r="26" spans="1:9" ht="18.649999999999999" customHeight="1" x14ac:dyDescent="0.3">
      <c r="A26" s="22">
        <v>24</v>
      </c>
      <c r="B26" s="22"/>
      <c r="C26" s="22"/>
      <c r="D26" s="22"/>
      <c r="E26" s="22"/>
      <c r="F26" s="22"/>
      <c r="G26" s="22"/>
      <c r="H26" s="22"/>
      <c r="I26" s="22"/>
    </row>
    <row r="27" spans="1:9" ht="18.649999999999999" customHeight="1" x14ac:dyDescent="0.3">
      <c r="A27" s="22">
        <v>25</v>
      </c>
      <c r="B27" s="22"/>
      <c r="C27" s="22"/>
      <c r="D27" s="22"/>
      <c r="E27" s="22"/>
      <c r="F27" s="22"/>
      <c r="G27" s="22"/>
      <c r="H27" s="22"/>
      <c r="I27" s="22"/>
    </row>
    <row r="28" spans="1:9" ht="18.649999999999999" customHeight="1" x14ac:dyDescent="0.3">
      <c r="A28" s="22">
        <v>26</v>
      </c>
      <c r="B28" s="22"/>
      <c r="C28" s="22"/>
      <c r="D28" s="22"/>
      <c r="E28" s="22"/>
      <c r="F28" s="22"/>
      <c r="G28" s="22"/>
      <c r="H28" s="22"/>
      <c r="I28" s="22"/>
    </row>
    <row r="29" spans="1:9" ht="18.649999999999999" customHeight="1" x14ac:dyDescent="0.3">
      <c r="A29" s="22">
        <v>27</v>
      </c>
      <c r="B29" s="22"/>
      <c r="C29" s="22"/>
      <c r="D29" s="22"/>
      <c r="E29" s="22"/>
      <c r="F29" s="22"/>
      <c r="G29" s="22"/>
      <c r="H29" s="22"/>
      <c r="I29" s="22"/>
    </row>
    <row r="30" spans="1:9" ht="18.649999999999999" customHeight="1" x14ac:dyDescent="0.3">
      <c r="A30" s="22">
        <v>28</v>
      </c>
      <c r="B30" s="22"/>
      <c r="C30" s="22"/>
      <c r="D30" s="22"/>
      <c r="E30" s="22"/>
      <c r="F30" s="22"/>
      <c r="G30" s="22"/>
      <c r="H30" s="22"/>
      <c r="I30" s="22"/>
    </row>
    <row r="31" spans="1:9" ht="18.649999999999999" customHeight="1" x14ac:dyDescent="0.3">
      <c r="A31" s="22">
        <v>29</v>
      </c>
      <c r="B31" s="22"/>
      <c r="C31" s="22"/>
      <c r="D31" s="22"/>
      <c r="E31" s="22"/>
      <c r="F31" s="22"/>
      <c r="G31" s="22"/>
      <c r="H31" s="22"/>
      <c r="I31" s="22"/>
    </row>
    <row r="32" spans="1:9" ht="18.649999999999999" customHeight="1" x14ac:dyDescent="0.3">
      <c r="A32" s="22">
        <v>30</v>
      </c>
      <c r="B32" s="22"/>
      <c r="C32" s="22"/>
      <c r="D32" s="22"/>
      <c r="E32" s="22"/>
      <c r="F32" s="22"/>
      <c r="G32" s="22"/>
      <c r="H32" s="22"/>
      <c r="I32" s="22"/>
    </row>
    <row r="33" spans="1:9" ht="18.649999999999999" customHeight="1" x14ac:dyDescent="0.3">
      <c r="A33" s="22">
        <v>31</v>
      </c>
      <c r="B33" s="22"/>
      <c r="C33" s="22"/>
      <c r="D33" s="22"/>
      <c r="E33" s="22"/>
      <c r="F33" s="22"/>
      <c r="G33" s="22"/>
      <c r="H33" s="22"/>
      <c r="I33" s="22"/>
    </row>
    <row r="34" spans="1:9" ht="18.649999999999999" customHeight="1" x14ac:dyDescent="0.3">
      <c r="A34" s="22">
        <v>32</v>
      </c>
      <c r="B34" s="22"/>
      <c r="C34" s="22"/>
      <c r="D34" s="22"/>
      <c r="E34" s="22"/>
      <c r="F34" s="22"/>
      <c r="G34" s="22"/>
      <c r="H34" s="22"/>
      <c r="I34" s="22"/>
    </row>
    <row r="35" spans="1:9" ht="18.649999999999999" customHeight="1" x14ac:dyDescent="0.3">
      <c r="A35" s="22">
        <v>33</v>
      </c>
      <c r="B35" s="22"/>
      <c r="C35" s="22"/>
      <c r="D35" s="22"/>
      <c r="E35" s="22"/>
      <c r="F35" s="22"/>
      <c r="G35" s="22"/>
      <c r="H35" s="22"/>
      <c r="I35" s="22"/>
    </row>
    <row r="36" spans="1:9" ht="18.649999999999999" customHeight="1" x14ac:dyDescent="0.3">
      <c r="A36" s="22">
        <v>34</v>
      </c>
      <c r="B36" s="22"/>
      <c r="C36" s="22"/>
      <c r="D36" s="22"/>
      <c r="E36" s="22"/>
      <c r="F36" s="22"/>
      <c r="G36" s="22"/>
      <c r="H36" s="22"/>
      <c r="I36" s="22"/>
    </row>
    <row r="37" spans="1:9" ht="18.649999999999999" customHeight="1" x14ac:dyDescent="0.3">
      <c r="A37" s="22">
        <v>35</v>
      </c>
      <c r="B37" s="22"/>
      <c r="C37" s="22"/>
      <c r="D37" s="22"/>
      <c r="E37" s="22"/>
      <c r="F37" s="22"/>
      <c r="G37" s="22"/>
      <c r="H37" s="22"/>
      <c r="I37" s="22"/>
    </row>
    <row r="38" spans="1:9" ht="18.649999999999999" customHeight="1" x14ac:dyDescent="0.3">
      <c r="A38" s="22">
        <v>36</v>
      </c>
      <c r="B38" s="22"/>
      <c r="C38" s="22"/>
      <c r="D38" s="22"/>
      <c r="E38" s="22"/>
      <c r="F38" s="22"/>
      <c r="G38" s="22"/>
      <c r="H38" s="22"/>
      <c r="I38" s="22"/>
    </row>
    <row r="39" spans="1:9" ht="18.649999999999999" customHeight="1" x14ac:dyDescent="0.3">
      <c r="A39" s="22">
        <v>37</v>
      </c>
      <c r="B39" s="22"/>
      <c r="C39" s="22"/>
      <c r="D39" s="22"/>
      <c r="E39" s="22"/>
      <c r="F39" s="22"/>
      <c r="G39" s="22"/>
      <c r="H39" s="22"/>
      <c r="I39" s="22"/>
    </row>
    <row r="40" spans="1:9" ht="18.649999999999999" customHeight="1" x14ac:dyDescent="0.3">
      <c r="A40" s="22">
        <v>38</v>
      </c>
      <c r="B40" s="22"/>
      <c r="C40" s="22"/>
      <c r="D40" s="22"/>
      <c r="E40" s="22"/>
      <c r="F40" s="22"/>
      <c r="G40" s="22"/>
      <c r="H40" s="22"/>
      <c r="I40" s="22"/>
    </row>
    <row r="41" spans="1:9" ht="18.649999999999999" customHeight="1" x14ac:dyDescent="0.3">
      <c r="A41" s="22">
        <v>39</v>
      </c>
      <c r="B41" s="22"/>
      <c r="C41" s="22"/>
      <c r="D41" s="22"/>
      <c r="E41" s="22"/>
      <c r="F41" s="22"/>
      <c r="G41" s="22"/>
      <c r="H41" s="22"/>
      <c r="I41" s="22"/>
    </row>
    <row r="42" spans="1:9" ht="18.649999999999999" customHeight="1" x14ac:dyDescent="0.3">
      <c r="A42" s="22">
        <v>40</v>
      </c>
      <c r="B42" s="22"/>
      <c r="C42" s="22"/>
      <c r="D42" s="22"/>
      <c r="E42" s="22"/>
      <c r="F42" s="22"/>
      <c r="G42" s="22"/>
      <c r="H42" s="22"/>
      <c r="I42" s="22"/>
    </row>
    <row r="43" spans="1:9" ht="18.649999999999999" customHeight="1" x14ac:dyDescent="0.3">
      <c r="A43" s="22">
        <v>41</v>
      </c>
      <c r="B43" s="22"/>
      <c r="C43" s="22"/>
      <c r="D43" s="22"/>
      <c r="E43" s="22"/>
      <c r="F43" s="22"/>
      <c r="G43" s="22"/>
      <c r="H43" s="22"/>
      <c r="I43" s="22"/>
    </row>
    <row r="44" spans="1:9" ht="18.649999999999999" customHeight="1" x14ac:dyDescent="0.3">
      <c r="A44" s="22">
        <v>42</v>
      </c>
      <c r="B44" s="22"/>
      <c r="C44" s="22"/>
      <c r="D44" s="22"/>
      <c r="E44" s="22"/>
      <c r="F44" s="22"/>
      <c r="G44" s="22"/>
      <c r="H44" s="22"/>
      <c r="I44" s="22"/>
    </row>
    <row r="45" spans="1:9" ht="18.649999999999999" customHeight="1" x14ac:dyDescent="0.3">
      <c r="A45" s="22">
        <v>43</v>
      </c>
      <c r="B45" s="22"/>
      <c r="C45" s="22"/>
      <c r="D45" s="22"/>
      <c r="E45" s="22"/>
      <c r="F45" s="22"/>
      <c r="G45" s="22"/>
      <c r="H45" s="22"/>
      <c r="I45" s="22"/>
    </row>
    <row r="46" spans="1:9" ht="18.649999999999999" customHeight="1" x14ac:dyDescent="0.3">
      <c r="A46" s="22">
        <v>44</v>
      </c>
      <c r="B46" s="22"/>
      <c r="C46" s="22"/>
      <c r="D46" s="22"/>
      <c r="E46" s="22"/>
      <c r="F46" s="22"/>
      <c r="G46" s="22"/>
      <c r="H46" s="22"/>
      <c r="I46" s="22"/>
    </row>
    <row r="47" spans="1:9" ht="18.649999999999999" customHeight="1" x14ac:dyDescent="0.3">
      <c r="A47" s="22">
        <v>45</v>
      </c>
      <c r="B47" s="22"/>
      <c r="C47" s="22"/>
      <c r="D47" s="22"/>
      <c r="E47" s="22"/>
      <c r="F47" s="22"/>
      <c r="G47" s="22"/>
      <c r="H47" s="22"/>
      <c r="I47" s="22"/>
    </row>
    <row r="48" spans="1:9" ht="18.649999999999999" customHeight="1" x14ac:dyDescent="0.3">
      <c r="A48" s="22">
        <v>46</v>
      </c>
      <c r="B48" s="22"/>
      <c r="C48" s="22"/>
      <c r="D48" s="22"/>
      <c r="E48" s="22"/>
      <c r="F48" s="22"/>
      <c r="G48" s="22"/>
      <c r="H48" s="22"/>
      <c r="I48" s="22"/>
    </row>
    <row r="49" spans="1:9" ht="18.649999999999999" customHeight="1" x14ac:dyDescent="0.3">
      <c r="A49" s="22">
        <v>47</v>
      </c>
      <c r="B49" s="22"/>
      <c r="C49" s="22"/>
      <c r="D49" s="22"/>
      <c r="E49" s="22"/>
      <c r="F49" s="22"/>
      <c r="G49" s="22"/>
      <c r="H49" s="22"/>
      <c r="I49" s="22"/>
    </row>
    <row r="50" spans="1:9" ht="18.649999999999999" customHeight="1" x14ac:dyDescent="0.3">
      <c r="A50" s="22">
        <v>48</v>
      </c>
      <c r="B50" s="22"/>
      <c r="C50" s="22"/>
      <c r="D50" s="22"/>
      <c r="E50" s="22"/>
      <c r="F50" s="22"/>
      <c r="G50" s="22"/>
      <c r="H50" s="22"/>
      <c r="I50" s="22"/>
    </row>
    <row r="51" spans="1:9" ht="18.649999999999999" customHeight="1" x14ac:dyDescent="0.3">
      <c r="A51" s="22">
        <v>49</v>
      </c>
      <c r="B51" s="22"/>
      <c r="C51" s="22"/>
      <c r="D51" s="22"/>
      <c r="E51" s="22"/>
      <c r="F51" s="22"/>
      <c r="G51" s="22"/>
      <c r="H51" s="22"/>
      <c r="I51" s="22"/>
    </row>
    <row r="52" spans="1:9" ht="18.649999999999999" customHeight="1" x14ac:dyDescent="0.3">
      <c r="A52" s="22">
        <v>50</v>
      </c>
      <c r="B52" s="22"/>
      <c r="C52" s="22"/>
      <c r="D52" s="22"/>
      <c r="E52" s="22"/>
      <c r="F52" s="22"/>
      <c r="G52" s="22"/>
      <c r="H52" s="22"/>
      <c r="I52" s="22"/>
    </row>
    <row r="53" spans="1:9" ht="18.649999999999999" customHeight="1" x14ac:dyDescent="0.3">
      <c r="A53" s="22">
        <v>51</v>
      </c>
      <c r="B53" s="22"/>
      <c r="C53" s="22"/>
      <c r="D53" s="22"/>
      <c r="E53" s="22"/>
      <c r="F53" s="22"/>
      <c r="G53" s="22"/>
      <c r="H53" s="22"/>
      <c r="I53" s="22"/>
    </row>
    <row r="54" spans="1:9" ht="18.649999999999999" customHeight="1" x14ac:dyDescent="0.3">
      <c r="A54" s="22">
        <v>52</v>
      </c>
      <c r="B54" s="22"/>
      <c r="C54" s="22"/>
      <c r="D54" s="22"/>
      <c r="E54" s="22"/>
      <c r="F54" s="22"/>
      <c r="G54" s="22"/>
      <c r="H54" s="22"/>
      <c r="I54" s="22"/>
    </row>
    <row r="55" spans="1:9" ht="18.649999999999999" customHeight="1" x14ac:dyDescent="0.3">
      <c r="A55" s="22">
        <v>53</v>
      </c>
      <c r="B55" s="22"/>
      <c r="C55" s="22"/>
      <c r="D55" s="22"/>
      <c r="E55" s="22"/>
      <c r="F55" s="22"/>
      <c r="G55" s="22"/>
      <c r="H55" s="22"/>
      <c r="I55" s="22"/>
    </row>
    <row r="56" spans="1:9" ht="18.649999999999999" customHeight="1" x14ac:dyDescent="0.3">
      <c r="A56" s="22">
        <v>54</v>
      </c>
      <c r="B56" s="22"/>
      <c r="C56" s="22"/>
      <c r="D56" s="22"/>
      <c r="E56" s="22"/>
      <c r="F56" s="22"/>
      <c r="G56" s="22"/>
      <c r="H56" s="22"/>
      <c r="I56" s="22"/>
    </row>
    <row r="57" spans="1:9" ht="18.649999999999999" customHeight="1" x14ac:dyDescent="0.3">
      <c r="A57" s="22">
        <v>55</v>
      </c>
      <c r="B57" s="22"/>
      <c r="C57" s="22"/>
      <c r="D57" s="22"/>
      <c r="E57" s="22"/>
      <c r="F57" s="22"/>
      <c r="G57" s="22"/>
      <c r="H57" s="22"/>
      <c r="I57" s="22"/>
    </row>
    <row r="58" spans="1:9" ht="18.649999999999999" customHeight="1" x14ac:dyDescent="0.3">
      <c r="A58" s="22">
        <v>56</v>
      </c>
      <c r="B58" s="22"/>
      <c r="C58" s="22"/>
      <c r="D58" s="22"/>
      <c r="E58" s="22"/>
      <c r="F58" s="22"/>
      <c r="G58" s="22"/>
      <c r="H58" s="22"/>
      <c r="I58" s="22"/>
    </row>
    <row r="59" spans="1:9" ht="18.649999999999999" customHeight="1" x14ac:dyDescent="0.3">
      <c r="A59" s="22">
        <v>57</v>
      </c>
      <c r="B59" s="22"/>
      <c r="C59" s="22"/>
      <c r="D59" s="22"/>
      <c r="E59" s="22"/>
      <c r="F59" s="22"/>
      <c r="G59" s="22"/>
      <c r="H59" s="22"/>
      <c r="I59" s="22"/>
    </row>
    <row r="60" spans="1:9" ht="18.649999999999999" customHeight="1" x14ac:dyDescent="0.3">
      <c r="A60" s="22">
        <v>58</v>
      </c>
      <c r="B60" s="22"/>
      <c r="C60" s="22"/>
      <c r="D60" s="22"/>
      <c r="E60" s="22"/>
      <c r="F60" s="22"/>
      <c r="G60" s="22"/>
      <c r="H60" s="22"/>
      <c r="I60" s="22"/>
    </row>
    <row r="61" spans="1:9" ht="18.649999999999999" customHeight="1" x14ac:dyDescent="0.3">
      <c r="A61" s="22">
        <v>59</v>
      </c>
      <c r="B61" s="22"/>
      <c r="C61" s="22"/>
      <c r="D61" s="22"/>
      <c r="E61" s="22"/>
      <c r="F61" s="22"/>
      <c r="G61" s="22"/>
      <c r="H61" s="22"/>
      <c r="I61" s="22"/>
    </row>
    <row r="62" spans="1:9" ht="18.649999999999999" customHeight="1" x14ac:dyDescent="0.3">
      <c r="A62" s="22">
        <v>60</v>
      </c>
      <c r="B62" s="22"/>
      <c r="C62" s="22"/>
      <c r="D62" s="22"/>
      <c r="E62" s="22"/>
      <c r="F62" s="22"/>
      <c r="G62" s="22"/>
      <c r="H62" s="22"/>
      <c r="I62" s="22"/>
    </row>
    <row r="63" spans="1:9" ht="18.649999999999999" customHeight="1" x14ac:dyDescent="0.3">
      <c r="A63" s="22">
        <v>61</v>
      </c>
      <c r="B63" s="22"/>
      <c r="C63" s="22"/>
      <c r="D63" s="22"/>
      <c r="E63" s="22"/>
      <c r="F63" s="22"/>
      <c r="G63" s="22"/>
      <c r="H63" s="22"/>
      <c r="I63" s="22"/>
    </row>
    <row r="64" spans="1:9" ht="18.649999999999999" customHeight="1" x14ac:dyDescent="0.3">
      <c r="A64" s="22">
        <v>62</v>
      </c>
      <c r="B64" s="22"/>
      <c r="C64" s="22"/>
      <c r="D64" s="22"/>
      <c r="E64" s="22"/>
      <c r="F64" s="22"/>
      <c r="G64" s="22"/>
      <c r="H64" s="22"/>
      <c r="I64" s="22"/>
    </row>
    <row r="65" spans="1:9" ht="18.649999999999999" customHeight="1" x14ac:dyDescent="0.3">
      <c r="A65" s="22">
        <v>63</v>
      </c>
      <c r="B65" s="22"/>
      <c r="C65" s="22"/>
      <c r="D65" s="22"/>
      <c r="E65" s="22"/>
      <c r="F65" s="22"/>
      <c r="G65" s="22"/>
      <c r="H65" s="22"/>
      <c r="I65" s="22"/>
    </row>
    <row r="66" spans="1:9" ht="18.649999999999999" customHeight="1" x14ac:dyDescent="0.3">
      <c r="A66" s="22">
        <v>64</v>
      </c>
      <c r="B66" s="22"/>
      <c r="C66" s="22"/>
      <c r="D66" s="22"/>
      <c r="E66" s="22"/>
      <c r="F66" s="22"/>
      <c r="G66" s="22"/>
      <c r="H66" s="22"/>
      <c r="I66" s="22"/>
    </row>
    <row r="67" spans="1:9" ht="18.649999999999999" customHeight="1" x14ac:dyDescent="0.3">
      <c r="A67" s="22">
        <v>65</v>
      </c>
      <c r="B67" s="22"/>
      <c r="C67" s="22"/>
      <c r="D67" s="22"/>
      <c r="E67" s="22"/>
      <c r="F67" s="22"/>
      <c r="G67" s="22"/>
      <c r="H67" s="22"/>
      <c r="I67" s="22"/>
    </row>
    <row r="68" spans="1:9" ht="18.649999999999999" customHeight="1" x14ac:dyDescent="0.3">
      <c r="A68" s="22">
        <v>66</v>
      </c>
      <c r="B68" s="22"/>
      <c r="C68" s="22"/>
      <c r="D68" s="22"/>
      <c r="E68" s="22"/>
      <c r="F68" s="22"/>
      <c r="G68" s="22"/>
      <c r="H68" s="22"/>
      <c r="I68" s="22"/>
    </row>
    <row r="69" spans="1:9" ht="18.649999999999999" customHeight="1" x14ac:dyDescent="0.3">
      <c r="A69" s="22">
        <v>67</v>
      </c>
      <c r="B69" s="22"/>
      <c r="C69" s="22"/>
      <c r="D69" s="22"/>
      <c r="E69" s="22"/>
      <c r="F69" s="22"/>
      <c r="G69" s="22"/>
      <c r="H69" s="22"/>
      <c r="I69" s="22"/>
    </row>
    <row r="70" spans="1:9" ht="18.649999999999999" customHeight="1" x14ac:dyDescent="0.3">
      <c r="A70" s="22">
        <v>68</v>
      </c>
      <c r="B70" s="22"/>
      <c r="C70" s="22"/>
      <c r="D70" s="22"/>
      <c r="E70" s="22"/>
      <c r="F70" s="22"/>
      <c r="G70" s="22"/>
      <c r="H70" s="22"/>
      <c r="I70" s="22"/>
    </row>
    <row r="71" spans="1:9" ht="18.649999999999999" customHeight="1" x14ac:dyDescent="0.3">
      <c r="A71" s="22">
        <v>69</v>
      </c>
      <c r="B71" s="22"/>
      <c r="C71" s="22"/>
      <c r="D71" s="22"/>
      <c r="E71" s="22"/>
      <c r="F71" s="22"/>
      <c r="G71" s="22"/>
      <c r="H71" s="22"/>
      <c r="I71" s="22"/>
    </row>
    <row r="72" spans="1:9" ht="18.649999999999999" customHeight="1" x14ac:dyDescent="0.3">
      <c r="A72" s="22">
        <v>70</v>
      </c>
      <c r="B72" s="22"/>
      <c r="C72" s="22"/>
      <c r="D72" s="22"/>
      <c r="E72" s="22"/>
      <c r="F72" s="22"/>
      <c r="G72" s="22"/>
      <c r="H72" s="22"/>
      <c r="I72" s="22"/>
    </row>
    <row r="73" spans="1:9" ht="18.649999999999999" customHeight="1" x14ac:dyDescent="0.3">
      <c r="A73" s="22">
        <v>71</v>
      </c>
      <c r="B73" s="22"/>
      <c r="C73" s="22"/>
      <c r="D73" s="22"/>
      <c r="E73" s="22"/>
      <c r="F73" s="22"/>
      <c r="G73" s="22"/>
      <c r="H73" s="22"/>
      <c r="I73" s="22"/>
    </row>
    <row r="74" spans="1:9" ht="18.649999999999999" customHeight="1" x14ac:dyDescent="0.3">
      <c r="A74" s="22">
        <v>72</v>
      </c>
      <c r="B74" s="22"/>
      <c r="C74" s="22"/>
      <c r="D74" s="22"/>
      <c r="E74" s="22"/>
      <c r="F74" s="22"/>
      <c r="G74" s="22"/>
      <c r="H74" s="22"/>
      <c r="I74" s="22"/>
    </row>
    <row r="75" spans="1:9" ht="18.649999999999999" customHeight="1" x14ac:dyDescent="0.3">
      <c r="A75" s="22">
        <v>73</v>
      </c>
      <c r="B75" s="22"/>
      <c r="C75" s="22"/>
      <c r="D75" s="22"/>
      <c r="E75" s="22"/>
      <c r="F75" s="22"/>
      <c r="G75" s="22"/>
      <c r="H75" s="22"/>
      <c r="I75" s="22"/>
    </row>
    <row r="76" spans="1:9" ht="18.649999999999999" customHeight="1" x14ac:dyDescent="0.3">
      <c r="A76" s="22">
        <v>74</v>
      </c>
      <c r="B76" s="22"/>
      <c r="C76" s="22"/>
      <c r="D76" s="22"/>
      <c r="E76" s="22"/>
      <c r="F76" s="22"/>
      <c r="G76" s="22"/>
      <c r="H76" s="22"/>
      <c r="I76" s="22"/>
    </row>
    <row r="77" spans="1:9" ht="18.649999999999999" customHeight="1" x14ac:dyDescent="0.3">
      <c r="A77" s="22">
        <v>75</v>
      </c>
      <c r="B77" s="22"/>
      <c r="C77" s="22"/>
      <c r="D77" s="22"/>
      <c r="E77" s="22"/>
      <c r="F77" s="22"/>
      <c r="G77" s="22"/>
      <c r="H77" s="22"/>
      <c r="I77" s="22"/>
    </row>
    <row r="78" spans="1:9" ht="18.649999999999999" customHeight="1" x14ac:dyDescent="0.3">
      <c r="A78" s="22">
        <v>76</v>
      </c>
      <c r="B78" s="22"/>
      <c r="C78" s="22"/>
      <c r="D78" s="22"/>
      <c r="E78" s="22"/>
      <c r="F78" s="22"/>
      <c r="G78" s="22"/>
      <c r="H78" s="22"/>
      <c r="I78" s="22"/>
    </row>
    <row r="79" spans="1:9" ht="18.649999999999999" customHeight="1" x14ac:dyDescent="0.3">
      <c r="A79" s="22">
        <v>77</v>
      </c>
      <c r="B79" s="22"/>
      <c r="C79" s="22"/>
      <c r="D79" s="22"/>
      <c r="E79" s="22"/>
      <c r="F79" s="22"/>
      <c r="G79" s="22"/>
      <c r="H79" s="22"/>
      <c r="I79" s="22"/>
    </row>
    <row r="80" spans="1:9" ht="18.649999999999999" customHeight="1" x14ac:dyDescent="0.3">
      <c r="A80" s="22">
        <v>78</v>
      </c>
      <c r="B80" s="22"/>
      <c r="C80" s="22"/>
      <c r="D80" s="22"/>
      <c r="E80" s="22"/>
      <c r="F80" s="22"/>
      <c r="G80" s="22"/>
      <c r="H80" s="22"/>
      <c r="I80" s="22"/>
    </row>
    <row r="81" spans="1:9" ht="18.649999999999999" customHeight="1" x14ac:dyDescent="0.3">
      <c r="A81" s="22">
        <v>79</v>
      </c>
      <c r="B81" s="22"/>
      <c r="C81" s="22"/>
      <c r="D81" s="22"/>
      <c r="E81" s="22"/>
      <c r="F81" s="22"/>
      <c r="G81" s="22"/>
      <c r="H81" s="22"/>
      <c r="I81" s="22"/>
    </row>
    <row r="82" spans="1:9" ht="18.649999999999999" customHeight="1" x14ac:dyDescent="0.3">
      <c r="A82" s="22">
        <v>80</v>
      </c>
      <c r="B82" s="22"/>
      <c r="C82" s="22"/>
      <c r="D82" s="22"/>
      <c r="E82" s="22"/>
      <c r="F82" s="22"/>
      <c r="G82" s="22"/>
      <c r="H82" s="22"/>
      <c r="I82" s="22"/>
    </row>
    <row r="83" spans="1:9" ht="18.649999999999999" customHeight="1" x14ac:dyDescent="0.3">
      <c r="A83" s="22">
        <v>81</v>
      </c>
      <c r="B83" s="22"/>
      <c r="C83" s="22"/>
      <c r="D83" s="22"/>
      <c r="E83" s="22"/>
      <c r="F83" s="22"/>
      <c r="G83" s="22"/>
      <c r="H83" s="22"/>
      <c r="I83" s="22"/>
    </row>
    <row r="84" spans="1:9" ht="18.649999999999999" customHeight="1" x14ac:dyDescent="0.3">
      <c r="A84" s="22">
        <v>82</v>
      </c>
      <c r="B84" s="22"/>
      <c r="C84" s="22"/>
      <c r="D84" s="22"/>
      <c r="E84" s="22"/>
      <c r="F84" s="22"/>
      <c r="G84" s="22"/>
      <c r="H84" s="22"/>
      <c r="I84" s="22"/>
    </row>
    <row r="85" spans="1:9" ht="18.649999999999999" customHeight="1" x14ac:dyDescent="0.3">
      <c r="A85" s="22">
        <v>83</v>
      </c>
      <c r="B85" s="22"/>
      <c r="C85" s="22"/>
      <c r="D85" s="22"/>
      <c r="E85" s="22"/>
      <c r="F85" s="22"/>
      <c r="G85" s="22"/>
      <c r="H85" s="22"/>
      <c r="I85" s="22"/>
    </row>
    <row r="86" spans="1:9" ht="18.649999999999999" customHeight="1" x14ac:dyDescent="0.3">
      <c r="A86" s="22">
        <v>84</v>
      </c>
      <c r="B86" s="22"/>
      <c r="C86" s="22"/>
      <c r="D86" s="22"/>
      <c r="E86" s="22"/>
      <c r="F86" s="22"/>
      <c r="G86" s="22"/>
      <c r="H86" s="22"/>
      <c r="I86" s="22"/>
    </row>
    <row r="87" spans="1:9" ht="18.649999999999999" customHeight="1" x14ac:dyDescent="0.3">
      <c r="A87" s="22">
        <v>85</v>
      </c>
      <c r="B87" s="22"/>
      <c r="C87" s="22"/>
      <c r="D87" s="22"/>
      <c r="E87" s="22"/>
      <c r="F87" s="22"/>
      <c r="G87" s="22"/>
      <c r="H87" s="22"/>
      <c r="I87" s="22"/>
    </row>
    <row r="88" spans="1:9" ht="18.649999999999999" customHeight="1" x14ac:dyDescent="0.3">
      <c r="A88" s="22">
        <v>86</v>
      </c>
      <c r="B88" s="22"/>
      <c r="C88" s="22"/>
      <c r="D88" s="22"/>
      <c r="E88" s="22"/>
      <c r="F88" s="22"/>
      <c r="G88" s="22"/>
      <c r="H88" s="22"/>
      <c r="I88" s="22"/>
    </row>
    <row r="89" spans="1:9" ht="18.649999999999999" customHeight="1" x14ac:dyDescent="0.3">
      <c r="A89" s="22">
        <v>87</v>
      </c>
      <c r="B89" s="22"/>
      <c r="C89" s="22"/>
      <c r="D89" s="22"/>
      <c r="E89" s="22"/>
      <c r="F89" s="22"/>
      <c r="G89" s="22"/>
      <c r="H89" s="22"/>
      <c r="I89" s="22"/>
    </row>
    <row r="90" spans="1:9" ht="18.649999999999999" customHeight="1" x14ac:dyDescent="0.3">
      <c r="A90" s="22">
        <v>88</v>
      </c>
      <c r="B90" s="22"/>
      <c r="C90" s="22"/>
      <c r="D90" s="22"/>
      <c r="E90" s="22"/>
      <c r="F90" s="22"/>
      <c r="G90" s="22"/>
      <c r="H90" s="22"/>
      <c r="I90" s="22"/>
    </row>
    <row r="91" spans="1:9" ht="18.649999999999999" customHeight="1" x14ac:dyDescent="0.3">
      <c r="A91" s="22">
        <v>89</v>
      </c>
      <c r="B91" s="22"/>
      <c r="C91" s="22"/>
      <c r="D91" s="22"/>
      <c r="E91" s="22"/>
      <c r="F91" s="22"/>
      <c r="G91" s="22"/>
      <c r="H91" s="22"/>
      <c r="I91" s="22"/>
    </row>
    <row r="92" spans="1:9" ht="18.649999999999999" customHeight="1" x14ac:dyDescent="0.3">
      <c r="A92" s="22">
        <v>90</v>
      </c>
      <c r="B92" s="22"/>
      <c r="C92" s="22"/>
      <c r="D92" s="22"/>
      <c r="E92" s="22"/>
      <c r="F92" s="22"/>
      <c r="G92" s="22"/>
      <c r="H92" s="22"/>
      <c r="I92" s="22"/>
    </row>
    <row r="93" spans="1:9" ht="18.649999999999999" customHeight="1" x14ac:dyDescent="0.3">
      <c r="A93" s="22">
        <v>91</v>
      </c>
      <c r="B93" s="22"/>
      <c r="C93" s="22"/>
      <c r="D93" s="22"/>
      <c r="E93" s="22"/>
      <c r="F93" s="22"/>
      <c r="G93" s="22"/>
      <c r="H93" s="22"/>
      <c r="I93" s="22"/>
    </row>
    <row r="94" spans="1:9" ht="18.649999999999999" customHeight="1" x14ac:dyDescent="0.3">
      <c r="A94" s="22">
        <v>92</v>
      </c>
      <c r="B94" s="22"/>
      <c r="C94" s="22"/>
      <c r="D94" s="22"/>
      <c r="E94" s="22"/>
      <c r="F94" s="22"/>
      <c r="G94" s="22"/>
      <c r="H94" s="22"/>
      <c r="I94" s="22"/>
    </row>
    <row r="95" spans="1:9" ht="18.649999999999999" customHeight="1" x14ac:dyDescent="0.3">
      <c r="A95" s="22">
        <v>93</v>
      </c>
      <c r="B95" s="22"/>
      <c r="C95" s="22"/>
      <c r="D95" s="22"/>
      <c r="E95" s="22"/>
      <c r="F95" s="22"/>
      <c r="G95" s="22"/>
      <c r="H95" s="22"/>
      <c r="I95" s="22"/>
    </row>
    <row r="96" spans="1:9" ht="18.649999999999999" customHeight="1" x14ac:dyDescent="0.3">
      <c r="A96" s="22">
        <v>94</v>
      </c>
      <c r="B96" s="22"/>
      <c r="C96" s="22"/>
      <c r="D96" s="22"/>
      <c r="E96" s="22"/>
      <c r="F96" s="22"/>
      <c r="G96" s="22"/>
      <c r="H96" s="22"/>
      <c r="I96" s="22"/>
    </row>
    <row r="97" spans="1:9" ht="18.649999999999999" customHeight="1" x14ac:dyDescent="0.3">
      <c r="A97" s="22">
        <v>95</v>
      </c>
      <c r="B97" s="22"/>
      <c r="C97" s="22"/>
      <c r="D97" s="22"/>
      <c r="E97" s="22"/>
      <c r="F97" s="22"/>
      <c r="G97" s="22"/>
      <c r="H97" s="22"/>
      <c r="I97" s="22"/>
    </row>
    <row r="98" spans="1:9" ht="18.649999999999999" customHeight="1" x14ac:dyDescent="0.3">
      <c r="A98" s="22">
        <v>96</v>
      </c>
      <c r="B98" s="22"/>
      <c r="C98" s="22"/>
      <c r="D98" s="22"/>
      <c r="E98" s="22"/>
      <c r="F98" s="22"/>
      <c r="G98" s="22"/>
      <c r="H98" s="22"/>
      <c r="I98" s="22"/>
    </row>
    <row r="99" spans="1:9" ht="18.649999999999999" customHeight="1" x14ac:dyDescent="0.3">
      <c r="A99" s="22">
        <v>97</v>
      </c>
      <c r="B99" s="22"/>
      <c r="C99" s="22"/>
      <c r="D99" s="22"/>
      <c r="E99" s="22"/>
      <c r="F99" s="22"/>
      <c r="G99" s="22"/>
      <c r="H99" s="22"/>
      <c r="I99" s="22"/>
    </row>
    <row r="100" spans="1:9" ht="18.649999999999999" customHeight="1" x14ac:dyDescent="0.3">
      <c r="A100" s="22">
        <v>98</v>
      </c>
      <c r="B100" s="22"/>
      <c r="C100" s="22"/>
      <c r="D100" s="22"/>
      <c r="E100" s="22"/>
      <c r="F100" s="22"/>
      <c r="G100" s="22"/>
      <c r="H100" s="22"/>
      <c r="I100" s="22"/>
    </row>
    <row r="101" spans="1:9" ht="18.649999999999999" customHeight="1" x14ac:dyDescent="0.3">
      <c r="A101" s="22">
        <v>99</v>
      </c>
      <c r="B101" s="22"/>
      <c r="C101" s="22"/>
      <c r="D101" s="22"/>
      <c r="E101" s="22"/>
      <c r="F101" s="22"/>
      <c r="G101" s="22"/>
      <c r="H101" s="22"/>
      <c r="I101" s="22"/>
    </row>
    <row r="102" spans="1:9" ht="18.649999999999999" customHeight="1" x14ac:dyDescent="0.3">
      <c r="A102" s="22">
        <v>100</v>
      </c>
      <c r="B102" s="22"/>
      <c r="C102" s="22"/>
      <c r="D102" s="22"/>
      <c r="E102" s="22"/>
      <c r="F102" s="22"/>
      <c r="G102" s="22"/>
      <c r="H102" s="22"/>
      <c r="I102" s="22"/>
    </row>
    <row r="103" spans="1:9" ht="18.649999999999999" customHeight="1" x14ac:dyDescent="0.3">
      <c r="A103" s="22">
        <v>101</v>
      </c>
      <c r="B103" s="22"/>
      <c r="C103" s="22"/>
      <c r="D103" s="22"/>
      <c r="E103" s="22"/>
      <c r="F103" s="22"/>
      <c r="G103" s="22"/>
      <c r="H103" s="22"/>
      <c r="I103" s="22"/>
    </row>
    <row r="104" spans="1:9" ht="18.649999999999999" customHeight="1" x14ac:dyDescent="0.3">
      <c r="A104" s="22">
        <v>102</v>
      </c>
      <c r="B104" s="22"/>
      <c r="C104" s="22"/>
      <c r="D104" s="22"/>
      <c r="E104" s="22"/>
      <c r="F104" s="22"/>
      <c r="G104" s="22"/>
      <c r="H104" s="22"/>
      <c r="I104" s="22"/>
    </row>
    <row r="105" spans="1:9" ht="18.649999999999999" customHeight="1" x14ac:dyDescent="0.3">
      <c r="A105" s="22">
        <v>103</v>
      </c>
      <c r="B105" s="22"/>
      <c r="C105" s="22"/>
      <c r="D105" s="22"/>
      <c r="E105" s="22"/>
      <c r="F105" s="22"/>
      <c r="G105" s="22"/>
      <c r="H105" s="22"/>
      <c r="I105" s="22"/>
    </row>
    <row r="106" spans="1:9" ht="18.649999999999999" customHeight="1" x14ac:dyDescent="0.3">
      <c r="A106" s="22">
        <v>104</v>
      </c>
      <c r="B106" s="22"/>
      <c r="C106" s="22"/>
      <c r="D106" s="22"/>
      <c r="E106" s="22"/>
      <c r="F106" s="22"/>
      <c r="G106" s="22"/>
      <c r="H106" s="22"/>
      <c r="I106" s="22"/>
    </row>
    <row r="107" spans="1:9" ht="18.649999999999999" customHeight="1" x14ac:dyDescent="0.3">
      <c r="A107" s="22">
        <v>105</v>
      </c>
      <c r="B107" s="22"/>
      <c r="C107" s="22"/>
      <c r="D107" s="22"/>
      <c r="E107" s="22"/>
      <c r="F107" s="22"/>
      <c r="G107" s="22"/>
      <c r="H107" s="22"/>
      <c r="I107" s="22"/>
    </row>
    <row r="108" spans="1:9" ht="18.649999999999999" customHeight="1" x14ac:dyDescent="0.3">
      <c r="A108" s="22">
        <v>106</v>
      </c>
      <c r="B108" s="22"/>
      <c r="C108" s="22"/>
      <c r="D108" s="22"/>
      <c r="E108" s="22"/>
      <c r="F108" s="22"/>
      <c r="G108" s="22"/>
      <c r="H108" s="22"/>
      <c r="I108" s="22"/>
    </row>
    <row r="109" spans="1:9" ht="18.649999999999999" customHeight="1" x14ac:dyDescent="0.3">
      <c r="A109" s="22">
        <v>107</v>
      </c>
      <c r="B109" s="22"/>
      <c r="C109" s="22"/>
      <c r="D109" s="22"/>
      <c r="E109" s="22"/>
      <c r="F109" s="22"/>
      <c r="G109" s="22"/>
      <c r="H109" s="22"/>
      <c r="I109" s="22"/>
    </row>
    <row r="110" spans="1:9" ht="18.649999999999999" customHeight="1" x14ac:dyDescent="0.3">
      <c r="A110" s="22">
        <v>108</v>
      </c>
      <c r="B110" s="22"/>
      <c r="C110" s="22"/>
      <c r="D110" s="22"/>
      <c r="E110" s="22"/>
      <c r="F110" s="22"/>
      <c r="G110" s="22"/>
      <c r="H110" s="22"/>
      <c r="I110" s="22"/>
    </row>
    <row r="111" spans="1:9" ht="18.649999999999999" customHeight="1" x14ac:dyDescent="0.3">
      <c r="A111" s="22">
        <v>109</v>
      </c>
      <c r="B111" s="22"/>
      <c r="C111" s="22"/>
      <c r="D111" s="22"/>
      <c r="E111" s="22"/>
      <c r="F111" s="22"/>
      <c r="G111" s="22"/>
      <c r="H111" s="22"/>
      <c r="I111" s="22"/>
    </row>
    <row r="112" spans="1:9" ht="18.649999999999999" customHeight="1" x14ac:dyDescent="0.3">
      <c r="A112" s="22">
        <v>110</v>
      </c>
      <c r="B112" s="22"/>
      <c r="C112" s="22"/>
      <c r="D112" s="22"/>
      <c r="E112" s="22"/>
      <c r="F112" s="22"/>
      <c r="G112" s="22"/>
      <c r="H112" s="22"/>
      <c r="I112" s="22"/>
    </row>
    <row r="113" spans="1:9" ht="18.649999999999999" customHeight="1" x14ac:dyDescent="0.3">
      <c r="A113" s="22">
        <v>111</v>
      </c>
      <c r="B113" s="22"/>
      <c r="C113" s="22"/>
      <c r="D113" s="22"/>
      <c r="E113" s="22"/>
      <c r="F113" s="22"/>
      <c r="G113" s="22"/>
      <c r="H113" s="22"/>
      <c r="I113" s="22"/>
    </row>
    <row r="114" spans="1:9" ht="18.649999999999999" customHeight="1" x14ac:dyDescent="0.3">
      <c r="A114" s="22">
        <v>112</v>
      </c>
      <c r="B114" s="22"/>
      <c r="C114" s="22"/>
      <c r="D114" s="22"/>
      <c r="E114" s="22"/>
      <c r="F114" s="22"/>
      <c r="G114" s="22"/>
      <c r="H114" s="22"/>
      <c r="I114" s="22"/>
    </row>
    <row r="115" spans="1:9" ht="18.649999999999999" customHeight="1" x14ac:dyDescent="0.3">
      <c r="A115" s="22">
        <v>113</v>
      </c>
      <c r="B115" s="22"/>
      <c r="C115" s="22"/>
      <c r="D115" s="22"/>
      <c r="E115" s="22"/>
      <c r="F115" s="22"/>
      <c r="G115" s="22"/>
      <c r="H115" s="22"/>
      <c r="I115" s="22"/>
    </row>
    <row r="116" spans="1:9" ht="18.649999999999999" customHeight="1" x14ac:dyDescent="0.3">
      <c r="A116" s="22">
        <v>114</v>
      </c>
      <c r="B116" s="22"/>
      <c r="C116" s="22"/>
      <c r="D116" s="22"/>
      <c r="E116" s="22"/>
      <c r="F116" s="22"/>
      <c r="G116" s="22"/>
      <c r="H116" s="22"/>
      <c r="I116" s="22"/>
    </row>
    <row r="117" spans="1:9" ht="18.649999999999999" customHeight="1" x14ac:dyDescent="0.3">
      <c r="A117" s="22">
        <v>115</v>
      </c>
      <c r="B117" s="22"/>
      <c r="C117" s="22"/>
      <c r="D117" s="22"/>
      <c r="E117" s="22"/>
      <c r="F117" s="22"/>
      <c r="G117" s="22"/>
      <c r="H117" s="22"/>
      <c r="I117" s="22"/>
    </row>
    <row r="118" spans="1:9" ht="18.649999999999999" customHeight="1" x14ac:dyDescent="0.3">
      <c r="A118" s="22">
        <v>116</v>
      </c>
      <c r="B118" s="22"/>
      <c r="C118" s="22"/>
      <c r="D118" s="22"/>
      <c r="E118" s="22"/>
      <c r="F118" s="22"/>
      <c r="G118" s="22"/>
      <c r="H118" s="22"/>
      <c r="I118" s="22"/>
    </row>
    <row r="119" spans="1:9" ht="18.649999999999999" customHeight="1" x14ac:dyDescent="0.3">
      <c r="A119" s="22">
        <v>117</v>
      </c>
      <c r="B119" s="22"/>
      <c r="C119" s="22"/>
      <c r="D119" s="22"/>
      <c r="E119" s="22"/>
      <c r="F119" s="22"/>
      <c r="G119" s="22"/>
      <c r="H119" s="22"/>
      <c r="I119" s="22"/>
    </row>
    <row r="120" spans="1:9" ht="18.649999999999999" customHeight="1" x14ac:dyDescent="0.3">
      <c r="A120" s="22">
        <v>118</v>
      </c>
      <c r="B120" s="22"/>
      <c r="C120" s="22"/>
      <c r="D120" s="22"/>
      <c r="E120" s="22"/>
      <c r="F120" s="22"/>
      <c r="G120" s="22"/>
      <c r="H120" s="22"/>
      <c r="I120" s="22"/>
    </row>
    <row r="121" spans="1:9" ht="18.649999999999999" customHeight="1" x14ac:dyDescent="0.3">
      <c r="A121" s="22">
        <v>119</v>
      </c>
      <c r="B121" s="22"/>
      <c r="C121" s="22"/>
      <c r="D121" s="22"/>
      <c r="E121" s="22"/>
      <c r="F121" s="22"/>
      <c r="G121" s="22"/>
      <c r="H121" s="22"/>
      <c r="I121" s="22"/>
    </row>
    <row r="122" spans="1:9" ht="18.649999999999999" customHeight="1" x14ac:dyDescent="0.3">
      <c r="A122" s="22">
        <v>120</v>
      </c>
      <c r="B122" s="22"/>
      <c r="C122" s="22"/>
      <c r="D122" s="22"/>
      <c r="E122" s="22"/>
      <c r="F122" s="22"/>
      <c r="G122" s="22"/>
      <c r="H122" s="22"/>
      <c r="I122" s="22"/>
    </row>
    <row r="123" spans="1:9" ht="18.649999999999999" customHeight="1" x14ac:dyDescent="0.3">
      <c r="A123" s="22">
        <v>121</v>
      </c>
      <c r="B123" s="22"/>
      <c r="C123" s="22"/>
      <c r="D123" s="22"/>
      <c r="E123" s="22"/>
      <c r="F123" s="22"/>
      <c r="G123" s="22"/>
      <c r="H123" s="22"/>
      <c r="I123" s="22"/>
    </row>
    <row r="124" spans="1:9" ht="18.649999999999999" customHeight="1" x14ac:dyDescent="0.3">
      <c r="A124" s="22">
        <v>122</v>
      </c>
      <c r="B124" s="22"/>
      <c r="C124" s="22"/>
      <c r="D124" s="22"/>
      <c r="E124" s="22"/>
      <c r="F124" s="22"/>
      <c r="G124" s="22"/>
      <c r="H124" s="22"/>
      <c r="I124" s="22"/>
    </row>
    <row r="125" spans="1:9" ht="18.649999999999999" customHeight="1" x14ac:dyDescent="0.3">
      <c r="A125" s="22">
        <v>123</v>
      </c>
      <c r="B125" s="22"/>
      <c r="C125" s="22"/>
      <c r="D125" s="22"/>
      <c r="E125" s="22"/>
      <c r="F125" s="22"/>
      <c r="G125" s="22"/>
      <c r="H125" s="22"/>
      <c r="I125" s="22"/>
    </row>
    <row r="126" spans="1:9" ht="18.649999999999999" customHeight="1" x14ac:dyDescent="0.3">
      <c r="A126" s="22">
        <v>124</v>
      </c>
      <c r="B126" s="22"/>
      <c r="C126" s="22"/>
      <c r="D126" s="22"/>
      <c r="E126" s="22"/>
      <c r="F126" s="22"/>
      <c r="G126" s="22"/>
      <c r="H126" s="22"/>
      <c r="I126" s="22"/>
    </row>
    <row r="127" spans="1:9" ht="18.649999999999999" customHeight="1" x14ac:dyDescent="0.3">
      <c r="A127" s="22">
        <v>125</v>
      </c>
      <c r="B127" s="22"/>
      <c r="C127" s="22"/>
      <c r="D127" s="22"/>
      <c r="E127" s="22"/>
      <c r="F127" s="22"/>
      <c r="G127" s="22"/>
      <c r="H127" s="22"/>
      <c r="I127" s="22"/>
    </row>
    <row r="128" spans="1:9" ht="18.649999999999999" customHeight="1" x14ac:dyDescent="0.3">
      <c r="A128" s="22">
        <v>126</v>
      </c>
      <c r="B128" s="22"/>
      <c r="C128" s="22"/>
      <c r="D128" s="22"/>
      <c r="E128" s="22"/>
      <c r="F128" s="22"/>
      <c r="G128" s="22"/>
      <c r="H128" s="22"/>
      <c r="I128" s="22"/>
    </row>
    <row r="129" spans="1:9" ht="18.649999999999999" customHeight="1" x14ac:dyDescent="0.3">
      <c r="A129" s="22">
        <v>127</v>
      </c>
      <c r="B129" s="22"/>
      <c r="C129" s="22"/>
      <c r="D129" s="22"/>
      <c r="E129" s="22"/>
      <c r="F129" s="22"/>
      <c r="G129" s="22"/>
      <c r="H129" s="22"/>
      <c r="I129" s="22"/>
    </row>
    <row r="130" spans="1:9" ht="18.649999999999999" customHeight="1" x14ac:dyDescent="0.3">
      <c r="A130" s="22">
        <v>128</v>
      </c>
      <c r="B130" s="22"/>
      <c r="C130" s="22"/>
      <c r="D130" s="22"/>
      <c r="E130" s="22"/>
      <c r="F130" s="22"/>
      <c r="G130" s="22"/>
      <c r="H130" s="22"/>
      <c r="I130" s="22"/>
    </row>
    <row r="131" spans="1:9" ht="18.649999999999999" customHeight="1" x14ac:dyDescent="0.3">
      <c r="A131" s="22">
        <v>129</v>
      </c>
      <c r="B131" s="22"/>
      <c r="C131" s="22"/>
      <c r="D131" s="22"/>
      <c r="E131" s="22"/>
      <c r="F131" s="22"/>
      <c r="G131" s="22"/>
      <c r="H131" s="22"/>
      <c r="I131" s="22"/>
    </row>
    <row r="132" spans="1:9" ht="18.649999999999999" customHeight="1" x14ac:dyDescent="0.3">
      <c r="A132" s="22">
        <v>130</v>
      </c>
      <c r="B132" s="22"/>
      <c r="C132" s="22"/>
      <c r="D132" s="22"/>
      <c r="E132" s="22"/>
      <c r="F132" s="22"/>
      <c r="G132" s="22"/>
      <c r="H132" s="22"/>
      <c r="I132" s="22"/>
    </row>
    <row r="133" spans="1:9" ht="18.649999999999999" customHeight="1" x14ac:dyDescent="0.3">
      <c r="A133" s="22">
        <v>131</v>
      </c>
      <c r="B133" s="22"/>
      <c r="C133" s="22"/>
      <c r="D133" s="22"/>
      <c r="E133" s="22"/>
      <c r="F133" s="22"/>
      <c r="G133" s="22"/>
      <c r="H133" s="22"/>
      <c r="I133" s="22"/>
    </row>
    <row r="134" spans="1:9" ht="18.649999999999999" customHeight="1" x14ac:dyDescent="0.3">
      <c r="A134" s="22">
        <v>132</v>
      </c>
      <c r="B134" s="22"/>
      <c r="C134" s="22"/>
      <c r="D134" s="22"/>
      <c r="E134" s="22"/>
      <c r="F134" s="22"/>
      <c r="G134" s="22"/>
      <c r="H134" s="22"/>
      <c r="I134" s="22"/>
    </row>
    <row r="135" spans="1:9" ht="18.649999999999999" customHeight="1" x14ac:dyDescent="0.3">
      <c r="A135" s="22">
        <v>133</v>
      </c>
      <c r="B135" s="22"/>
      <c r="C135" s="22"/>
      <c r="D135" s="22"/>
      <c r="E135" s="22"/>
      <c r="F135" s="22"/>
      <c r="G135" s="22"/>
      <c r="H135" s="22"/>
      <c r="I135" s="22"/>
    </row>
    <row r="136" spans="1:9" ht="18.649999999999999" customHeight="1" x14ac:dyDescent="0.3">
      <c r="A136" s="22">
        <v>134</v>
      </c>
      <c r="B136" s="22"/>
      <c r="C136" s="22"/>
      <c r="D136" s="22"/>
      <c r="E136" s="22"/>
      <c r="F136" s="22"/>
      <c r="G136" s="22"/>
      <c r="H136" s="22"/>
      <c r="I136" s="22"/>
    </row>
    <row r="137" spans="1:9" ht="18.649999999999999" customHeight="1" x14ac:dyDescent="0.3">
      <c r="A137" s="22">
        <v>135</v>
      </c>
      <c r="B137" s="22"/>
      <c r="C137" s="22"/>
      <c r="D137" s="22"/>
      <c r="E137" s="22"/>
      <c r="F137" s="22"/>
      <c r="G137" s="22"/>
      <c r="H137" s="22"/>
      <c r="I137" s="22"/>
    </row>
    <row r="138" spans="1:9" ht="18.649999999999999" customHeight="1" x14ac:dyDescent="0.3">
      <c r="A138" s="22">
        <v>136</v>
      </c>
      <c r="B138" s="22"/>
      <c r="C138" s="22"/>
      <c r="D138" s="22"/>
      <c r="E138" s="22"/>
      <c r="F138" s="22"/>
      <c r="G138" s="22"/>
      <c r="H138" s="22"/>
      <c r="I138" s="22"/>
    </row>
    <row r="139" spans="1:9" ht="18.649999999999999" customHeight="1" x14ac:dyDescent="0.3">
      <c r="A139" s="22">
        <v>137</v>
      </c>
      <c r="B139" s="22"/>
      <c r="C139" s="22"/>
      <c r="D139" s="22"/>
      <c r="E139" s="22"/>
      <c r="F139" s="22"/>
      <c r="G139" s="22"/>
      <c r="H139" s="22"/>
      <c r="I139" s="22"/>
    </row>
    <row r="140" spans="1:9" ht="18.649999999999999" customHeight="1" x14ac:dyDescent="0.3">
      <c r="A140" s="22">
        <v>138</v>
      </c>
      <c r="B140" s="22"/>
      <c r="C140" s="22"/>
      <c r="D140" s="22"/>
      <c r="E140" s="22"/>
      <c r="F140" s="22"/>
      <c r="G140" s="22"/>
      <c r="H140" s="22"/>
      <c r="I140" s="22"/>
    </row>
    <row r="141" spans="1:9" ht="18.649999999999999" customHeight="1" x14ac:dyDescent="0.3">
      <c r="A141" s="22">
        <v>139</v>
      </c>
      <c r="B141" s="22"/>
      <c r="C141" s="22"/>
      <c r="D141" s="22"/>
      <c r="E141" s="22"/>
      <c r="F141" s="22"/>
      <c r="G141" s="22"/>
      <c r="H141" s="22"/>
      <c r="I141" s="22"/>
    </row>
    <row r="142" spans="1:9" ht="18.649999999999999" customHeight="1" x14ac:dyDescent="0.3">
      <c r="A142" s="22">
        <v>140</v>
      </c>
      <c r="B142" s="22"/>
      <c r="C142" s="22"/>
      <c r="D142" s="22"/>
      <c r="E142" s="22"/>
      <c r="F142" s="22"/>
      <c r="G142" s="22"/>
      <c r="H142" s="22"/>
      <c r="I142" s="22"/>
    </row>
    <row r="143" spans="1:9" ht="18.649999999999999" customHeight="1" x14ac:dyDescent="0.3">
      <c r="A143" s="22">
        <v>141</v>
      </c>
      <c r="B143" s="22"/>
      <c r="C143" s="22"/>
      <c r="D143" s="22"/>
      <c r="E143" s="22"/>
      <c r="F143" s="22"/>
      <c r="G143" s="22"/>
      <c r="H143" s="22"/>
      <c r="I143" s="22"/>
    </row>
    <row r="144" spans="1:9" ht="18.649999999999999" customHeight="1" x14ac:dyDescent="0.3">
      <c r="A144" s="22">
        <v>142</v>
      </c>
      <c r="B144" s="22"/>
      <c r="C144" s="22"/>
      <c r="D144" s="22"/>
      <c r="E144" s="22"/>
      <c r="F144" s="22"/>
      <c r="G144" s="22"/>
      <c r="H144" s="22"/>
      <c r="I144" s="22"/>
    </row>
    <row r="145" spans="1:9" ht="18.649999999999999" customHeight="1" x14ac:dyDescent="0.3">
      <c r="A145" s="22">
        <v>143</v>
      </c>
      <c r="B145" s="22"/>
      <c r="C145" s="22"/>
      <c r="D145" s="22"/>
      <c r="E145" s="22"/>
      <c r="F145" s="22"/>
      <c r="G145" s="22"/>
      <c r="H145" s="22"/>
      <c r="I145" s="22"/>
    </row>
    <row r="146" spans="1:9" ht="18.649999999999999" customHeight="1" x14ac:dyDescent="0.3">
      <c r="A146" s="22">
        <v>144</v>
      </c>
      <c r="B146" s="22"/>
      <c r="C146" s="22"/>
      <c r="D146" s="22"/>
      <c r="E146" s="22"/>
      <c r="F146" s="22"/>
      <c r="G146" s="22"/>
      <c r="H146" s="22"/>
      <c r="I146" s="22"/>
    </row>
    <row r="147" spans="1:9" ht="18.649999999999999" customHeight="1" x14ac:dyDescent="0.3">
      <c r="A147" s="22">
        <v>145</v>
      </c>
      <c r="B147" s="22"/>
      <c r="C147" s="22"/>
      <c r="D147" s="22"/>
      <c r="E147" s="22"/>
      <c r="F147" s="22"/>
      <c r="G147" s="22"/>
      <c r="H147" s="22"/>
      <c r="I147" s="22"/>
    </row>
    <row r="148" spans="1:9" ht="18.649999999999999" customHeight="1" x14ac:dyDescent="0.3">
      <c r="A148" s="22">
        <v>146</v>
      </c>
      <c r="B148" s="22"/>
      <c r="C148" s="22"/>
      <c r="D148" s="22"/>
      <c r="E148" s="22"/>
      <c r="F148" s="22"/>
      <c r="G148" s="22"/>
      <c r="H148" s="22"/>
      <c r="I148" s="22"/>
    </row>
    <row r="149" spans="1:9" ht="18.649999999999999" customHeight="1" x14ac:dyDescent="0.3">
      <c r="A149" s="22">
        <v>147</v>
      </c>
      <c r="B149" s="22"/>
      <c r="C149" s="22"/>
      <c r="D149" s="22"/>
      <c r="E149" s="22"/>
      <c r="F149" s="22"/>
      <c r="G149" s="22"/>
      <c r="H149" s="22"/>
      <c r="I149" s="22"/>
    </row>
    <row r="150" spans="1:9" ht="18.649999999999999" customHeight="1" x14ac:dyDescent="0.3">
      <c r="A150" s="22">
        <v>148</v>
      </c>
      <c r="B150" s="22"/>
      <c r="C150" s="22"/>
      <c r="D150" s="22"/>
      <c r="E150" s="22"/>
      <c r="F150" s="22"/>
      <c r="G150" s="22"/>
      <c r="H150" s="22"/>
      <c r="I150" s="22"/>
    </row>
    <row r="151" spans="1:9" ht="18.649999999999999" customHeight="1" x14ac:dyDescent="0.3">
      <c r="A151" s="22">
        <v>149</v>
      </c>
      <c r="B151" s="22"/>
      <c r="C151" s="22"/>
      <c r="D151" s="22"/>
      <c r="E151" s="22"/>
      <c r="F151" s="22"/>
      <c r="G151" s="22"/>
      <c r="H151" s="22"/>
      <c r="I151" s="22"/>
    </row>
    <row r="152" spans="1:9" ht="18.649999999999999" customHeight="1" x14ac:dyDescent="0.3">
      <c r="A152" s="22">
        <v>150</v>
      </c>
      <c r="B152" s="22"/>
      <c r="C152" s="22"/>
      <c r="D152" s="22"/>
      <c r="E152" s="22"/>
      <c r="F152" s="22"/>
      <c r="G152" s="22"/>
      <c r="H152" s="22"/>
      <c r="I152" s="22"/>
    </row>
    <row r="153" spans="1:9" ht="18.649999999999999" customHeight="1" x14ac:dyDescent="0.3">
      <c r="A153" s="22">
        <v>151</v>
      </c>
      <c r="B153" s="22"/>
      <c r="C153" s="22"/>
      <c r="D153" s="22"/>
      <c r="E153" s="22"/>
      <c r="F153" s="22"/>
      <c r="G153" s="22"/>
      <c r="H153" s="22"/>
      <c r="I153" s="22"/>
    </row>
    <row r="154" spans="1:9" ht="18.649999999999999" customHeight="1" x14ac:dyDescent="0.3">
      <c r="A154" s="22">
        <v>152</v>
      </c>
      <c r="B154" s="22"/>
      <c r="C154" s="22"/>
      <c r="D154" s="22"/>
      <c r="E154" s="22"/>
      <c r="F154" s="22"/>
      <c r="G154" s="22"/>
      <c r="H154" s="22"/>
      <c r="I154" s="22"/>
    </row>
    <row r="155" spans="1:9" ht="18.649999999999999" customHeight="1" x14ac:dyDescent="0.3">
      <c r="A155" s="22">
        <v>153</v>
      </c>
      <c r="B155" s="22"/>
      <c r="C155" s="22"/>
      <c r="D155" s="22"/>
      <c r="E155" s="22"/>
      <c r="F155" s="22"/>
      <c r="G155" s="22"/>
      <c r="H155" s="22"/>
      <c r="I155" s="22"/>
    </row>
    <row r="156" spans="1:9" ht="18.649999999999999" customHeight="1" x14ac:dyDescent="0.3">
      <c r="A156" s="22">
        <v>154</v>
      </c>
      <c r="B156" s="22"/>
      <c r="C156" s="22"/>
      <c r="D156" s="22"/>
      <c r="E156" s="22"/>
      <c r="F156" s="22"/>
      <c r="G156" s="22"/>
      <c r="H156" s="22"/>
      <c r="I156" s="22"/>
    </row>
    <row r="157" spans="1:9" ht="18.649999999999999" customHeight="1" x14ac:dyDescent="0.3">
      <c r="A157" s="22">
        <v>155</v>
      </c>
      <c r="B157" s="22"/>
      <c r="C157" s="22"/>
      <c r="D157" s="22"/>
      <c r="E157" s="22"/>
      <c r="F157" s="22"/>
      <c r="G157" s="22"/>
      <c r="H157" s="22"/>
      <c r="I157" s="22"/>
    </row>
    <row r="158" spans="1:9" ht="18.649999999999999" customHeight="1" x14ac:dyDescent="0.3">
      <c r="A158" s="22">
        <v>156</v>
      </c>
      <c r="B158" s="22"/>
      <c r="C158" s="22"/>
      <c r="D158" s="22"/>
      <c r="E158" s="22"/>
      <c r="F158" s="22"/>
      <c r="G158" s="22"/>
      <c r="H158" s="22"/>
      <c r="I158" s="22"/>
    </row>
    <row r="159" spans="1:9" ht="18.649999999999999" customHeight="1" x14ac:dyDescent="0.3">
      <c r="A159" s="22">
        <v>157</v>
      </c>
      <c r="B159" s="22"/>
      <c r="C159" s="22"/>
      <c r="D159" s="22"/>
      <c r="E159" s="22"/>
      <c r="F159" s="22"/>
      <c r="G159" s="22"/>
      <c r="H159" s="22"/>
      <c r="I159" s="22"/>
    </row>
    <row r="160" spans="1:9" ht="18.649999999999999" customHeight="1" x14ac:dyDescent="0.3">
      <c r="A160" s="22">
        <v>158</v>
      </c>
      <c r="B160" s="22"/>
      <c r="C160" s="22"/>
      <c r="D160" s="22"/>
      <c r="E160" s="22"/>
      <c r="F160" s="22"/>
      <c r="G160" s="22"/>
      <c r="H160" s="22"/>
      <c r="I160" s="22"/>
    </row>
    <row r="161" spans="1:9" ht="18.649999999999999" customHeight="1" x14ac:dyDescent="0.3">
      <c r="A161" s="22">
        <v>159</v>
      </c>
      <c r="B161" s="22"/>
      <c r="C161" s="22"/>
      <c r="D161" s="22"/>
      <c r="E161" s="22"/>
      <c r="F161" s="22"/>
      <c r="G161" s="22"/>
      <c r="H161" s="22"/>
      <c r="I161" s="22"/>
    </row>
    <row r="162" spans="1:9" ht="18.649999999999999" customHeight="1" x14ac:dyDescent="0.3">
      <c r="A162" s="22">
        <v>160</v>
      </c>
      <c r="B162" s="22"/>
      <c r="C162" s="22"/>
      <c r="D162" s="22"/>
      <c r="E162" s="22"/>
      <c r="F162" s="22"/>
      <c r="G162" s="22"/>
      <c r="H162" s="22"/>
      <c r="I162" s="22"/>
    </row>
    <row r="163" spans="1:9" ht="18.649999999999999" customHeight="1" x14ac:dyDescent="0.3">
      <c r="A163" s="22">
        <v>161</v>
      </c>
      <c r="B163" s="22"/>
      <c r="C163" s="22"/>
      <c r="D163" s="22"/>
      <c r="E163" s="22"/>
      <c r="F163" s="22"/>
      <c r="G163" s="22"/>
      <c r="H163" s="22"/>
      <c r="I163" s="22"/>
    </row>
    <row r="164" spans="1:9" ht="18.649999999999999" customHeight="1" x14ac:dyDescent="0.3">
      <c r="A164" s="22">
        <v>162</v>
      </c>
      <c r="B164" s="22"/>
      <c r="C164" s="22"/>
      <c r="D164" s="22"/>
      <c r="E164" s="22"/>
      <c r="F164" s="22"/>
      <c r="G164" s="22"/>
      <c r="H164" s="22"/>
      <c r="I164" s="22"/>
    </row>
    <row r="165" spans="1:9" ht="18.649999999999999" customHeight="1" x14ac:dyDescent="0.3">
      <c r="A165" s="22">
        <v>163</v>
      </c>
      <c r="B165" s="22"/>
      <c r="C165" s="22"/>
      <c r="D165" s="22"/>
      <c r="E165" s="22"/>
      <c r="F165" s="22"/>
      <c r="G165" s="22"/>
      <c r="H165" s="22"/>
      <c r="I165" s="22"/>
    </row>
    <row r="166" spans="1:9" ht="18.649999999999999" customHeight="1" x14ac:dyDescent="0.3">
      <c r="A166" s="22">
        <v>164</v>
      </c>
      <c r="B166" s="22"/>
      <c r="C166" s="22"/>
      <c r="D166" s="22"/>
      <c r="E166" s="22"/>
      <c r="F166" s="22"/>
      <c r="G166" s="22"/>
      <c r="H166" s="22"/>
      <c r="I166" s="22"/>
    </row>
    <row r="167" spans="1:9" ht="18.649999999999999" customHeight="1" x14ac:dyDescent="0.3">
      <c r="A167" s="22">
        <v>165</v>
      </c>
      <c r="B167" s="22"/>
      <c r="C167" s="22"/>
      <c r="D167" s="22"/>
      <c r="E167" s="22"/>
      <c r="F167" s="22"/>
      <c r="G167" s="22"/>
      <c r="H167" s="22"/>
      <c r="I167" s="22"/>
    </row>
    <row r="168" spans="1:9" ht="18.649999999999999" customHeight="1" x14ac:dyDescent="0.3">
      <c r="A168" s="22">
        <v>166</v>
      </c>
      <c r="B168" s="22"/>
      <c r="C168" s="22"/>
      <c r="D168" s="22"/>
      <c r="E168" s="22"/>
      <c r="F168" s="22"/>
      <c r="G168" s="22"/>
      <c r="H168" s="22"/>
      <c r="I168" s="22"/>
    </row>
    <row r="169" spans="1:9" ht="18.649999999999999" customHeight="1" x14ac:dyDescent="0.3">
      <c r="A169" s="22">
        <v>167</v>
      </c>
      <c r="B169" s="22"/>
      <c r="C169" s="22"/>
      <c r="D169" s="22"/>
      <c r="E169" s="22"/>
      <c r="F169" s="22"/>
      <c r="G169" s="22"/>
      <c r="H169" s="22"/>
      <c r="I169" s="22"/>
    </row>
    <row r="170" spans="1:9" ht="18.649999999999999" customHeight="1" x14ac:dyDescent="0.3">
      <c r="A170" s="22">
        <v>168</v>
      </c>
      <c r="B170" s="22"/>
      <c r="C170" s="22"/>
      <c r="D170" s="22"/>
      <c r="E170" s="22"/>
      <c r="F170" s="22"/>
      <c r="G170" s="22"/>
      <c r="H170" s="22"/>
      <c r="I170" s="22"/>
    </row>
    <row r="171" spans="1:9" ht="18.649999999999999" customHeight="1" x14ac:dyDescent="0.3">
      <c r="A171" s="22">
        <v>169</v>
      </c>
      <c r="B171" s="22"/>
      <c r="C171" s="22"/>
      <c r="D171" s="22"/>
      <c r="E171" s="22"/>
      <c r="F171" s="22"/>
      <c r="G171" s="22"/>
      <c r="H171" s="22"/>
      <c r="I171" s="22"/>
    </row>
    <row r="172" spans="1:9" ht="18.649999999999999" customHeight="1" x14ac:dyDescent="0.3">
      <c r="A172" s="22">
        <v>170</v>
      </c>
      <c r="B172" s="22"/>
      <c r="C172" s="22"/>
      <c r="D172" s="22"/>
      <c r="E172" s="22"/>
      <c r="F172" s="22"/>
      <c r="G172" s="22"/>
      <c r="H172" s="22"/>
      <c r="I172" s="22"/>
    </row>
    <row r="173" spans="1:9" ht="18.649999999999999" customHeight="1" x14ac:dyDescent="0.3">
      <c r="A173" s="22">
        <v>171</v>
      </c>
      <c r="B173" s="22"/>
      <c r="C173" s="22"/>
      <c r="D173" s="22"/>
      <c r="E173" s="22"/>
      <c r="F173" s="22"/>
      <c r="G173" s="22"/>
      <c r="H173" s="22"/>
      <c r="I173" s="22"/>
    </row>
    <row r="174" spans="1:9" ht="18.649999999999999" customHeight="1" x14ac:dyDescent="0.3">
      <c r="A174" s="22">
        <v>172</v>
      </c>
      <c r="B174" s="22"/>
      <c r="C174" s="22"/>
      <c r="D174" s="22"/>
      <c r="E174" s="22"/>
      <c r="F174" s="22"/>
      <c r="G174" s="22"/>
      <c r="H174" s="22"/>
      <c r="I174" s="22"/>
    </row>
    <row r="175" spans="1:9" ht="18.649999999999999" customHeight="1" x14ac:dyDescent="0.3">
      <c r="A175" s="22">
        <v>173</v>
      </c>
      <c r="B175" s="22"/>
      <c r="C175" s="22"/>
      <c r="D175" s="22"/>
      <c r="E175" s="22"/>
      <c r="F175" s="22"/>
      <c r="G175" s="22"/>
      <c r="H175" s="22"/>
      <c r="I175" s="22"/>
    </row>
    <row r="176" spans="1:9" ht="18.649999999999999" customHeight="1" x14ac:dyDescent="0.3">
      <c r="A176" s="22">
        <v>174</v>
      </c>
      <c r="B176" s="22"/>
      <c r="C176" s="22"/>
      <c r="D176" s="22"/>
      <c r="E176" s="22"/>
      <c r="F176" s="22"/>
      <c r="G176" s="22"/>
      <c r="H176" s="22"/>
      <c r="I176" s="22"/>
    </row>
    <row r="177" spans="1:9" ht="18.649999999999999" customHeight="1" x14ac:dyDescent="0.3">
      <c r="A177" s="22">
        <v>175</v>
      </c>
      <c r="B177" s="22"/>
      <c r="C177" s="22"/>
      <c r="D177" s="22"/>
      <c r="E177" s="22"/>
      <c r="F177" s="22"/>
      <c r="G177" s="22"/>
      <c r="H177" s="22"/>
      <c r="I177" s="22"/>
    </row>
    <row r="178" spans="1:9" ht="18.649999999999999" customHeight="1" x14ac:dyDescent="0.3">
      <c r="A178" s="22">
        <v>176</v>
      </c>
      <c r="B178" s="22"/>
      <c r="C178" s="22"/>
      <c r="D178" s="22"/>
      <c r="E178" s="22"/>
      <c r="F178" s="22"/>
      <c r="G178" s="22"/>
      <c r="H178" s="22"/>
      <c r="I178" s="22"/>
    </row>
    <row r="179" spans="1:9" ht="18.649999999999999" customHeight="1" x14ac:dyDescent="0.3">
      <c r="A179" s="22">
        <v>177</v>
      </c>
      <c r="B179" s="22"/>
      <c r="C179" s="22"/>
      <c r="D179" s="22"/>
      <c r="E179" s="22"/>
      <c r="F179" s="22"/>
      <c r="G179" s="22"/>
      <c r="H179" s="22"/>
      <c r="I179" s="22"/>
    </row>
    <row r="180" spans="1:9" ht="18.649999999999999" customHeight="1" x14ac:dyDescent="0.3">
      <c r="A180" s="22">
        <v>178</v>
      </c>
      <c r="B180" s="22"/>
      <c r="C180" s="22"/>
      <c r="D180" s="22"/>
      <c r="E180" s="22"/>
      <c r="F180" s="22"/>
      <c r="G180" s="22"/>
      <c r="H180" s="22"/>
      <c r="I180" s="22"/>
    </row>
    <row r="181" spans="1:9" ht="18.649999999999999" customHeight="1" x14ac:dyDescent="0.3">
      <c r="A181" s="22">
        <v>179</v>
      </c>
      <c r="B181" s="22"/>
      <c r="C181" s="22"/>
      <c r="D181" s="22"/>
      <c r="E181" s="22"/>
      <c r="F181" s="22"/>
      <c r="G181" s="22"/>
      <c r="H181" s="22"/>
      <c r="I181" s="22"/>
    </row>
    <row r="182" spans="1:9" ht="18.649999999999999" customHeight="1" x14ac:dyDescent="0.3">
      <c r="A182" s="22">
        <v>180</v>
      </c>
      <c r="B182" s="22"/>
      <c r="C182" s="22"/>
      <c r="D182" s="22"/>
      <c r="E182" s="22"/>
      <c r="F182" s="22"/>
      <c r="G182" s="22"/>
      <c r="H182" s="22"/>
      <c r="I182" s="22"/>
    </row>
    <row r="183" spans="1:9" ht="18.649999999999999" customHeight="1" x14ac:dyDescent="0.3">
      <c r="A183" s="22">
        <v>181</v>
      </c>
      <c r="B183" s="22"/>
      <c r="C183" s="22"/>
      <c r="D183" s="22"/>
      <c r="E183" s="22"/>
      <c r="F183" s="22"/>
      <c r="G183" s="22"/>
      <c r="H183" s="22"/>
      <c r="I183" s="22"/>
    </row>
    <row r="184" spans="1:9" ht="18.649999999999999" customHeight="1" x14ac:dyDescent="0.3">
      <c r="A184" s="22">
        <v>182</v>
      </c>
      <c r="B184" s="22"/>
      <c r="C184" s="22"/>
      <c r="D184" s="22"/>
      <c r="E184" s="22"/>
      <c r="F184" s="22"/>
      <c r="G184" s="22"/>
      <c r="H184" s="22"/>
      <c r="I184" s="22"/>
    </row>
    <row r="185" spans="1:9" ht="18.649999999999999" customHeight="1" x14ac:dyDescent="0.3">
      <c r="A185" s="22">
        <v>183</v>
      </c>
      <c r="B185" s="22"/>
      <c r="C185" s="22"/>
      <c r="D185" s="22"/>
      <c r="E185" s="22"/>
      <c r="F185" s="22"/>
      <c r="G185" s="22"/>
      <c r="H185" s="22"/>
      <c r="I185" s="22"/>
    </row>
    <row r="186" spans="1:9" ht="18.649999999999999" customHeight="1" x14ac:dyDescent="0.3">
      <c r="A186" s="22">
        <v>184</v>
      </c>
      <c r="B186" s="22"/>
      <c r="C186" s="22"/>
      <c r="D186" s="22"/>
      <c r="E186" s="22"/>
      <c r="F186" s="22"/>
      <c r="G186" s="22"/>
      <c r="H186" s="22"/>
      <c r="I186" s="22"/>
    </row>
    <row r="187" spans="1:9" ht="18.649999999999999" customHeight="1" x14ac:dyDescent="0.3">
      <c r="A187" s="22">
        <v>185</v>
      </c>
      <c r="B187" s="22"/>
      <c r="C187" s="22"/>
      <c r="D187" s="22"/>
      <c r="E187" s="22"/>
      <c r="F187" s="22"/>
      <c r="G187" s="22"/>
      <c r="H187" s="22"/>
      <c r="I187" s="22"/>
    </row>
    <row r="188" spans="1:9" ht="18.649999999999999" customHeight="1" x14ac:dyDescent="0.3">
      <c r="A188" s="22">
        <v>186</v>
      </c>
      <c r="B188" s="22"/>
      <c r="C188" s="22"/>
      <c r="D188" s="22"/>
      <c r="E188" s="22"/>
      <c r="F188" s="22"/>
      <c r="G188" s="22"/>
      <c r="H188" s="22"/>
      <c r="I188" s="22"/>
    </row>
    <row r="189" spans="1:9" ht="18.649999999999999" customHeight="1" x14ac:dyDescent="0.3">
      <c r="A189" s="22">
        <v>187</v>
      </c>
      <c r="B189" s="22"/>
      <c r="C189" s="22"/>
      <c r="D189" s="22"/>
      <c r="E189" s="22"/>
      <c r="F189" s="22"/>
      <c r="G189" s="22"/>
      <c r="H189" s="22"/>
      <c r="I189" s="22"/>
    </row>
    <row r="190" spans="1:9" ht="18.649999999999999" customHeight="1" x14ac:dyDescent="0.3">
      <c r="A190" s="22">
        <v>188</v>
      </c>
      <c r="B190" s="22"/>
      <c r="C190" s="22"/>
      <c r="D190" s="22"/>
      <c r="E190" s="22"/>
      <c r="F190" s="22"/>
      <c r="G190" s="22"/>
      <c r="H190" s="22"/>
      <c r="I190" s="22"/>
    </row>
    <row r="191" spans="1:9" ht="18.649999999999999" customHeight="1" x14ac:dyDescent="0.3">
      <c r="A191" s="22">
        <v>189</v>
      </c>
      <c r="B191" s="22"/>
      <c r="C191" s="22"/>
      <c r="D191" s="22"/>
      <c r="E191" s="22"/>
      <c r="F191" s="22"/>
      <c r="G191" s="22"/>
      <c r="H191" s="22"/>
      <c r="I191" s="22"/>
    </row>
    <row r="192" spans="1:9" ht="18.649999999999999" customHeight="1" x14ac:dyDescent="0.3">
      <c r="A192" s="22">
        <v>190</v>
      </c>
      <c r="B192" s="22"/>
      <c r="C192" s="22"/>
      <c r="D192" s="22"/>
      <c r="E192" s="22"/>
      <c r="F192" s="22"/>
      <c r="G192" s="22"/>
      <c r="H192" s="22"/>
      <c r="I192" s="22"/>
    </row>
    <row r="193" spans="1:9" ht="18.649999999999999" customHeight="1" x14ac:dyDescent="0.3">
      <c r="A193" s="22">
        <v>191</v>
      </c>
      <c r="B193" s="22"/>
      <c r="C193" s="22"/>
      <c r="D193" s="22"/>
      <c r="E193" s="22"/>
      <c r="F193" s="22"/>
      <c r="G193" s="22"/>
      <c r="H193" s="22"/>
      <c r="I193" s="22"/>
    </row>
    <row r="194" spans="1:9" ht="18.649999999999999" customHeight="1" x14ac:dyDescent="0.3">
      <c r="A194" s="22">
        <v>192</v>
      </c>
      <c r="B194" s="22"/>
      <c r="C194" s="22"/>
      <c r="D194" s="22"/>
      <c r="E194" s="22"/>
      <c r="F194" s="22"/>
      <c r="G194" s="22"/>
      <c r="H194" s="22"/>
      <c r="I194" s="22"/>
    </row>
    <row r="195" spans="1:9" ht="18.649999999999999" customHeight="1" x14ac:dyDescent="0.3">
      <c r="A195" s="22">
        <v>193</v>
      </c>
      <c r="B195" s="22"/>
      <c r="C195" s="22"/>
      <c r="D195" s="22"/>
      <c r="E195" s="22"/>
      <c r="F195" s="22"/>
      <c r="G195" s="22"/>
      <c r="H195" s="22"/>
      <c r="I195" s="22"/>
    </row>
    <row r="196" spans="1:9" ht="18.649999999999999" customHeight="1" x14ac:dyDescent="0.3">
      <c r="A196" s="22">
        <v>194</v>
      </c>
      <c r="B196" s="22"/>
      <c r="C196" s="22"/>
      <c r="D196" s="22"/>
      <c r="E196" s="22"/>
      <c r="F196" s="22"/>
      <c r="G196" s="22"/>
      <c r="H196" s="22"/>
      <c r="I196" s="22"/>
    </row>
    <row r="197" spans="1:9" ht="18.649999999999999" customHeight="1" x14ac:dyDescent="0.3">
      <c r="A197" s="22">
        <v>195</v>
      </c>
      <c r="B197" s="22"/>
      <c r="C197" s="22"/>
      <c r="D197" s="22"/>
      <c r="E197" s="22"/>
      <c r="F197" s="22"/>
      <c r="G197" s="22"/>
      <c r="H197" s="22"/>
      <c r="I197" s="22"/>
    </row>
    <row r="198" spans="1:9" ht="18.649999999999999" customHeight="1" x14ac:dyDescent="0.3">
      <c r="A198" s="22">
        <v>196</v>
      </c>
      <c r="B198" s="22"/>
      <c r="C198" s="22"/>
      <c r="D198" s="22"/>
      <c r="E198" s="22"/>
      <c r="F198" s="22"/>
      <c r="G198" s="22"/>
      <c r="H198" s="22"/>
      <c r="I198" s="22"/>
    </row>
    <row r="199" spans="1:9" ht="18.649999999999999" customHeight="1" x14ac:dyDescent="0.3">
      <c r="A199" s="22">
        <v>197</v>
      </c>
      <c r="B199" s="22"/>
      <c r="C199" s="22"/>
      <c r="D199" s="22"/>
      <c r="E199" s="22"/>
      <c r="F199" s="22"/>
      <c r="G199" s="22"/>
      <c r="H199" s="22"/>
      <c r="I199" s="22"/>
    </row>
  </sheetData>
  <mergeCells count="6">
    <mergeCell ref="A1:I1"/>
    <mergeCell ref="L5:O5"/>
    <mergeCell ref="L6:M6"/>
    <mergeCell ref="N6:O6"/>
    <mergeCell ref="L7:M7"/>
    <mergeCell ref="N7:O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6"/>
  <sheetViews>
    <sheetView rightToLeft="1" workbookViewId="0">
      <selection activeCell="B23" sqref="B23"/>
    </sheetView>
  </sheetViews>
  <sheetFormatPr defaultRowHeight="14" x14ac:dyDescent="0.3"/>
  <cols>
    <col min="1" max="1" width="6.58203125" customWidth="1"/>
    <col min="2" max="2" width="27" customWidth="1"/>
    <col min="3" max="3" width="21.4140625" customWidth="1"/>
  </cols>
  <sheetData>
    <row r="1" spans="1:3" ht="33" customHeight="1" x14ac:dyDescent="0.3">
      <c r="A1" s="234" t="s">
        <v>650</v>
      </c>
      <c r="B1" s="234"/>
      <c r="C1" s="234"/>
    </row>
    <row r="2" spans="1:3" ht="27" customHeight="1" x14ac:dyDescent="0.3">
      <c r="A2" s="22" t="s">
        <v>0</v>
      </c>
      <c r="B2" s="22" t="s">
        <v>488</v>
      </c>
      <c r="C2" s="22" t="s">
        <v>487</v>
      </c>
    </row>
    <row r="3" spans="1:3" ht="32.4" customHeight="1" x14ac:dyDescent="0.3">
      <c r="A3" s="22"/>
      <c r="B3" s="22" t="s">
        <v>647</v>
      </c>
      <c r="C3" s="144">
        <f>'المصروفات الثابتة'!J4</f>
        <v>46378.333333333328</v>
      </c>
    </row>
    <row r="4" spans="1:3" ht="32.4" customHeight="1" x14ac:dyDescent="0.3">
      <c r="A4" s="22"/>
      <c r="B4" s="22" t="s">
        <v>658</v>
      </c>
      <c r="C4" s="144">
        <f>'ملخص مشتريات'!B5</f>
        <v>1200</v>
      </c>
    </row>
    <row r="5" spans="1:3" ht="32.4" customHeight="1" x14ac:dyDescent="0.3">
      <c r="A5" s="22"/>
      <c r="B5" s="22" t="s">
        <v>659</v>
      </c>
      <c r="C5" s="144">
        <f>C4/47%</f>
        <v>2553.1914893617022</v>
      </c>
    </row>
    <row r="6" spans="1:3" ht="32.4" customHeight="1" x14ac:dyDescent="0.3">
      <c r="A6" s="22"/>
      <c r="B6" s="22" t="s">
        <v>660</v>
      </c>
      <c r="C6" s="144">
        <f>C5-C4-C3</f>
        <v>-45025.141843971629</v>
      </c>
    </row>
  </sheetData>
  <mergeCells count="1">
    <mergeCell ref="A1:C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152"/>
  <sheetViews>
    <sheetView rightToLeft="1" workbookViewId="0">
      <selection activeCell="G13" sqref="G13"/>
    </sheetView>
  </sheetViews>
  <sheetFormatPr defaultRowHeight="14" x14ac:dyDescent="0.3"/>
  <cols>
    <col min="7" max="7" width="11.08203125" customWidth="1"/>
    <col min="11" max="11" width="14.58203125" customWidth="1"/>
    <col min="19" max="19" width="11.08203125" customWidth="1"/>
  </cols>
  <sheetData>
    <row r="1" spans="1:19" ht="35.4" customHeight="1" x14ac:dyDescent="0.3">
      <c r="A1" s="235" t="s">
        <v>674</v>
      </c>
      <c r="B1" s="235"/>
      <c r="C1" s="235"/>
      <c r="D1" s="235"/>
      <c r="E1" s="235"/>
      <c r="F1" s="235"/>
      <c r="G1" s="235"/>
      <c r="M1" s="235" t="s">
        <v>677</v>
      </c>
      <c r="N1" s="235"/>
      <c r="O1" s="235"/>
      <c r="P1" s="235"/>
      <c r="Q1" s="235"/>
      <c r="R1" s="235"/>
      <c r="S1" s="235"/>
    </row>
    <row r="2" spans="1:19" ht="26.4" customHeight="1" x14ac:dyDescent="0.3">
      <c r="A2" s="19" t="s">
        <v>0</v>
      </c>
      <c r="B2" s="19" t="s">
        <v>672</v>
      </c>
      <c r="C2" s="19" t="s">
        <v>499</v>
      </c>
      <c r="D2" s="19" t="s">
        <v>50</v>
      </c>
      <c r="E2" s="19" t="s">
        <v>673</v>
      </c>
      <c r="F2" s="19" t="s">
        <v>657</v>
      </c>
      <c r="G2" s="19" t="s">
        <v>675</v>
      </c>
      <c r="M2" s="19" t="s">
        <v>0</v>
      </c>
      <c r="N2" s="19" t="s">
        <v>672</v>
      </c>
      <c r="O2" s="19" t="s">
        <v>499</v>
      </c>
      <c r="P2" s="19" t="s">
        <v>50</v>
      </c>
      <c r="Q2" s="19" t="s">
        <v>673</v>
      </c>
      <c r="R2" s="19" t="s">
        <v>657</v>
      </c>
      <c r="S2" s="19" t="s">
        <v>675</v>
      </c>
    </row>
    <row r="3" spans="1:19" x14ac:dyDescent="0.3">
      <c r="A3" s="22">
        <v>1</v>
      </c>
      <c r="B3" s="22"/>
      <c r="C3" s="22"/>
      <c r="D3" s="22"/>
      <c r="E3" s="66"/>
      <c r="F3" s="66">
        <f>D3*E3</f>
        <v>0</v>
      </c>
      <c r="G3" s="22"/>
      <c r="M3" s="22">
        <v>1</v>
      </c>
      <c r="N3" s="22"/>
      <c r="O3" s="22"/>
      <c r="P3" s="22"/>
      <c r="Q3" s="66"/>
      <c r="R3" s="66">
        <f>P3*Q3</f>
        <v>0</v>
      </c>
      <c r="S3" s="22"/>
    </row>
    <row r="4" spans="1:19" x14ac:dyDescent="0.3">
      <c r="A4" s="22">
        <v>2</v>
      </c>
      <c r="B4" s="22"/>
      <c r="C4" s="22"/>
      <c r="D4" s="22"/>
      <c r="E4" s="66"/>
      <c r="F4" s="66">
        <f t="shared" ref="F4:F67" si="0">D4*E4</f>
        <v>0</v>
      </c>
      <c r="G4" s="22"/>
      <c r="I4" s="233" t="s">
        <v>676</v>
      </c>
      <c r="J4" s="233"/>
      <c r="K4" s="233"/>
      <c r="M4" s="22">
        <v>2</v>
      </c>
      <c r="N4" s="22"/>
      <c r="O4" s="22"/>
      <c r="P4" s="22"/>
      <c r="Q4" s="66"/>
      <c r="R4" s="66">
        <f t="shared" ref="R4:R67" si="1">P4*Q4</f>
        <v>0</v>
      </c>
      <c r="S4" s="22"/>
    </row>
    <row r="5" spans="1:19" ht="15.65" customHeight="1" x14ac:dyDescent="0.3">
      <c r="A5" s="22">
        <v>3</v>
      </c>
      <c r="B5" s="22"/>
      <c r="C5" s="22"/>
      <c r="D5" s="22"/>
      <c r="E5" s="66"/>
      <c r="F5" s="66">
        <f t="shared" si="0"/>
        <v>0</v>
      </c>
      <c r="G5" s="22"/>
      <c r="I5" s="233"/>
      <c r="J5" s="233"/>
      <c r="K5" s="233"/>
      <c r="M5" s="22">
        <v>3</v>
      </c>
      <c r="N5" s="22"/>
      <c r="O5" s="22"/>
      <c r="P5" s="22"/>
      <c r="Q5" s="66"/>
      <c r="R5" s="66">
        <f t="shared" si="1"/>
        <v>0</v>
      </c>
      <c r="S5" s="22"/>
    </row>
    <row r="6" spans="1:19" x14ac:dyDescent="0.3">
      <c r="A6" s="22">
        <v>4</v>
      </c>
      <c r="B6" s="22"/>
      <c r="C6" s="22"/>
      <c r="D6" s="22"/>
      <c r="E6" s="66"/>
      <c r="F6" s="66">
        <f t="shared" si="0"/>
        <v>0</v>
      </c>
      <c r="G6" s="22"/>
      <c r="I6" s="207" t="s">
        <v>463</v>
      </c>
      <c r="J6" s="207"/>
      <c r="K6" s="66">
        <f>SUM(F3:F1000)</f>
        <v>0</v>
      </c>
      <c r="M6" s="22">
        <v>4</v>
      </c>
      <c r="N6" s="22"/>
      <c r="O6" s="22"/>
      <c r="P6" s="22"/>
      <c r="Q6" s="66"/>
      <c r="R6" s="66">
        <f t="shared" si="1"/>
        <v>0</v>
      </c>
      <c r="S6" s="22"/>
    </row>
    <row r="7" spans="1:19" x14ac:dyDescent="0.3">
      <c r="A7" s="22">
        <v>5</v>
      </c>
      <c r="B7" s="22"/>
      <c r="C7" s="22"/>
      <c r="D7" s="22"/>
      <c r="E7" s="66"/>
      <c r="F7" s="66">
        <f t="shared" si="0"/>
        <v>0</v>
      </c>
      <c r="G7" s="22"/>
      <c r="I7" s="207" t="s">
        <v>467</v>
      </c>
      <c r="J7" s="207"/>
      <c r="K7" s="66">
        <f>SUM(R3:R1000)</f>
        <v>0</v>
      </c>
      <c r="M7" s="22">
        <v>5</v>
      </c>
      <c r="N7" s="22"/>
      <c r="O7" s="22"/>
      <c r="P7" s="22"/>
      <c r="Q7" s="66"/>
      <c r="R7" s="66">
        <f t="shared" si="1"/>
        <v>0</v>
      </c>
      <c r="S7" s="22"/>
    </row>
    <row r="8" spans="1:19" x14ac:dyDescent="0.3">
      <c r="A8" s="22">
        <v>6</v>
      </c>
      <c r="B8" s="22"/>
      <c r="C8" s="22"/>
      <c r="D8" s="22"/>
      <c r="E8" s="66"/>
      <c r="F8" s="66">
        <f t="shared" si="0"/>
        <v>0</v>
      </c>
      <c r="G8" s="22"/>
      <c r="M8" s="22">
        <v>6</v>
      </c>
      <c r="N8" s="22"/>
      <c r="O8" s="22"/>
      <c r="P8" s="22"/>
      <c r="Q8" s="66"/>
      <c r="R8" s="66">
        <f t="shared" si="1"/>
        <v>0</v>
      </c>
      <c r="S8" s="22"/>
    </row>
    <row r="9" spans="1:19" x14ac:dyDescent="0.3">
      <c r="A9" s="22">
        <v>7</v>
      </c>
      <c r="B9" s="22"/>
      <c r="C9" s="22"/>
      <c r="D9" s="22"/>
      <c r="E9" s="66"/>
      <c r="F9" s="66">
        <f t="shared" si="0"/>
        <v>0</v>
      </c>
      <c r="G9" s="22"/>
      <c r="M9" s="22">
        <v>7</v>
      </c>
      <c r="N9" s="22"/>
      <c r="O9" s="22"/>
      <c r="P9" s="22"/>
      <c r="Q9" s="66"/>
      <c r="R9" s="66">
        <f t="shared" si="1"/>
        <v>0</v>
      </c>
      <c r="S9" s="22"/>
    </row>
    <row r="10" spans="1:19" x14ac:dyDescent="0.3">
      <c r="A10" s="22">
        <v>8</v>
      </c>
      <c r="B10" s="22"/>
      <c r="C10" s="22"/>
      <c r="D10" s="22"/>
      <c r="E10" s="66"/>
      <c r="F10" s="66">
        <f t="shared" si="0"/>
        <v>0</v>
      </c>
      <c r="G10" s="22"/>
      <c r="M10" s="22">
        <v>8</v>
      </c>
      <c r="N10" s="22"/>
      <c r="O10" s="22"/>
      <c r="P10" s="22"/>
      <c r="Q10" s="66"/>
      <c r="R10" s="66">
        <f t="shared" si="1"/>
        <v>0</v>
      </c>
      <c r="S10" s="22"/>
    </row>
    <row r="11" spans="1:19" x14ac:dyDescent="0.3">
      <c r="A11" s="22">
        <v>9</v>
      </c>
      <c r="B11" s="22"/>
      <c r="C11" s="22"/>
      <c r="D11" s="22"/>
      <c r="E11" s="66"/>
      <c r="F11" s="66">
        <f t="shared" si="0"/>
        <v>0</v>
      </c>
      <c r="G11" s="22"/>
      <c r="M11" s="22">
        <v>9</v>
      </c>
      <c r="N11" s="22"/>
      <c r="O11" s="22"/>
      <c r="P11" s="22"/>
      <c r="Q11" s="66"/>
      <c r="R11" s="66">
        <f t="shared" si="1"/>
        <v>0</v>
      </c>
      <c r="S11" s="22"/>
    </row>
    <row r="12" spans="1:19" x14ac:dyDescent="0.3">
      <c r="A12" s="22">
        <v>10</v>
      </c>
      <c r="B12" s="22"/>
      <c r="C12" s="22"/>
      <c r="D12" s="22"/>
      <c r="E12" s="66"/>
      <c r="F12" s="66">
        <f t="shared" si="0"/>
        <v>0</v>
      </c>
      <c r="G12" s="22"/>
      <c r="M12" s="22">
        <v>10</v>
      </c>
      <c r="N12" s="22"/>
      <c r="O12" s="22"/>
      <c r="P12" s="22"/>
      <c r="Q12" s="66"/>
      <c r="R12" s="66">
        <f t="shared" si="1"/>
        <v>0</v>
      </c>
      <c r="S12" s="22"/>
    </row>
    <row r="13" spans="1:19" x14ac:dyDescent="0.3">
      <c r="A13" s="22">
        <v>11</v>
      </c>
      <c r="B13" s="22"/>
      <c r="C13" s="22"/>
      <c r="D13" s="22"/>
      <c r="E13" s="66"/>
      <c r="F13" s="66">
        <f t="shared" si="0"/>
        <v>0</v>
      </c>
      <c r="G13" s="22"/>
      <c r="M13" s="22">
        <v>11</v>
      </c>
      <c r="N13" s="22"/>
      <c r="O13" s="22"/>
      <c r="P13" s="22"/>
      <c r="Q13" s="66"/>
      <c r="R13" s="66">
        <f t="shared" si="1"/>
        <v>0</v>
      </c>
      <c r="S13" s="22"/>
    </row>
    <row r="14" spans="1:19" x14ac:dyDescent="0.3">
      <c r="A14" s="22">
        <v>12</v>
      </c>
      <c r="B14" s="22"/>
      <c r="C14" s="22"/>
      <c r="D14" s="22"/>
      <c r="E14" s="66"/>
      <c r="F14" s="66">
        <f t="shared" si="0"/>
        <v>0</v>
      </c>
      <c r="G14" s="22"/>
      <c r="M14" s="22">
        <v>12</v>
      </c>
      <c r="N14" s="22"/>
      <c r="O14" s="22"/>
      <c r="P14" s="22"/>
      <c r="Q14" s="66"/>
      <c r="R14" s="66">
        <f t="shared" si="1"/>
        <v>0</v>
      </c>
      <c r="S14" s="22"/>
    </row>
    <row r="15" spans="1:19" x14ac:dyDescent="0.3">
      <c r="A15" s="22">
        <v>13</v>
      </c>
      <c r="B15" s="22"/>
      <c r="C15" s="22"/>
      <c r="D15" s="22"/>
      <c r="E15" s="66"/>
      <c r="F15" s="66">
        <f t="shared" si="0"/>
        <v>0</v>
      </c>
      <c r="G15" s="22"/>
      <c r="M15" s="22">
        <v>13</v>
      </c>
      <c r="N15" s="22"/>
      <c r="O15" s="22"/>
      <c r="P15" s="22"/>
      <c r="Q15" s="66"/>
      <c r="R15" s="66">
        <f t="shared" si="1"/>
        <v>0</v>
      </c>
      <c r="S15" s="22"/>
    </row>
    <row r="16" spans="1:19" x14ac:dyDescent="0.3">
      <c r="A16" s="22">
        <v>14</v>
      </c>
      <c r="B16" s="22"/>
      <c r="C16" s="22"/>
      <c r="D16" s="22"/>
      <c r="E16" s="66"/>
      <c r="F16" s="66">
        <f t="shared" si="0"/>
        <v>0</v>
      </c>
      <c r="G16" s="22"/>
      <c r="M16" s="22">
        <v>14</v>
      </c>
      <c r="N16" s="22"/>
      <c r="O16" s="22"/>
      <c r="P16" s="22"/>
      <c r="Q16" s="66"/>
      <c r="R16" s="66">
        <f t="shared" si="1"/>
        <v>0</v>
      </c>
      <c r="S16" s="22"/>
    </row>
    <row r="17" spans="1:19" x14ac:dyDescent="0.3">
      <c r="A17" s="22">
        <v>15</v>
      </c>
      <c r="B17" s="22"/>
      <c r="C17" s="22"/>
      <c r="D17" s="22"/>
      <c r="E17" s="66"/>
      <c r="F17" s="66">
        <f t="shared" si="0"/>
        <v>0</v>
      </c>
      <c r="G17" s="22"/>
      <c r="M17" s="22">
        <v>15</v>
      </c>
      <c r="N17" s="22"/>
      <c r="O17" s="22"/>
      <c r="P17" s="22"/>
      <c r="Q17" s="66"/>
      <c r="R17" s="66">
        <f t="shared" si="1"/>
        <v>0</v>
      </c>
      <c r="S17" s="22"/>
    </row>
    <row r="18" spans="1:19" x14ac:dyDescent="0.3">
      <c r="A18" s="22">
        <v>16</v>
      </c>
      <c r="B18" s="22"/>
      <c r="C18" s="22"/>
      <c r="D18" s="22"/>
      <c r="E18" s="66"/>
      <c r="F18" s="66">
        <f t="shared" si="0"/>
        <v>0</v>
      </c>
      <c r="G18" s="22"/>
      <c r="M18" s="22">
        <v>16</v>
      </c>
      <c r="N18" s="22"/>
      <c r="O18" s="22"/>
      <c r="P18" s="22"/>
      <c r="Q18" s="66"/>
      <c r="R18" s="66">
        <f t="shared" si="1"/>
        <v>0</v>
      </c>
      <c r="S18" s="22"/>
    </row>
    <row r="19" spans="1:19" x14ac:dyDescent="0.3">
      <c r="A19" s="22">
        <v>17</v>
      </c>
      <c r="B19" s="22"/>
      <c r="C19" s="22"/>
      <c r="D19" s="22"/>
      <c r="E19" s="66"/>
      <c r="F19" s="66">
        <f t="shared" si="0"/>
        <v>0</v>
      </c>
      <c r="G19" s="22"/>
      <c r="M19" s="22">
        <v>17</v>
      </c>
      <c r="N19" s="22"/>
      <c r="O19" s="22"/>
      <c r="P19" s="22"/>
      <c r="Q19" s="66"/>
      <c r="R19" s="66">
        <f t="shared" si="1"/>
        <v>0</v>
      </c>
      <c r="S19" s="22"/>
    </row>
    <row r="20" spans="1:19" x14ac:dyDescent="0.3">
      <c r="A20" s="22">
        <v>18</v>
      </c>
      <c r="B20" s="22"/>
      <c r="C20" s="22"/>
      <c r="D20" s="22"/>
      <c r="E20" s="66"/>
      <c r="F20" s="66">
        <f t="shared" si="0"/>
        <v>0</v>
      </c>
      <c r="G20" s="22"/>
      <c r="M20" s="22">
        <v>18</v>
      </c>
      <c r="N20" s="22"/>
      <c r="O20" s="22"/>
      <c r="P20" s="22"/>
      <c r="Q20" s="66"/>
      <c r="R20" s="66">
        <f t="shared" si="1"/>
        <v>0</v>
      </c>
      <c r="S20" s="22"/>
    </row>
    <row r="21" spans="1:19" x14ac:dyDescent="0.3">
      <c r="A21" s="22">
        <v>19</v>
      </c>
      <c r="B21" s="22"/>
      <c r="C21" s="22"/>
      <c r="D21" s="22"/>
      <c r="E21" s="66"/>
      <c r="F21" s="66">
        <f t="shared" si="0"/>
        <v>0</v>
      </c>
      <c r="G21" s="22"/>
      <c r="M21" s="22">
        <v>19</v>
      </c>
      <c r="N21" s="22"/>
      <c r="O21" s="22"/>
      <c r="P21" s="22"/>
      <c r="Q21" s="66"/>
      <c r="R21" s="66">
        <f t="shared" si="1"/>
        <v>0</v>
      </c>
      <c r="S21" s="22"/>
    </row>
    <row r="22" spans="1:19" x14ac:dyDescent="0.3">
      <c r="A22" s="22">
        <v>20</v>
      </c>
      <c r="B22" s="22"/>
      <c r="C22" s="22"/>
      <c r="D22" s="22"/>
      <c r="E22" s="66"/>
      <c r="F22" s="66">
        <f t="shared" si="0"/>
        <v>0</v>
      </c>
      <c r="G22" s="22"/>
      <c r="M22" s="22">
        <v>20</v>
      </c>
      <c r="N22" s="22"/>
      <c r="O22" s="22"/>
      <c r="P22" s="22"/>
      <c r="Q22" s="66"/>
      <c r="R22" s="66">
        <f t="shared" si="1"/>
        <v>0</v>
      </c>
      <c r="S22" s="22"/>
    </row>
    <row r="23" spans="1:19" x14ac:dyDescent="0.3">
      <c r="A23" s="22">
        <v>21</v>
      </c>
      <c r="B23" s="22"/>
      <c r="C23" s="22"/>
      <c r="D23" s="22"/>
      <c r="E23" s="66"/>
      <c r="F23" s="66">
        <f t="shared" si="0"/>
        <v>0</v>
      </c>
      <c r="G23" s="22"/>
      <c r="M23" s="22">
        <v>21</v>
      </c>
      <c r="N23" s="22"/>
      <c r="O23" s="22"/>
      <c r="P23" s="22"/>
      <c r="Q23" s="66"/>
      <c r="R23" s="66">
        <f t="shared" si="1"/>
        <v>0</v>
      </c>
      <c r="S23" s="22"/>
    </row>
    <row r="24" spans="1:19" x14ac:dyDescent="0.3">
      <c r="A24" s="22">
        <v>22</v>
      </c>
      <c r="B24" s="22"/>
      <c r="C24" s="22"/>
      <c r="D24" s="22"/>
      <c r="E24" s="66"/>
      <c r="F24" s="66">
        <f t="shared" si="0"/>
        <v>0</v>
      </c>
      <c r="G24" s="22"/>
      <c r="M24" s="22">
        <v>22</v>
      </c>
      <c r="N24" s="22"/>
      <c r="O24" s="22"/>
      <c r="P24" s="22"/>
      <c r="Q24" s="66"/>
      <c r="R24" s="66">
        <f t="shared" si="1"/>
        <v>0</v>
      </c>
      <c r="S24" s="22"/>
    </row>
    <row r="25" spans="1:19" x14ac:dyDescent="0.3">
      <c r="A25" s="22">
        <v>23</v>
      </c>
      <c r="B25" s="22"/>
      <c r="C25" s="22"/>
      <c r="D25" s="22"/>
      <c r="E25" s="66"/>
      <c r="F25" s="66">
        <f t="shared" si="0"/>
        <v>0</v>
      </c>
      <c r="G25" s="22"/>
      <c r="M25" s="22">
        <v>23</v>
      </c>
      <c r="N25" s="22"/>
      <c r="O25" s="22"/>
      <c r="P25" s="22"/>
      <c r="Q25" s="66"/>
      <c r="R25" s="66">
        <f t="shared" si="1"/>
        <v>0</v>
      </c>
      <c r="S25" s="22"/>
    </row>
    <row r="26" spans="1:19" x14ac:dyDescent="0.3">
      <c r="A26" s="22">
        <v>24</v>
      </c>
      <c r="B26" s="22"/>
      <c r="C26" s="22"/>
      <c r="D26" s="22"/>
      <c r="E26" s="66"/>
      <c r="F26" s="66">
        <f t="shared" si="0"/>
        <v>0</v>
      </c>
      <c r="G26" s="22"/>
      <c r="M26" s="22">
        <v>24</v>
      </c>
      <c r="N26" s="22"/>
      <c r="O26" s="22"/>
      <c r="P26" s="22"/>
      <c r="Q26" s="66"/>
      <c r="R26" s="66">
        <f t="shared" si="1"/>
        <v>0</v>
      </c>
      <c r="S26" s="22"/>
    </row>
    <row r="27" spans="1:19" x14ac:dyDescent="0.3">
      <c r="A27" s="22">
        <v>25</v>
      </c>
      <c r="B27" s="22"/>
      <c r="C27" s="22"/>
      <c r="D27" s="22"/>
      <c r="E27" s="66"/>
      <c r="F27" s="66">
        <f t="shared" si="0"/>
        <v>0</v>
      </c>
      <c r="G27" s="22"/>
      <c r="M27" s="22">
        <v>25</v>
      </c>
      <c r="N27" s="22"/>
      <c r="O27" s="22"/>
      <c r="P27" s="22"/>
      <c r="Q27" s="66"/>
      <c r="R27" s="66">
        <f t="shared" si="1"/>
        <v>0</v>
      </c>
      <c r="S27" s="22"/>
    </row>
    <row r="28" spans="1:19" x14ac:dyDescent="0.3">
      <c r="A28" s="22">
        <v>26</v>
      </c>
      <c r="B28" s="22"/>
      <c r="C28" s="22"/>
      <c r="D28" s="22"/>
      <c r="E28" s="66"/>
      <c r="F28" s="66">
        <f t="shared" si="0"/>
        <v>0</v>
      </c>
      <c r="G28" s="22"/>
      <c r="M28" s="22">
        <v>26</v>
      </c>
      <c r="N28" s="22"/>
      <c r="O28" s="22"/>
      <c r="P28" s="22"/>
      <c r="Q28" s="66"/>
      <c r="R28" s="66">
        <f t="shared" si="1"/>
        <v>0</v>
      </c>
      <c r="S28" s="22"/>
    </row>
    <row r="29" spans="1:19" x14ac:dyDescent="0.3">
      <c r="A29" s="22">
        <v>27</v>
      </c>
      <c r="B29" s="22"/>
      <c r="C29" s="22"/>
      <c r="D29" s="22"/>
      <c r="E29" s="66"/>
      <c r="F29" s="66">
        <f t="shared" si="0"/>
        <v>0</v>
      </c>
      <c r="G29" s="22"/>
      <c r="M29" s="22">
        <v>27</v>
      </c>
      <c r="N29" s="22"/>
      <c r="O29" s="22"/>
      <c r="P29" s="22"/>
      <c r="Q29" s="66"/>
      <c r="R29" s="66">
        <f t="shared" si="1"/>
        <v>0</v>
      </c>
      <c r="S29" s="22"/>
    </row>
    <row r="30" spans="1:19" x14ac:dyDescent="0.3">
      <c r="A30" s="22">
        <v>28</v>
      </c>
      <c r="B30" s="22"/>
      <c r="C30" s="22"/>
      <c r="D30" s="22"/>
      <c r="E30" s="66"/>
      <c r="F30" s="66">
        <f t="shared" si="0"/>
        <v>0</v>
      </c>
      <c r="G30" s="22"/>
      <c r="M30" s="22">
        <v>28</v>
      </c>
      <c r="N30" s="22"/>
      <c r="O30" s="22"/>
      <c r="P30" s="22"/>
      <c r="Q30" s="66"/>
      <c r="R30" s="66">
        <f t="shared" si="1"/>
        <v>0</v>
      </c>
      <c r="S30" s="22"/>
    </row>
    <row r="31" spans="1:19" x14ac:dyDescent="0.3">
      <c r="A31" s="22">
        <v>29</v>
      </c>
      <c r="B31" s="22"/>
      <c r="C31" s="22"/>
      <c r="D31" s="22"/>
      <c r="E31" s="66"/>
      <c r="F31" s="66">
        <f t="shared" si="0"/>
        <v>0</v>
      </c>
      <c r="G31" s="22"/>
      <c r="M31" s="22">
        <v>29</v>
      </c>
      <c r="N31" s="22"/>
      <c r="O31" s="22"/>
      <c r="P31" s="22"/>
      <c r="Q31" s="66"/>
      <c r="R31" s="66">
        <f t="shared" si="1"/>
        <v>0</v>
      </c>
      <c r="S31" s="22"/>
    </row>
    <row r="32" spans="1:19" x14ac:dyDescent="0.3">
      <c r="A32" s="22">
        <v>30</v>
      </c>
      <c r="B32" s="22"/>
      <c r="C32" s="22"/>
      <c r="D32" s="22"/>
      <c r="E32" s="66"/>
      <c r="F32" s="66">
        <f t="shared" si="0"/>
        <v>0</v>
      </c>
      <c r="G32" s="22"/>
      <c r="M32" s="22">
        <v>30</v>
      </c>
      <c r="N32" s="22"/>
      <c r="O32" s="22"/>
      <c r="P32" s="22"/>
      <c r="Q32" s="66"/>
      <c r="R32" s="66">
        <f t="shared" si="1"/>
        <v>0</v>
      </c>
      <c r="S32" s="22"/>
    </row>
    <row r="33" spans="1:19" x14ac:dyDescent="0.3">
      <c r="A33" s="22">
        <v>31</v>
      </c>
      <c r="B33" s="22"/>
      <c r="C33" s="22"/>
      <c r="D33" s="22"/>
      <c r="E33" s="66"/>
      <c r="F33" s="66">
        <f t="shared" si="0"/>
        <v>0</v>
      </c>
      <c r="G33" s="22"/>
      <c r="M33" s="22">
        <v>31</v>
      </c>
      <c r="N33" s="22"/>
      <c r="O33" s="22"/>
      <c r="P33" s="22"/>
      <c r="Q33" s="66"/>
      <c r="R33" s="66">
        <f t="shared" si="1"/>
        <v>0</v>
      </c>
      <c r="S33" s="22"/>
    </row>
    <row r="34" spans="1:19" x14ac:dyDescent="0.3">
      <c r="A34" s="22">
        <v>32</v>
      </c>
      <c r="B34" s="22"/>
      <c r="C34" s="22"/>
      <c r="D34" s="22"/>
      <c r="E34" s="66"/>
      <c r="F34" s="66">
        <f t="shared" si="0"/>
        <v>0</v>
      </c>
      <c r="G34" s="22"/>
      <c r="M34" s="22">
        <v>32</v>
      </c>
      <c r="N34" s="22"/>
      <c r="O34" s="22"/>
      <c r="P34" s="22"/>
      <c r="Q34" s="66"/>
      <c r="R34" s="66">
        <f t="shared" si="1"/>
        <v>0</v>
      </c>
      <c r="S34" s="22"/>
    </row>
    <row r="35" spans="1:19" x14ac:dyDescent="0.3">
      <c r="A35" s="22">
        <v>33</v>
      </c>
      <c r="B35" s="22"/>
      <c r="C35" s="22"/>
      <c r="D35" s="22"/>
      <c r="E35" s="66"/>
      <c r="F35" s="66">
        <f t="shared" si="0"/>
        <v>0</v>
      </c>
      <c r="G35" s="22"/>
      <c r="M35" s="22">
        <v>33</v>
      </c>
      <c r="N35" s="22"/>
      <c r="O35" s="22"/>
      <c r="P35" s="22"/>
      <c r="Q35" s="66"/>
      <c r="R35" s="66">
        <f t="shared" si="1"/>
        <v>0</v>
      </c>
      <c r="S35" s="22"/>
    </row>
    <row r="36" spans="1:19" x14ac:dyDescent="0.3">
      <c r="A36" s="22">
        <v>34</v>
      </c>
      <c r="B36" s="22"/>
      <c r="C36" s="22"/>
      <c r="D36" s="22"/>
      <c r="E36" s="66"/>
      <c r="F36" s="66">
        <f t="shared" si="0"/>
        <v>0</v>
      </c>
      <c r="G36" s="22"/>
      <c r="M36" s="22">
        <v>34</v>
      </c>
      <c r="N36" s="22"/>
      <c r="O36" s="22"/>
      <c r="P36" s="22"/>
      <c r="Q36" s="66"/>
      <c r="R36" s="66">
        <f t="shared" si="1"/>
        <v>0</v>
      </c>
      <c r="S36" s="22"/>
    </row>
    <row r="37" spans="1:19" x14ac:dyDescent="0.3">
      <c r="A37" s="22">
        <v>35</v>
      </c>
      <c r="B37" s="22"/>
      <c r="C37" s="22"/>
      <c r="D37" s="22"/>
      <c r="E37" s="66"/>
      <c r="F37" s="66">
        <f t="shared" si="0"/>
        <v>0</v>
      </c>
      <c r="G37" s="22"/>
      <c r="M37" s="22">
        <v>35</v>
      </c>
      <c r="N37" s="22"/>
      <c r="O37" s="22"/>
      <c r="P37" s="22"/>
      <c r="Q37" s="66"/>
      <c r="R37" s="66">
        <f t="shared" si="1"/>
        <v>0</v>
      </c>
      <c r="S37" s="22"/>
    </row>
    <row r="38" spans="1:19" x14ac:dyDescent="0.3">
      <c r="A38" s="22">
        <v>36</v>
      </c>
      <c r="B38" s="22"/>
      <c r="C38" s="22"/>
      <c r="D38" s="22"/>
      <c r="E38" s="66"/>
      <c r="F38" s="66">
        <f t="shared" si="0"/>
        <v>0</v>
      </c>
      <c r="G38" s="22"/>
      <c r="M38" s="22">
        <v>36</v>
      </c>
      <c r="N38" s="22"/>
      <c r="O38" s="22"/>
      <c r="P38" s="22"/>
      <c r="Q38" s="66"/>
      <c r="R38" s="66">
        <f t="shared" si="1"/>
        <v>0</v>
      </c>
      <c r="S38" s="22"/>
    </row>
    <row r="39" spans="1:19" x14ac:dyDescent="0.3">
      <c r="A39" s="22">
        <v>37</v>
      </c>
      <c r="B39" s="22"/>
      <c r="C39" s="22"/>
      <c r="D39" s="22"/>
      <c r="E39" s="66"/>
      <c r="F39" s="66">
        <f t="shared" si="0"/>
        <v>0</v>
      </c>
      <c r="G39" s="22"/>
      <c r="M39" s="22">
        <v>37</v>
      </c>
      <c r="N39" s="22"/>
      <c r="O39" s="22"/>
      <c r="P39" s="22"/>
      <c r="Q39" s="66"/>
      <c r="R39" s="66">
        <f t="shared" si="1"/>
        <v>0</v>
      </c>
      <c r="S39" s="22"/>
    </row>
    <row r="40" spans="1:19" x14ac:dyDescent="0.3">
      <c r="A40" s="22">
        <v>38</v>
      </c>
      <c r="B40" s="22"/>
      <c r="C40" s="22"/>
      <c r="D40" s="22"/>
      <c r="E40" s="66"/>
      <c r="F40" s="66">
        <f t="shared" si="0"/>
        <v>0</v>
      </c>
      <c r="G40" s="22"/>
      <c r="M40" s="22">
        <v>38</v>
      </c>
      <c r="N40" s="22"/>
      <c r="O40" s="22"/>
      <c r="P40" s="22"/>
      <c r="Q40" s="66"/>
      <c r="R40" s="66">
        <f t="shared" si="1"/>
        <v>0</v>
      </c>
      <c r="S40" s="22"/>
    </row>
    <row r="41" spans="1:19" x14ac:dyDescent="0.3">
      <c r="A41" s="22">
        <v>39</v>
      </c>
      <c r="B41" s="22"/>
      <c r="C41" s="22"/>
      <c r="D41" s="22"/>
      <c r="E41" s="66"/>
      <c r="F41" s="66">
        <f t="shared" si="0"/>
        <v>0</v>
      </c>
      <c r="G41" s="22"/>
      <c r="M41" s="22">
        <v>39</v>
      </c>
      <c r="N41" s="22"/>
      <c r="O41" s="22"/>
      <c r="P41" s="22"/>
      <c r="Q41" s="66"/>
      <c r="R41" s="66">
        <f t="shared" si="1"/>
        <v>0</v>
      </c>
      <c r="S41" s="22"/>
    </row>
    <row r="42" spans="1:19" x14ac:dyDescent="0.3">
      <c r="A42" s="22">
        <v>40</v>
      </c>
      <c r="B42" s="22"/>
      <c r="C42" s="22"/>
      <c r="D42" s="22"/>
      <c r="E42" s="66"/>
      <c r="F42" s="66">
        <f t="shared" si="0"/>
        <v>0</v>
      </c>
      <c r="G42" s="22"/>
      <c r="M42" s="22">
        <v>40</v>
      </c>
      <c r="N42" s="22"/>
      <c r="O42" s="22"/>
      <c r="P42" s="22"/>
      <c r="Q42" s="66"/>
      <c r="R42" s="66">
        <f t="shared" si="1"/>
        <v>0</v>
      </c>
      <c r="S42" s="22"/>
    </row>
    <row r="43" spans="1:19" x14ac:dyDescent="0.3">
      <c r="A43" s="22">
        <v>41</v>
      </c>
      <c r="B43" s="22"/>
      <c r="C43" s="22"/>
      <c r="D43" s="22"/>
      <c r="E43" s="66"/>
      <c r="F43" s="66">
        <f t="shared" si="0"/>
        <v>0</v>
      </c>
      <c r="G43" s="22"/>
      <c r="M43" s="22">
        <v>41</v>
      </c>
      <c r="N43" s="22"/>
      <c r="O43" s="22"/>
      <c r="P43" s="22"/>
      <c r="Q43" s="66"/>
      <c r="R43" s="66">
        <f t="shared" si="1"/>
        <v>0</v>
      </c>
      <c r="S43" s="22"/>
    </row>
    <row r="44" spans="1:19" x14ac:dyDescent="0.3">
      <c r="A44" s="22">
        <v>42</v>
      </c>
      <c r="B44" s="22"/>
      <c r="C44" s="22"/>
      <c r="D44" s="22"/>
      <c r="E44" s="66"/>
      <c r="F44" s="66">
        <f t="shared" si="0"/>
        <v>0</v>
      </c>
      <c r="G44" s="22"/>
      <c r="M44" s="22">
        <v>42</v>
      </c>
      <c r="N44" s="22"/>
      <c r="O44" s="22"/>
      <c r="P44" s="22"/>
      <c r="Q44" s="66"/>
      <c r="R44" s="66">
        <f t="shared" si="1"/>
        <v>0</v>
      </c>
      <c r="S44" s="22"/>
    </row>
    <row r="45" spans="1:19" x14ac:dyDescent="0.3">
      <c r="A45" s="22">
        <v>43</v>
      </c>
      <c r="B45" s="22"/>
      <c r="C45" s="22"/>
      <c r="D45" s="22"/>
      <c r="E45" s="66"/>
      <c r="F45" s="66">
        <f t="shared" si="0"/>
        <v>0</v>
      </c>
      <c r="G45" s="22"/>
      <c r="M45" s="22">
        <v>43</v>
      </c>
      <c r="N45" s="22"/>
      <c r="O45" s="22"/>
      <c r="P45" s="22"/>
      <c r="Q45" s="66"/>
      <c r="R45" s="66">
        <f t="shared" si="1"/>
        <v>0</v>
      </c>
      <c r="S45" s="22"/>
    </row>
    <row r="46" spans="1:19" x14ac:dyDescent="0.3">
      <c r="A46" s="22">
        <v>44</v>
      </c>
      <c r="B46" s="22"/>
      <c r="C46" s="22"/>
      <c r="D46" s="22"/>
      <c r="E46" s="66"/>
      <c r="F46" s="66">
        <f t="shared" si="0"/>
        <v>0</v>
      </c>
      <c r="G46" s="22"/>
      <c r="M46" s="22">
        <v>44</v>
      </c>
      <c r="N46" s="22"/>
      <c r="O46" s="22"/>
      <c r="P46" s="22"/>
      <c r="Q46" s="66"/>
      <c r="R46" s="66">
        <f t="shared" si="1"/>
        <v>0</v>
      </c>
      <c r="S46" s="22"/>
    </row>
    <row r="47" spans="1:19" x14ac:dyDescent="0.3">
      <c r="A47" s="22">
        <v>45</v>
      </c>
      <c r="B47" s="22"/>
      <c r="C47" s="22"/>
      <c r="D47" s="22"/>
      <c r="E47" s="66"/>
      <c r="F47" s="66">
        <f t="shared" si="0"/>
        <v>0</v>
      </c>
      <c r="G47" s="22"/>
      <c r="M47" s="22">
        <v>45</v>
      </c>
      <c r="N47" s="22"/>
      <c r="O47" s="22"/>
      <c r="P47" s="22"/>
      <c r="Q47" s="66"/>
      <c r="R47" s="66">
        <f t="shared" si="1"/>
        <v>0</v>
      </c>
      <c r="S47" s="22"/>
    </row>
    <row r="48" spans="1:19" x14ac:dyDescent="0.3">
      <c r="A48" s="22">
        <v>46</v>
      </c>
      <c r="B48" s="22"/>
      <c r="C48" s="22"/>
      <c r="D48" s="22"/>
      <c r="E48" s="66"/>
      <c r="F48" s="66">
        <f t="shared" si="0"/>
        <v>0</v>
      </c>
      <c r="G48" s="22"/>
      <c r="M48" s="22">
        <v>46</v>
      </c>
      <c r="N48" s="22"/>
      <c r="O48" s="22"/>
      <c r="P48" s="22"/>
      <c r="Q48" s="66"/>
      <c r="R48" s="66">
        <f t="shared" si="1"/>
        <v>0</v>
      </c>
      <c r="S48" s="22"/>
    </row>
    <row r="49" spans="1:19" x14ac:dyDescent="0.3">
      <c r="A49" s="22">
        <v>47</v>
      </c>
      <c r="B49" s="22"/>
      <c r="C49" s="22"/>
      <c r="D49" s="22"/>
      <c r="E49" s="66"/>
      <c r="F49" s="66">
        <f t="shared" si="0"/>
        <v>0</v>
      </c>
      <c r="G49" s="22"/>
      <c r="M49" s="22">
        <v>47</v>
      </c>
      <c r="N49" s="22"/>
      <c r="O49" s="22"/>
      <c r="P49" s="22"/>
      <c r="Q49" s="66"/>
      <c r="R49" s="66">
        <f t="shared" si="1"/>
        <v>0</v>
      </c>
      <c r="S49" s="22"/>
    </row>
    <row r="50" spans="1:19" x14ac:dyDescent="0.3">
      <c r="A50" s="22">
        <v>48</v>
      </c>
      <c r="B50" s="22"/>
      <c r="C50" s="22"/>
      <c r="D50" s="22"/>
      <c r="E50" s="66"/>
      <c r="F50" s="66">
        <f t="shared" si="0"/>
        <v>0</v>
      </c>
      <c r="G50" s="22"/>
      <c r="M50" s="22">
        <v>48</v>
      </c>
      <c r="N50" s="22"/>
      <c r="O50" s="22"/>
      <c r="P50" s="22"/>
      <c r="Q50" s="66"/>
      <c r="R50" s="66">
        <f t="shared" si="1"/>
        <v>0</v>
      </c>
      <c r="S50" s="22"/>
    </row>
    <row r="51" spans="1:19" x14ac:dyDescent="0.3">
      <c r="A51" s="22">
        <v>49</v>
      </c>
      <c r="B51" s="22"/>
      <c r="C51" s="22"/>
      <c r="D51" s="22"/>
      <c r="E51" s="66"/>
      <c r="F51" s="66">
        <f t="shared" si="0"/>
        <v>0</v>
      </c>
      <c r="G51" s="22"/>
      <c r="M51" s="22">
        <v>49</v>
      </c>
      <c r="N51" s="22"/>
      <c r="O51" s="22"/>
      <c r="P51" s="22"/>
      <c r="Q51" s="66"/>
      <c r="R51" s="66">
        <f t="shared" si="1"/>
        <v>0</v>
      </c>
      <c r="S51" s="22"/>
    </row>
    <row r="52" spans="1:19" x14ac:dyDescent="0.3">
      <c r="A52" s="22">
        <v>50</v>
      </c>
      <c r="B52" s="22"/>
      <c r="C52" s="22"/>
      <c r="D52" s="22"/>
      <c r="E52" s="66"/>
      <c r="F52" s="66">
        <f t="shared" si="0"/>
        <v>0</v>
      </c>
      <c r="G52" s="22"/>
      <c r="M52" s="22">
        <v>50</v>
      </c>
      <c r="N52" s="22"/>
      <c r="O52" s="22"/>
      <c r="P52" s="22"/>
      <c r="Q52" s="66"/>
      <c r="R52" s="66">
        <f t="shared" si="1"/>
        <v>0</v>
      </c>
      <c r="S52" s="22"/>
    </row>
    <row r="53" spans="1:19" x14ac:dyDescent="0.3">
      <c r="A53" s="22">
        <v>51</v>
      </c>
      <c r="B53" s="22"/>
      <c r="C53" s="22"/>
      <c r="D53" s="22"/>
      <c r="E53" s="66"/>
      <c r="F53" s="66">
        <f t="shared" si="0"/>
        <v>0</v>
      </c>
      <c r="G53" s="22"/>
      <c r="M53" s="22">
        <v>51</v>
      </c>
      <c r="N53" s="22"/>
      <c r="O53" s="22"/>
      <c r="P53" s="22"/>
      <c r="Q53" s="66"/>
      <c r="R53" s="66">
        <f t="shared" si="1"/>
        <v>0</v>
      </c>
      <c r="S53" s="22"/>
    </row>
    <row r="54" spans="1:19" x14ac:dyDescent="0.3">
      <c r="A54" s="22">
        <v>52</v>
      </c>
      <c r="B54" s="22"/>
      <c r="C54" s="22"/>
      <c r="D54" s="22"/>
      <c r="E54" s="66"/>
      <c r="F54" s="66">
        <f t="shared" si="0"/>
        <v>0</v>
      </c>
      <c r="G54" s="22"/>
      <c r="M54" s="22">
        <v>52</v>
      </c>
      <c r="N54" s="22"/>
      <c r="O54" s="22"/>
      <c r="P54" s="22"/>
      <c r="Q54" s="66"/>
      <c r="R54" s="66">
        <f t="shared" si="1"/>
        <v>0</v>
      </c>
      <c r="S54" s="22"/>
    </row>
    <row r="55" spans="1:19" x14ac:dyDescent="0.3">
      <c r="A55" s="22">
        <v>53</v>
      </c>
      <c r="B55" s="22"/>
      <c r="C55" s="22"/>
      <c r="D55" s="22"/>
      <c r="E55" s="66"/>
      <c r="F55" s="66">
        <f t="shared" si="0"/>
        <v>0</v>
      </c>
      <c r="G55" s="22"/>
      <c r="M55" s="22">
        <v>53</v>
      </c>
      <c r="N55" s="22"/>
      <c r="O55" s="22"/>
      <c r="P55" s="22"/>
      <c r="Q55" s="66"/>
      <c r="R55" s="66">
        <f t="shared" si="1"/>
        <v>0</v>
      </c>
      <c r="S55" s="22"/>
    </row>
    <row r="56" spans="1:19" x14ac:dyDescent="0.3">
      <c r="A56" s="22">
        <v>54</v>
      </c>
      <c r="B56" s="22"/>
      <c r="C56" s="22"/>
      <c r="D56" s="22"/>
      <c r="E56" s="66"/>
      <c r="F56" s="66">
        <f t="shared" si="0"/>
        <v>0</v>
      </c>
      <c r="G56" s="22"/>
      <c r="M56" s="22">
        <v>54</v>
      </c>
      <c r="N56" s="22"/>
      <c r="O56" s="22"/>
      <c r="P56" s="22"/>
      <c r="Q56" s="66"/>
      <c r="R56" s="66">
        <f t="shared" si="1"/>
        <v>0</v>
      </c>
      <c r="S56" s="22"/>
    </row>
    <row r="57" spans="1:19" x14ac:dyDescent="0.3">
      <c r="A57" s="22">
        <v>55</v>
      </c>
      <c r="B57" s="22"/>
      <c r="C57" s="22"/>
      <c r="D57" s="22"/>
      <c r="E57" s="66"/>
      <c r="F57" s="66">
        <f t="shared" si="0"/>
        <v>0</v>
      </c>
      <c r="G57" s="22"/>
      <c r="M57" s="22">
        <v>55</v>
      </c>
      <c r="N57" s="22"/>
      <c r="O57" s="22"/>
      <c r="P57" s="22"/>
      <c r="Q57" s="66"/>
      <c r="R57" s="66">
        <f t="shared" si="1"/>
        <v>0</v>
      </c>
      <c r="S57" s="22"/>
    </row>
    <row r="58" spans="1:19" x14ac:dyDescent="0.3">
      <c r="A58" s="22">
        <v>56</v>
      </c>
      <c r="B58" s="22"/>
      <c r="C58" s="22"/>
      <c r="D58" s="22"/>
      <c r="E58" s="66"/>
      <c r="F58" s="66">
        <f t="shared" si="0"/>
        <v>0</v>
      </c>
      <c r="G58" s="22"/>
      <c r="M58" s="22">
        <v>56</v>
      </c>
      <c r="N58" s="22"/>
      <c r="O58" s="22"/>
      <c r="P58" s="22"/>
      <c r="Q58" s="66"/>
      <c r="R58" s="66">
        <f t="shared" si="1"/>
        <v>0</v>
      </c>
      <c r="S58" s="22"/>
    </row>
    <row r="59" spans="1:19" x14ac:dyDescent="0.3">
      <c r="A59" s="22">
        <v>57</v>
      </c>
      <c r="B59" s="22"/>
      <c r="C59" s="22"/>
      <c r="D59" s="22"/>
      <c r="E59" s="66"/>
      <c r="F59" s="66">
        <f t="shared" si="0"/>
        <v>0</v>
      </c>
      <c r="G59" s="22"/>
      <c r="M59" s="22">
        <v>57</v>
      </c>
      <c r="N59" s="22"/>
      <c r="O59" s="22"/>
      <c r="P59" s="22"/>
      <c r="Q59" s="66"/>
      <c r="R59" s="66">
        <f t="shared" si="1"/>
        <v>0</v>
      </c>
      <c r="S59" s="22"/>
    </row>
    <row r="60" spans="1:19" x14ac:dyDescent="0.3">
      <c r="A60" s="22">
        <v>58</v>
      </c>
      <c r="B60" s="22"/>
      <c r="C60" s="22"/>
      <c r="D60" s="22"/>
      <c r="E60" s="66"/>
      <c r="F60" s="66">
        <f t="shared" si="0"/>
        <v>0</v>
      </c>
      <c r="G60" s="22"/>
      <c r="M60" s="22">
        <v>58</v>
      </c>
      <c r="N60" s="22"/>
      <c r="O60" s="22"/>
      <c r="P60" s="22"/>
      <c r="Q60" s="66"/>
      <c r="R60" s="66">
        <f t="shared" si="1"/>
        <v>0</v>
      </c>
      <c r="S60" s="22"/>
    </row>
    <row r="61" spans="1:19" x14ac:dyDescent="0.3">
      <c r="A61" s="22">
        <v>59</v>
      </c>
      <c r="B61" s="22"/>
      <c r="C61" s="22"/>
      <c r="D61" s="22"/>
      <c r="E61" s="66"/>
      <c r="F61" s="66">
        <f t="shared" si="0"/>
        <v>0</v>
      </c>
      <c r="G61" s="22"/>
      <c r="M61" s="22">
        <v>59</v>
      </c>
      <c r="N61" s="22"/>
      <c r="O61" s="22"/>
      <c r="P61" s="22"/>
      <c r="Q61" s="66"/>
      <c r="R61" s="66">
        <f t="shared" si="1"/>
        <v>0</v>
      </c>
      <c r="S61" s="22"/>
    </row>
    <row r="62" spans="1:19" x14ac:dyDescent="0.3">
      <c r="A62" s="22">
        <v>60</v>
      </c>
      <c r="B62" s="22"/>
      <c r="C62" s="22"/>
      <c r="D62" s="22"/>
      <c r="E62" s="66"/>
      <c r="F62" s="66">
        <f t="shared" si="0"/>
        <v>0</v>
      </c>
      <c r="G62" s="22"/>
      <c r="M62" s="22">
        <v>60</v>
      </c>
      <c r="N62" s="22"/>
      <c r="O62" s="22"/>
      <c r="P62" s="22"/>
      <c r="Q62" s="66"/>
      <c r="R62" s="66">
        <f t="shared" si="1"/>
        <v>0</v>
      </c>
      <c r="S62" s="22"/>
    </row>
    <row r="63" spans="1:19" x14ac:dyDescent="0.3">
      <c r="A63" s="22">
        <v>61</v>
      </c>
      <c r="B63" s="22"/>
      <c r="C63" s="22"/>
      <c r="D63" s="22"/>
      <c r="E63" s="66"/>
      <c r="F63" s="66">
        <f t="shared" si="0"/>
        <v>0</v>
      </c>
      <c r="G63" s="22"/>
      <c r="M63" s="22">
        <v>61</v>
      </c>
      <c r="N63" s="22"/>
      <c r="O63" s="22"/>
      <c r="P63" s="22"/>
      <c r="Q63" s="66"/>
      <c r="R63" s="66">
        <f t="shared" si="1"/>
        <v>0</v>
      </c>
      <c r="S63" s="22"/>
    </row>
    <row r="64" spans="1:19" x14ac:dyDescent="0.3">
      <c r="A64" s="22">
        <v>62</v>
      </c>
      <c r="B64" s="22"/>
      <c r="C64" s="22"/>
      <c r="D64" s="22"/>
      <c r="E64" s="66"/>
      <c r="F64" s="66">
        <f t="shared" si="0"/>
        <v>0</v>
      </c>
      <c r="G64" s="22"/>
      <c r="M64" s="22">
        <v>62</v>
      </c>
      <c r="N64" s="22"/>
      <c r="O64" s="22"/>
      <c r="P64" s="22"/>
      <c r="Q64" s="66"/>
      <c r="R64" s="66">
        <f t="shared" si="1"/>
        <v>0</v>
      </c>
      <c r="S64" s="22"/>
    </row>
    <row r="65" spans="1:19" x14ac:dyDescent="0.3">
      <c r="A65" s="22">
        <v>63</v>
      </c>
      <c r="B65" s="22"/>
      <c r="C65" s="22"/>
      <c r="D65" s="22"/>
      <c r="E65" s="66"/>
      <c r="F65" s="66">
        <f t="shared" si="0"/>
        <v>0</v>
      </c>
      <c r="G65" s="22"/>
      <c r="M65" s="22">
        <v>63</v>
      </c>
      <c r="N65" s="22"/>
      <c r="O65" s="22"/>
      <c r="P65" s="22"/>
      <c r="Q65" s="66"/>
      <c r="R65" s="66">
        <f t="shared" si="1"/>
        <v>0</v>
      </c>
      <c r="S65" s="22"/>
    </row>
    <row r="66" spans="1:19" x14ac:dyDescent="0.3">
      <c r="A66" s="22">
        <v>64</v>
      </c>
      <c r="B66" s="22"/>
      <c r="C66" s="22"/>
      <c r="D66" s="22"/>
      <c r="E66" s="66"/>
      <c r="F66" s="66">
        <f t="shared" si="0"/>
        <v>0</v>
      </c>
      <c r="G66" s="22"/>
      <c r="M66" s="22">
        <v>64</v>
      </c>
      <c r="N66" s="22"/>
      <c r="O66" s="22"/>
      <c r="P66" s="22"/>
      <c r="Q66" s="66"/>
      <c r="R66" s="66">
        <f t="shared" si="1"/>
        <v>0</v>
      </c>
      <c r="S66" s="22"/>
    </row>
    <row r="67" spans="1:19" x14ac:dyDescent="0.3">
      <c r="A67" s="22">
        <v>65</v>
      </c>
      <c r="B67" s="22"/>
      <c r="C67" s="22"/>
      <c r="D67" s="22"/>
      <c r="E67" s="66"/>
      <c r="F67" s="66">
        <f t="shared" si="0"/>
        <v>0</v>
      </c>
      <c r="G67" s="22"/>
      <c r="M67" s="22">
        <v>65</v>
      </c>
      <c r="N67" s="22"/>
      <c r="O67" s="22"/>
      <c r="P67" s="22"/>
      <c r="Q67" s="66"/>
      <c r="R67" s="66">
        <f t="shared" si="1"/>
        <v>0</v>
      </c>
      <c r="S67" s="22"/>
    </row>
    <row r="68" spans="1:19" x14ac:dyDescent="0.3">
      <c r="A68" s="22">
        <v>66</v>
      </c>
      <c r="B68" s="22"/>
      <c r="C68" s="22"/>
      <c r="D68" s="22"/>
      <c r="E68" s="66"/>
      <c r="F68" s="66">
        <f t="shared" ref="F68:F131" si="2">D68*E68</f>
        <v>0</v>
      </c>
      <c r="G68" s="22"/>
      <c r="M68" s="22">
        <v>66</v>
      </c>
      <c r="N68" s="22"/>
      <c r="O68" s="22"/>
      <c r="P68" s="22"/>
      <c r="Q68" s="66"/>
      <c r="R68" s="66">
        <f t="shared" ref="R68:R131" si="3">P68*Q68</f>
        <v>0</v>
      </c>
      <c r="S68" s="22"/>
    </row>
    <row r="69" spans="1:19" x14ac:dyDescent="0.3">
      <c r="A69" s="22">
        <v>67</v>
      </c>
      <c r="B69" s="22"/>
      <c r="C69" s="22"/>
      <c r="D69" s="22"/>
      <c r="E69" s="66"/>
      <c r="F69" s="66">
        <f t="shared" si="2"/>
        <v>0</v>
      </c>
      <c r="G69" s="22"/>
      <c r="M69" s="22">
        <v>67</v>
      </c>
      <c r="N69" s="22"/>
      <c r="O69" s="22"/>
      <c r="P69" s="22"/>
      <c r="Q69" s="66"/>
      <c r="R69" s="66">
        <f t="shared" si="3"/>
        <v>0</v>
      </c>
      <c r="S69" s="22"/>
    </row>
    <row r="70" spans="1:19" x14ac:dyDescent="0.3">
      <c r="A70" s="22">
        <v>68</v>
      </c>
      <c r="B70" s="22"/>
      <c r="C70" s="22"/>
      <c r="D70" s="22"/>
      <c r="E70" s="66"/>
      <c r="F70" s="66">
        <f t="shared" si="2"/>
        <v>0</v>
      </c>
      <c r="G70" s="22"/>
      <c r="M70" s="22">
        <v>68</v>
      </c>
      <c r="N70" s="22"/>
      <c r="O70" s="22"/>
      <c r="P70" s="22"/>
      <c r="Q70" s="66"/>
      <c r="R70" s="66">
        <f t="shared" si="3"/>
        <v>0</v>
      </c>
      <c r="S70" s="22"/>
    </row>
    <row r="71" spans="1:19" x14ac:dyDescent="0.3">
      <c r="A71" s="22">
        <v>69</v>
      </c>
      <c r="B71" s="22"/>
      <c r="C71" s="22"/>
      <c r="D71" s="22"/>
      <c r="E71" s="66"/>
      <c r="F71" s="66">
        <f t="shared" si="2"/>
        <v>0</v>
      </c>
      <c r="G71" s="22"/>
      <c r="M71" s="22">
        <v>69</v>
      </c>
      <c r="N71" s="22"/>
      <c r="O71" s="22"/>
      <c r="P71" s="22"/>
      <c r="Q71" s="66"/>
      <c r="R71" s="66">
        <f t="shared" si="3"/>
        <v>0</v>
      </c>
      <c r="S71" s="22"/>
    </row>
    <row r="72" spans="1:19" x14ac:dyDescent="0.3">
      <c r="A72" s="22">
        <v>70</v>
      </c>
      <c r="B72" s="22"/>
      <c r="C72" s="22"/>
      <c r="D72" s="22"/>
      <c r="E72" s="66"/>
      <c r="F72" s="66">
        <f t="shared" si="2"/>
        <v>0</v>
      </c>
      <c r="G72" s="22"/>
      <c r="M72" s="22">
        <v>70</v>
      </c>
      <c r="N72" s="22"/>
      <c r="O72" s="22"/>
      <c r="P72" s="22"/>
      <c r="Q72" s="66"/>
      <c r="R72" s="66">
        <f t="shared" si="3"/>
        <v>0</v>
      </c>
      <c r="S72" s="22"/>
    </row>
    <row r="73" spans="1:19" ht="20.399999999999999" customHeight="1" x14ac:dyDescent="0.3">
      <c r="A73" s="22">
        <v>71</v>
      </c>
      <c r="B73" s="22"/>
      <c r="C73" s="22"/>
      <c r="D73" s="22"/>
      <c r="E73" s="66"/>
      <c r="F73" s="66">
        <f t="shared" si="2"/>
        <v>0</v>
      </c>
      <c r="G73" s="22"/>
      <c r="M73" s="22">
        <v>71</v>
      </c>
      <c r="N73" s="22"/>
      <c r="O73" s="22"/>
      <c r="P73" s="22"/>
      <c r="Q73" s="66"/>
      <c r="R73" s="66">
        <f t="shared" si="3"/>
        <v>0</v>
      </c>
      <c r="S73" s="22"/>
    </row>
    <row r="74" spans="1:19" x14ac:dyDescent="0.3">
      <c r="A74" s="22">
        <v>72</v>
      </c>
      <c r="B74" s="22"/>
      <c r="C74" s="22"/>
      <c r="D74" s="22"/>
      <c r="E74" s="66"/>
      <c r="F74" s="66">
        <f t="shared" si="2"/>
        <v>0</v>
      </c>
      <c r="G74" s="22"/>
      <c r="M74" s="22">
        <v>72</v>
      </c>
      <c r="N74" s="22"/>
      <c r="O74" s="22"/>
      <c r="P74" s="22"/>
      <c r="Q74" s="66"/>
      <c r="R74" s="66">
        <f t="shared" si="3"/>
        <v>0</v>
      </c>
      <c r="S74" s="22"/>
    </row>
    <row r="75" spans="1:19" x14ac:dyDescent="0.3">
      <c r="A75" s="22">
        <v>73</v>
      </c>
      <c r="B75" s="22"/>
      <c r="C75" s="22"/>
      <c r="D75" s="22"/>
      <c r="E75" s="66"/>
      <c r="F75" s="66">
        <f t="shared" si="2"/>
        <v>0</v>
      </c>
      <c r="G75" s="22"/>
      <c r="M75" s="22">
        <v>73</v>
      </c>
      <c r="N75" s="22"/>
      <c r="O75" s="22"/>
      <c r="P75" s="22"/>
      <c r="Q75" s="66"/>
      <c r="R75" s="66">
        <f t="shared" si="3"/>
        <v>0</v>
      </c>
      <c r="S75" s="22"/>
    </row>
    <row r="76" spans="1:19" x14ac:dyDescent="0.3">
      <c r="A76" s="22">
        <v>74</v>
      </c>
      <c r="B76" s="22"/>
      <c r="C76" s="22"/>
      <c r="D76" s="22"/>
      <c r="E76" s="66"/>
      <c r="F76" s="66">
        <f t="shared" si="2"/>
        <v>0</v>
      </c>
      <c r="G76" s="22"/>
      <c r="M76" s="22">
        <v>74</v>
      </c>
      <c r="N76" s="22"/>
      <c r="O76" s="22"/>
      <c r="P76" s="22"/>
      <c r="Q76" s="66"/>
      <c r="R76" s="66">
        <f t="shared" si="3"/>
        <v>0</v>
      </c>
      <c r="S76" s="22"/>
    </row>
    <row r="77" spans="1:19" x14ac:dyDescent="0.3">
      <c r="A77" s="22">
        <v>75</v>
      </c>
      <c r="B77" s="22"/>
      <c r="C77" s="22"/>
      <c r="D77" s="22"/>
      <c r="E77" s="66"/>
      <c r="F77" s="66">
        <f t="shared" si="2"/>
        <v>0</v>
      </c>
      <c r="G77" s="22"/>
      <c r="M77" s="22">
        <v>75</v>
      </c>
      <c r="N77" s="22"/>
      <c r="O77" s="22"/>
      <c r="P77" s="22"/>
      <c r="Q77" s="66"/>
      <c r="R77" s="66">
        <f t="shared" si="3"/>
        <v>0</v>
      </c>
      <c r="S77" s="22"/>
    </row>
    <row r="78" spans="1:19" x14ac:dyDescent="0.3">
      <c r="A78" s="22">
        <v>76</v>
      </c>
      <c r="B78" s="22"/>
      <c r="C78" s="22"/>
      <c r="D78" s="22"/>
      <c r="E78" s="66"/>
      <c r="F78" s="66">
        <f t="shared" si="2"/>
        <v>0</v>
      </c>
      <c r="G78" s="22"/>
      <c r="M78" s="22">
        <v>76</v>
      </c>
      <c r="N78" s="22"/>
      <c r="O78" s="22"/>
      <c r="P78" s="22"/>
      <c r="Q78" s="66"/>
      <c r="R78" s="66">
        <f t="shared" si="3"/>
        <v>0</v>
      </c>
      <c r="S78" s="22"/>
    </row>
    <row r="79" spans="1:19" x14ac:dyDescent="0.3">
      <c r="A79" s="22">
        <v>77</v>
      </c>
      <c r="B79" s="22"/>
      <c r="C79" s="22"/>
      <c r="D79" s="22"/>
      <c r="E79" s="66"/>
      <c r="F79" s="66">
        <f t="shared" si="2"/>
        <v>0</v>
      </c>
      <c r="G79" s="22"/>
      <c r="M79" s="22">
        <v>77</v>
      </c>
      <c r="N79" s="22"/>
      <c r="O79" s="22"/>
      <c r="P79" s="22"/>
      <c r="Q79" s="66"/>
      <c r="R79" s="66">
        <f t="shared" si="3"/>
        <v>0</v>
      </c>
      <c r="S79" s="22"/>
    </row>
    <row r="80" spans="1:19" x14ac:dyDescent="0.3">
      <c r="A80" s="22">
        <v>78</v>
      </c>
      <c r="B80" s="22"/>
      <c r="C80" s="22"/>
      <c r="D80" s="22"/>
      <c r="E80" s="66"/>
      <c r="F80" s="66">
        <f t="shared" si="2"/>
        <v>0</v>
      </c>
      <c r="G80" s="22"/>
      <c r="M80" s="22">
        <v>78</v>
      </c>
      <c r="N80" s="22"/>
      <c r="O80" s="22"/>
      <c r="P80" s="22"/>
      <c r="Q80" s="66"/>
      <c r="R80" s="66">
        <f t="shared" si="3"/>
        <v>0</v>
      </c>
      <c r="S80" s="22"/>
    </row>
    <row r="81" spans="1:19" x14ac:dyDescent="0.3">
      <c r="A81" s="22">
        <v>79</v>
      </c>
      <c r="B81" s="22"/>
      <c r="C81" s="22"/>
      <c r="D81" s="22"/>
      <c r="E81" s="66"/>
      <c r="F81" s="66">
        <f t="shared" si="2"/>
        <v>0</v>
      </c>
      <c r="G81" s="22"/>
      <c r="M81" s="22">
        <v>79</v>
      </c>
      <c r="N81" s="22"/>
      <c r="O81" s="22"/>
      <c r="P81" s="22"/>
      <c r="Q81" s="66"/>
      <c r="R81" s="66">
        <f t="shared" si="3"/>
        <v>0</v>
      </c>
      <c r="S81" s="22"/>
    </row>
    <row r="82" spans="1:19" x14ac:dyDescent="0.3">
      <c r="A82" s="22">
        <v>80</v>
      </c>
      <c r="B82" s="22"/>
      <c r="C82" s="22"/>
      <c r="D82" s="22"/>
      <c r="E82" s="66"/>
      <c r="F82" s="66">
        <f t="shared" si="2"/>
        <v>0</v>
      </c>
      <c r="G82" s="22"/>
      <c r="M82" s="22">
        <v>80</v>
      </c>
      <c r="N82" s="22"/>
      <c r="O82" s="22"/>
      <c r="P82" s="22"/>
      <c r="Q82" s="66"/>
      <c r="R82" s="66">
        <f t="shared" si="3"/>
        <v>0</v>
      </c>
      <c r="S82" s="22"/>
    </row>
    <row r="83" spans="1:19" x14ac:dyDescent="0.3">
      <c r="A83" s="22">
        <v>81</v>
      </c>
      <c r="B83" s="22"/>
      <c r="C83" s="22"/>
      <c r="D83" s="22"/>
      <c r="E83" s="66"/>
      <c r="F83" s="66">
        <f t="shared" si="2"/>
        <v>0</v>
      </c>
      <c r="G83" s="22"/>
      <c r="M83" s="22">
        <v>81</v>
      </c>
      <c r="N83" s="22"/>
      <c r="O83" s="22"/>
      <c r="P83" s="22"/>
      <c r="Q83" s="66"/>
      <c r="R83" s="66">
        <f t="shared" si="3"/>
        <v>0</v>
      </c>
      <c r="S83" s="22"/>
    </row>
    <row r="84" spans="1:19" x14ac:dyDescent="0.3">
      <c r="A84" s="22">
        <v>82</v>
      </c>
      <c r="B84" s="22"/>
      <c r="C84" s="22"/>
      <c r="D84" s="22"/>
      <c r="E84" s="66"/>
      <c r="F84" s="66">
        <f t="shared" si="2"/>
        <v>0</v>
      </c>
      <c r="G84" s="22"/>
      <c r="M84" s="22">
        <v>82</v>
      </c>
      <c r="N84" s="22"/>
      <c r="O84" s="22"/>
      <c r="P84" s="22"/>
      <c r="Q84" s="66"/>
      <c r="R84" s="66">
        <f t="shared" si="3"/>
        <v>0</v>
      </c>
      <c r="S84" s="22"/>
    </row>
    <row r="85" spans="1:19" x14ac:dyDescent="0.3">
      <c r="A85" s="22">
        <v>83</v>
      </c>
      <c r="B85" s="22"/>
      <c r="C85" s="22"/>
      <c r="D85" s="22"/>
      <c r="E85" s="66"/>
      <c r="F85" s="66">
        <f t="shared" si="2"/>
        <v>0</v>
      </c>
      <c r="G85" s="22"/>
      <c r="M85" s="22">
        <v>83</v>
      </c>
      <c r="N85" s="22"/>
      <c r="O85" s="22"/>
      <c r="P85" s="22"/>
      <c r="Q85" s="66"/>
      <c r="R85" s="66">
        <f t="shared" si="3"/>
        <v>0</v>
      </c>
      <c r="S85" s="22"/>
    </row>
    <row r="86" spans="1:19" x14ac:dyDescent="0.3">
      <c r="A86" s="22">
        <v>84</v>
      </c>
      <c r="B86" s="22"/>
      <c r="C86" s="22"/>
      <c r="D86" s="22"/>
      <c r="E86" s="66"/>
      <c r="F86" s="66">
        <f t="shared" si="2"/>
        <v>0</v>
      </c>
      <c r="G86" s="22"/>
      <c r="M86" s="22">
        <v>84</v>
      </c>
      <c r="N86" s="22"/>
      <c r="O86" s="22"/>
      <c r="P86" s="22"/>
      <c r="Q86" s="66"/>
      <c r="R86" s="66">
        <f t="shared" si="3"/>
        <v>0</v>
      </c>
      <c r="S86" s="22"/>
    </row>
    <row r="87" spans="1:19" x14ac:dyDescent="0.3">
      <c r="A87" s="22">
        <v>85</v>
      </c>
      <c r="B87" s="22"/>
      <c r="C87" s="22"/>
      <c r="D87" s="22"/>
      <c r="E87" s="66"/>
      <c r="F87" s="66">
        <f t="shared" si="2"/>
        <v>0</v>
      </c>
      <c r="G87" s="22"/>
      <c r="M87" s="22">
        <v>85</v>
      </c>
      <c r="N87" s="22"/>
      <c r="O87" s="22"/>
      <c r="P87" s="22"/>
      <c r="Q87" s="66"/>
      <c r="R87" s="66">
        <f t="shared" si="3"/>
        <v>0</v>
      </c>
      <c r="S87" s="22"/>
    </row>
    <row r="88" spans="1:19" x14ac:dyDescent="0.3">
      <c r="A88" s="22">
        <v>86</v>
      </c>
      <c r="B88" s="22"/>
      <c r="C88" s="22"/>
      <c r="D88" s="22"/>
      <c r="E88" s="66"/>
      <c r="F88" s="66">
        <f t="shared" si="2"/>
        <v>0</v>
      </c>
      <c r="G88" s="22"/>
      <c r="M88" s="22">
        <v>86</v>
      </c>
      <c r="N88" s="22"/>
      <c r="O88" s="22"/>
      <c r="P88" s="22"/>
      <c r="Q88" s="66"/>
      <c r="R88" s="66">
        <f t="shared" si="3"/>
        <v>0</v>
      </c>
      <c r="S88" s="22"/>
    </row>
    <row r="89" spans="1:19" x14ac:dyDescent="0.3">
      <c r="A89" s="22">
        <v>87</v>
      </c>
      <c r="B89" s="22"/>
      <c r="C89" s="22"/>
      <c r="D89" s="22"/>
      <c r="E89" s="66"/>
      <c r="F89" s="66">
        <f t="shared" si="2"/>
        <v>0</v>
      </c>
      <c r="G89" s="22"/>
      <c r="M89" s="22">
        <v>87</v>
      </c>
      <c r="N89" s="22"/>
      <c r="O89" s="22"/>
      <c r="P89" s="22"/>
      <c r="Q89" s="66"/>
      <c r="R89" s="66">
        <f t="shared" si="3"/>
        <v>0</v>
      </c>
      <c r="S89" s="22"/>
    </row>
    <row r="90" spans="1:19" x14ac:dyDescent="0.3">
      <c r="A90" s="22">
        <v>88</v>
      </c>
      <c r="B90" s="22"/>
      <c r="C90" s="22"/>
      <c r="D90" s="22"/>
      <c r="E90" s="66"/>
      <c r="F90" s="66">
        <f t="shared" si="2"/>
        <v>0</v>
      </c>
      <c r="G90" s="22"/>
      <c r="M90" s="22">
        <v>88</v>
      </c>
      <c r="N90" s="22"/>
      <c r="O90" s="22"/>
      <c r="P90" s="22"/>
      <c r="Q90" s="66"/>
      <c r="R90" s="66">
        <f t="shared" si="3"/>
        <v>0</v>
      </c>
      <c r="S90" s="22"/>
    </row>
    <row r="91" spans="1:19" x14ac:dyDescent="0.3">
      <c r="A91" s="22">
        <v>89</v>
      </c>
      <c r="B91" s="22"/>
      <c r="C91" s="22"/>
      <c r="D91" s="22"/>
      <c r="E91" s="66"/>
      <c r="F91" s="66">
        <f t="shared" si="2"/>
        <v>0</v>
      </c>
      <c r="G91" s="22"/>
      <c r="M91" s="22">
        <v>89</v>
      </c>
      <c r="N91" s="22"/>
      <c r="O91" s="22"/>
      <c r="P91" s="22"/>
      <c r="Q91" s="66"/>
      <c r="R91" s="66">
        <f t="shared" si="3"/>
        <v>0</v>
      </c>
      <c r="S91" s="22"/>
    </row>
    <row r="92" spans="1:19" x14ac:dyDescent="0.3">
      <c r="A92" s="22">
        <v>90</v>
      </c>
      <c r="B92" s="22"/>
      <c r="C92" s="22"/>
      <c r="D92" s="22"/>
      <c r="E92" s="66"/>
      <c r="F92" s="66">
        <f t="shared" si="2"/>
        <v>0</v>
      </c>
      <c r="G92" s="22"/>
      <c r="M92" s="22">
        <v>90</v>
      </c>
      <c r="N92" s="22"/>
      <c r="O92" s="22"/>
      <c r="P92" s="22"/>
      <c r="Q92" s="66"/>
      <c r="R92" s="66">
        <f t="shared" si="3"/>
        <v>0</v>
      </c>
      <c r="S92" s="22"/>
    </row>
    <row r="93" spans="1:19" x14ac:dyDescent="0.3">
      <c r="A93" s="22">
        <v>91</v>
      </c>
      <c r="B93" s="22"/>
      <c r="C93" s="22"/>
      <c r="D93" s="22"/>
      <c r="E93" s="66"/>
      <c r="F93" s="66">
        <f t="shared" si="2"/>
        <v>0</v>
      </c>
      <c r="G93" s="22"/>
      <c r="M93" s="22">
        <v>91</v>
      </c>
      <c r="N93" s="22"/>
      <c r="O93" s="22"/>
      <c r="P93" s="22"/>
      <c r="Q93" s="66"/>
      <c r="R93" s="66">
        <f t="shared" si="3"/>
        <v>0</v>
      </c>
      <c r="S93" s="22"/>
    </row>
    <row r="94" spans="1:19" x14ac:dyDescent="0.3">
      <c r="A94" s="22">
        <v>92</v>
      </c>
      <c r="B94" s="22"/>
      <c r="C94" s="22"/>
      <c r="D94" s="22"/>
      <c r="E94" s="66"/>
      <c r="F94" s="66">
        <f t="shared" si="2"/>
        <v>0</v>
      </c>
      <c r="G94" s="22"/>
      <c r="M94" s="22">
        <v>92</v>
      </c>
      <c r="N94" s="22"/>
      <c r="O94" s="22"/>
      <c r="P94" s="22"/>
      <c r="Q94" s="66"/>
      <c r="R94" s="66">
        <f t="shared" si="3"/>
        <v>0</v>
      </c>
      <c r="S94" s="22"/>
    </row>
    <row r="95" spans="1:19" x14ac:dyDescent="0.3">
      <c r="A95" s="22">
        <v>93</v>
      </c>
      <c r="B95" s="22"/>
      <c r="C95" s="22"/>
      <c r="D95" s="22"/>
      <c r="E95" s="66"/>
      <c r="F95" s="66">
        <f t="shared" si="2"/>
        <v>0</v>
      </c>
      <c r="G95" s="22"/>
      <c r="M95" s="22">
        <v>93</v>
      </c>
      <c r="N95" s="22"/>
      <c r="O95" s="22"/>
      <c r="P95" s="22"/>
      <c r="Q95" s="66"/>
      <c r="R95" s="66">
        <f t="shared" si="3"/>
        <v>0</v>
      </c>
      <c r="S95" s="22"/>
    </row>
    <row r="96" spans="1:19" x14ac:dyDescent="0.3">
      <c r="A96" s="22">
        <v>94</v>
      </c>
      <c r="B96" s="22"/>
      <c r="C96" s="22"/>
      <c r="D96" s="22"/>
      <c r="E96" s="66"/>
      <c r="F96" s="66">
        <f t="shared" si="2"/>
        <v>0</v>
      </c>
      <c r="G96" s="22"/>
      <c r="M96" s="22">
        <v>94</v>
      </c>
      <c r="N96" s="22"/>
      <c r="O96" s="22"/>
      <c r="P96" s="22"/>
      <c r="Q96" s="66"/>
      <c r="R96" s="66">
        <f t="shared" si="3"/>
        <v>0</v>
      </c>
      <c r="S96" s="22"/>
    </row>
    <row r="97" spans="1:19" x14ac:dyDescent="0.3">
      <c r="A97" s="22">
        <v>95</v>
      </c>
      <c r="B97" s="22"/>
      <c r="C97" s="22"/>
      <c r="D97" s="22"/>
      <c r="E97" s="66"/>
      <c r="F97" s="66">
        <f t="shared" si="2"/>
        <v>0</v>
      </c>
      <c r="G97" s="22"/>
      <c r="M97" s="22">
        <v>95</v>
      </c>
      <c r="N97" s="22"/>
      <c r="O97" s="22"/>
      <c r="P97" s="22"/>
      <c r="Q97" s="66"/>
      <c r="R97" s="66">
        <f t="shared" si="3"/>
        <v>0</v>
      </c>
      <c r="S97" s="22"/>
    </row>
    <row r="98" spans="1:19" x14ac:dyDescent="0.3">
      <c r="A98" s="22">
        <v>96</v>
      </c>
      <c r="B98" s="22"/>
      <c r="C98" s="22"/>
      <c r="D98" s="22"/>
      <c r="E98" s="66"/>
      <c r="F98" s="66">
        <f t="shared" si="2"/>
        <v>0</v>
      </c>
      <c r="G98" s="22"/>
      <c r="M98" s="22">
        <v>96</v>
      </c>
      <c r="N98" s="22"/>
      <c r="O98" s="22"/>
      <c r="P98" s="22"/>
      <c r="Q98" s="66"/>
      <c r="R98" s="66">
        <f t="shared" si="3"/>
        <v>0</v>
      </c>
      <c r="S98" s="22"/>
    </row>
    <row r="99" spans="1:19" x14ac:dyDescent="0.3">
      <c r="A99" s="22">
        <v>97</v>
      </c>
      <c r="B99" s="22"/>
      <c r="C99" s="22"/>
      <c r="D99" s="22"/>
      <c r="E99" s="66"/>
      <c r="F99" s="66">
        <f t="shared" si="2"/>
        <v>0</v>
      </c>
      <c r="G99" s="22"/>
      <c r="M99" s="22">
        <v>97</v>
      </c>
      <c r="N99" s="22"/>
      <c r="O99" s="22"/>
      <c r="P99" s="22"/>
      <c r="Q99" s="66"/>
      <c r="R99" s="66">
        <f t="shared" si="3"/>
        <v>0</v>
      </c>
      <c r="S99" s="22"/>
    </row>
    <row r="100" spans="1:19" x14ac:dyDescent="0.3">
      <c r="A100" s="22">
        <v>98</v>
      </c>
      <c r="B100" s="22"/>
      <c r="C100" s="22"/>
      <c r="D100" s="22"/>
      <c r="E100" s="66"/>
      <c r="F100" s="66">
        <f t="shared" si="2"/>
        <v>0</v>
      </c>
      <c r="G100" s="22"/>
      <c r="M100" s="22">
        <v>98</v>
      </c>
      <c r="N100" s="22"/>
      <c r="O100" s="22"/>
      <c r="P100" s="22"/>
      <c r="Q100" s="66"/>
      <c r="R100" s="66">
        <f t="shared" si="3"/>
        <v>0</v>
      </c>
      <c r="S100" s="22"/>
    </row>
    <row r="101" spans="1:19" x14ac:dyDescent="0.3">
      <c r="A101" s="22">
        <v>99</v>
      </c>
      <c r="B101" s="22"/>
      <c r="C101" s="22"/>
      <c r="D101" s="22"/>
      <c r="E101" s="66"/>
      <c r="F101" s="66">
        <f t="shared" si="2"/>
        <v>0</v>
      </c>
      <c r="G101" s="22"/>
      <c r="M101" s="22">
        <v>99</v>
      </c>
      <c r="N101" s="22"/>
      <c r="O101" s="22"/>
      <c r="P101" s="22"/>
      <c r="Q101" s="66"/>
      <c r="R101" s="66">
        <f t="shared" si="3"/>
        <v>0</v>
      </c>
      <c r="S101" s="22"/>
    </row>
    <row r="102" spans="1:19" x14ac:dyDescent="0.3">
      <c r="A102" s="22">
        <v>100</v>
      </c>
      <c r="B102" s="22"/>
      <c r="C102" s="22"/>
      <c r="D102" s="22"/>
      <c r="E102" s="66"/>
      <c r="F102" s="66">
        <f t="shared" si="2"/>
        <v>0</v>
      </c>
      <c r="G102" s="22"/>
      <c r="M102" s="22">
        <v>100</v>
      </c>
      <c r="N102" s="22"/>
      <c r="O102" s="22"/>
      <c r="P102" s="22"/>
      <c r="Q102" s="66"/>
      <c r="R102" s="66">
        <f t="shared" si="3"/>
        <v>0</v>
      </c>
      <c r="S102" s="22"/>
    </row>
    <row r="103" spans="1:19" x14ac:dyDescent="0.3">
      <c r="A103" s="22">
        <v>101</v>
      </c>
      <c r="B103" s="22"/>
      <c r="C103" s="22"/>
      <c r="D103" s="22"/>
      <c r="E103" s="66"/>
      <c r="F103" s="66">
        <f t="shared" si="2"/>
        <v>0</v>
      </c>
      <c r="G103" s="22"/>
      <c r="M103" s="22">
        <v>101</v>
      </c>
      <c r="N103" s="22"/>
      <c r="O103" s="22"/>
      <c r="P103" s="22"/>
      <c r="Q103" s="66"/>
      <c r="R103" s="66">
        <f t="shared" si="3"/>
        <v>0</v>
      </c>
      <c r="S103" s="22"/>
    </row>
    <row r="104" spans="1:19" x14ac:dyDescent="0.3">
      <c r="A104" s="22">
        <v>102</v>
      </c>
      <c r="B104" s="22"/>
      <c r="C104" s="22"/>
      <c r="D104" s="22"/>
      <c r="E104" s="66"/>
      <c r="F104" s="66">
        <f t="shared" si="2"/>
        <v>0</v>
      </c>
      <c r="G104" s="22"/>
      <c r="M104" s="22">
        <v>102</v>
      </c>
      <c r="N104" s="22"/>
      <c r="O104" s="22"/>
      <c r="P104" s="22"/>
      <c r="Q104" s="66"/>
      <c r="R104" s="66">
        <f t="shared" si="3"/>
        <v>0</v>
      </c>
      <c r="S104" s="22"/>
    </row>
    <row r="105" spans="1:19" x14ac:dyDescent="0.3">
      <c r="A105" s="22">
        <v>103</v>
      </c>
      <c r="B105" s="22"/>
      <c r="C105" s="22"/>
      <c r="D105" s="22"/>
      <c r="E105" s="66"/>
      <c r="F105" s="66">
        <f t="shared" si="2"/>
        <v>0</v>
      </c>
      <c r="G105" s="22"/>
      <c r="M105" s="22">
        <v>103</v>
      </c>
      <c r="N105" s="22"/>
      <c r="O105" s="22"/>
      <c r="P105" s="22"/>
      <c r="Q105" s="66"/>
      <c r="R105" s="66">
        <f t="shared" si="3"/>
        <v>0</v>
      </c>
      <c r="S105" s="22"/>
    </row>
    <row r="106" spans="1:19" x14ac:dyDescent="0.3">
      <c r="A106" s="22">
        <v>104</v>
      </c>
      <c r="B106" s="22"/>
      <c r="C106" s="22"/>
      <c r="D106" s="22"/>
      <c r="E106" s="66"/>
      <c r="F106" s="66">
        <f t="shared" si="2"/>
        <v>0</v>
      </c>
      <c r="G106" s="22"/>
      <c r="M106" s="22">
        <v>104</v>
      </c>
      <c r="N106" s="22"/>
      <c r="O106" s="22"/>
      <c r="P106" s="22"/>
      <c r="Q106" s="66"/>
      <c r="R106" s="66">
        <f t="shared" si="3"/>
        <v>0</v>
      </c>
      <c r="S106" s="22"/>
    </row>
    <row r="107" spans="1:19" x14ac:dyDescent="0.3">
      <c r="A107" s="22">
        <v>105</v>
      </c>
      <c r="B107" s="22"/>
      <c r="C107" s="22"/>
      <c r="D107" s="22"/>
      <c r="E107" s="66"/>
      <c r="F107" s="66">
        <f t="shared" si="2"/>
        <v>0</v>
      </c>
      <c r="G107" s="22"/>
      <c r="M107" s="22">
        <v>105</v>
      </c>
      <c r="N107" s="22"/>
      <c r="O107" s="22"/>
      <c r="P107" s="22"/>
      <c r="Q107" s="66"/>
      <c r="R107" s="66">
        <f t="shared" si="3"/>
        <v>0</v>
      </c>
      <c r="S107" s="22"/>
    </row>
    <row r="108" spans="1:19" x14ac:dyDescent="0.3">
      <c r="A108" s="22">
        <v>106</v>
      </c>
      <c r="B108" s="22"/>
      <c r="C108" s="22"/>
      <c r="D108" s="22"/>
      <c r="E108" s="66"/>
      <c r="F108" s="66">
        <f t="shared" si="2"/>
        <v>0</v>
      </c>
      <c r="G108" s="22"/>
      <c r="M108" s="22">
        <v>106</v>
      </c>
      <c r="N108" s="22"/>
      <c r="O108" s="22"/>
      <c r="P108" s="22"/>
      <c r="Q108" s="66"/>
      <c r="R108" s="66">
        <f t="shared" si="3"/>
        <v>0</v>
      </c>
      <c r="S108" s="22"/>
    </row>
    <row r="109" spans="1:19" x14ac:dyDescent="0.3">
      <c r="A109" s="22">
        <v>107</v>
      </c>
      <c r="B109" s="22"/>
      <c r="C109" s="22"/>
      <c r="D109" s="22"/>
      <c r="E109" s="66"/>
      <c r="F109" s="66">
        <f t="shared" si="2"/>
        <v>0</v>
      </c>
      <c r="G109" s="22"/>
      <c r="M109" s="22">
        <v>107</v>
      </c>
      <c r="N109" s="22"/>
      <c r="O109" s="22"/>
      <c r="P109" s="22"/>
      <c r="Q109" s="66"/>
      <c r="R109" s="66">
        <f t="shared" si="3"/>
        <v>0</v>
      </c>
      <c r="S109" s="22"/>
    </row>
    <row r="110" spans="1:19" x14ac:dyDescent="0.3">
      <c r="A110" s="22">
        <v>108</v>
      </c>
      <c r="B110" s="22"/>
      <c r="C110" s="22"/>
      <c r="D110" s="22"/>
      <c r="E110" s="66"/>
      <c r="F110" s="66">
        <f t="shared" si="2"/>
        <v>0</v>
      </c>
      <c r="G110" s="22"/>
      <c r="M110" s="22">
        <v>108</v>
      </c>
      <c r="N110" s="22"/>
      <c r="O110" s="22"/>
      <c r="P110" s="22"/>
      <c r="Q110" s="66"/>
      <c r="R110" s="66">
        <f t="shared" si="3"/>
        <v>0</v>
      </c>
      <c r="S110" s="22"/>
    </row>
    <row r="111" spans="1:19" x14ac:dyDescent="0.3">
      <c r="A111" s="22">
        <v>109</v>
      </c>
      <c r="B111" s="22"/>
      <c r="C111" s="22"/>
      <c r="D111" s="22"/>
      <c r="E111" s="66"/>
      <c r="F111" s="66">
        <f t="shared" si="2"/>
        <v>0</v>
      </c>
      <c r="G111" s="22"/>
      <c r="M111" s="22">
        <v>109</v>
      </c>
      <c r="N111" s="22"/>
      <c r="O111" s="22"/>
      <c r="P111" s="22"/>
      <c r="Q111" s="66"/>
      <c r="R111" s="66">
        <f t="shared" si="3"/>
        <v>0</v>
      </c>
      <c r="S111" s="22"/>
    </row>
    <row r="112" spans="1:19" x14ac:dyDescent="0.3">
      <c r="A112" s="22">
        <v>110</v>
      </c>
      <c r="B112" s="22"/>
      <c r="C112" s="22"/>
      <c r="D112" s="22"/>
      <c r="E112" s="66"/>
      <c r="F112" s="66">
        <f t="shared" si="2"/>
        <v>0</v>
      </c>
      <c r="G112" s="22"/>
      <c r="M112" s="22">
        <v>110</v>
      </c>
      <c r="N112" s="22"/>
      <c r="O112" s="22"/>
      <c r="P112" s="22"/>
      <c r="Q112" s="66"/>
      <c r="R112" s="66">
        <f t="shared" si="3"/>
        <v>0</v>
      </c>
      <c r="S112" s="22"/>
    </row>
    <row r="113" spans="1:19" x14ac:dyDescent="0.3">
      <c r="A113" s="22">
        <v>111</v>
      </c>
      <c r="B113" s="22"/>
      <c r="C113" s="22"/>
      <c r="D113" s="22"/>
      <c r="E113" s="66"/>
      <c r="F113" s="66">
        <f t="shared" si="2"/>
        <v>0</v>
      </c>
      <c r="G113" s="22"/>
      <c r="M113" s="22">
        <v>111</v>
      </c>
      <c r="N113" s="22"/>
      <c r="O113" s="22"/>
      <c r="P113" s="22"/>
      <c r="Q113" s="66"/>
      <c r="R113" s="66">
        <f t="shared" si="3"/>
        <v>0</v>
      </c>
      <c r="S113" s="22"/>
    </row>
    <row r="114" spans="1:19" x14ac:dyDescent="0.3">
      <c r="A114" s="22">
        <v>112</v>
      </c>
      <c r="B114" s="22"/>
      <c r="C114" s="22"/>
      <c r="D114" s="22"/>
      <c r="E114" s="66"/>
      <c r="F114" s="66">
        <f t="shared" si="2"/>
        <v>0</v>
      </c>
      <c r="G114" s="22"/>
      <c r="M114" s="22">
        <v>112</v>
      </c>
      <c r="N114" s="22"/>
      <c r="O114" s="22"/>
      <c r="P114" s="22"/>
      <c r="Q114" s="66"/>
      <c r="R114" s="66">
        <f t="shared" si="3"/>
        <v>0</v>
      </c>
      <c r="S114" s="22"/>
    </row>
    <row r="115" spans="1:19" x14ac:dyDescent="0.3">
      <c r="A115" s="22">
        <v>113</v>
      </c>
      <c r="B115" s="22"/>
      <c r="C115" s="22"/>
      <c r="D115" s="22"/>
      <c r="E115" s="66"/>
      <c r="F115" s="66">
        <f t="shared" si="2"/>
        <v>0</v>
      </c>
      <c r="G115" s="22"/>
      <c r="M115" s="22">
        <v>113</v>
      </c>
      <c r="N115" s="22"/>
      <c r="O115" s="22"/>
      <c r="P115" s="22"/>
      <c r="Q115" s="66"/>
      <c r="R115" s="66">
        <f t="shared" si="3"/>
        <v>0</v>
      </c>
      <c r="S115" s="22"/>
    </row>
    <row r="116" spans="1:19" x14ac:dyDescent="0.3">
      <c r="A116" s="22">
        <v>114</v>
      </c>
      <c r="B116" s="22"/>
      <c r="C116" s="22"/>
      <c r="D116" s="22"/>
      <c r="E116" s="66"/>
      <c r="F116" s="66">
        <f t="shared" si="2"/>
        <v>0</v>
      </c>
      <c r="G116" s="22"/>
      <c r="M116" s="22">
        <v>114</v>
      </c>
      <c r="N116" s="22"/>
      <c r="O116" s="22"/>
      <c r="P116" s="22"/>
      <c r="Q116" s="66"/>
      <c r="R116" s="66">
        <f t="shared" si="3"/>
        <v>0</v>
      </c>
      <c r="S116" s="22"/>
    </row>
    <row r="117" spans="1:19" x14ac:dyDescent="0.3">
      <c r="A117" s="22">
        <v>115</v>
      </c>
      <c r="B117" s="22"/>
      <c r="C117" s="22"/>
      <c r="D117" s="22"/>
      <c r="E117" s="66"/>
      <c r="F117" s="66">
        <f t="shared" si="2"/>
        <v>0</v>
      </c>
      <c r="G117" s="22"/>
      <c r="M117" s="22">
        <v>115</v>
      </c>
      <c r="N117" s="22"/>
      <c r="O117" s="22"/>
      <c r="P117" s="22"/>
      <c r="Q117" s="66"/>
      <c r="R117" s="66">
        <f t="shared" si="3"/>
        <v>0</v>
      </c>
      <c r="S117" s="22"/>
    </row>
    <row r="118" spans="1:19" x14ac:dyDescent="0.3">
      <c r="A118" s="22">
        <v>116</v>
      </c>
      <c r="B118" s="22"/>
      <c r="C118" s="22"/>
      <c r="D118" s="22"/>
      <c r="E118" s="66"/>
      <c r="F118" s="66">
        <f t="shared" si="2"/>
        <v>0</v>
      </c>
      <c r="G118" s="22"/>
      <c r="M118" s="22">
        <v>116</v>
      </c>
      <c r="N118" s="22"/>
      <c r="O118" s="22"/>
      <c r="P118" s="22"/>
      <c r="Q118" s="66"/>
      <c r="R118" s="66">
        <f t="shared" si="3"/>
        <v>0</v>
      </c>
      <c r="S118" s="22"/>
    </row>
    <row r="119" spans="1:19" x14ac:dyDescent="0.3">
      <c r="A119" s="22">
        <v>117</v>
      </c>
      <c r="B119" s="22"/>
      <c r="C119" s="22"/>
      <c r="D119" s="22"/>
      <c r="E119" s="66"/>
      <c r="F119" s="66">
        <f t="shared" si="2"/>
        <v>0</v>
      </c>
      <c r="G119" s="22"/>
      <c r="M119" s="22">
        <v>117</v>
      </c>
      <c r="N119" s="22"/>
      <c r="O119" s="22"/>
      <c r="P119" s="22"/>
      <c r="Q119" s="66"/>
      <c r="R119" s="66">
        <f t="shared" si="3"/>
        <v>0</v>
      </c>
      <c r="S119" s="22"/>
    </row>
    <row r="120" spans="1:19" x14ac:dyDescent="0.3">
      <c r="A120" s="22">
        <v>118</v>
      </c>
      <c r="B120" s="22"/>
      <c r="C120" s="22"/>
      <c r="D120" s="22"/>
      <c r="E120" s="66"/>
      <c r="F120" s="66">
        <f t="shared" si="2"/>
        <v>0</v>
      </c>
      <c r="G120" s="22"/>
      <c r="M120" s="22">
        <v>118</v>
      </c>
      <c r="N120" s="22"/>
      <c r="O120" s="22"/>
      <c r="P120" s="22"/>
      <c r="Q120" s="66"/>
      <c r="R120" s="66">
        <f t="shared" si="3"/>
        <v>0</v>
      </c>
      <c r="S120" s="22"/>
    </row>
    <row r="121" spans="1:19" x14ac:dyDescent="0.3">
      <c r="A121" s="22">
        <v>119</v>
      </c>
      <c r="B121" s="22"/>
      <c r="C121" s="22"/>
      <c r="D121" s="22"/>
      <c r="E121" s="66"/>
      <c r="F121" s="66">
        <f t="shared" si="2"/>
        <v>0</v>
      </c>
      <c r="G121" s="22"/>
      <c r="M121" s="22">
        <v>119</v>
      </c>
      <c r="N121" s="22"/>
      <c r="O121" s="22"/>
      <c r="P121" s="22"/>
      <c r="Q121" s="66"/>
      <c r="R121" s="66">
        <f t="shared" si="3"/>
        <v>0</v>
      </c>
      <c r="S121" s="22"/>
    </row>
    <row r="122" spans="1:19" x14ac:dyDescent="0.3">
      <c r="A122" s="22">
        <v>120</v>
      </c>
      <c r="B122" s="22"/>
      <c r="C122" s="22"/>
      <c r="D122" s="22"/>
      <c r="E122" s="66"/>
      <c r="F122" s="66">
        <f t="shared" si="2"/>
        <v>0</v>
      </c>
      <c r="G122" s="22"/>
      <c r="M122" s="22">
        <v>120</v>
      </c>
      <c r="N122" s="22"/>
      <c r="O122" s="22"/>
      <c r="P122" s="22"/>
      <c r="Q122" s="66"/>
      <c r="R122" s="66">
        <f t="shared" si="3"/>
        <v>0</v>
      </c>
      <c r="S122" s="22"/>
    </row>
    <row r="123" spans="1:19" x14ac:dyDescent="0.3">
      <c r="A123" s="22">
        <v>121</v>
      </c>
      <c r="B123" s="22"/>
      <c r="C123" s="22"/>
      <c r="D123" s="22"/>
      <c r="E123" s="66"/>
      <c r="F123" s="66">
        <f t="shared" si="2"/>
        <v>0</v>
      </c>
      <c r="G123" s="22"/>
      <c r="M123" s="22">
        <v>121</v>
      </c>
      <c r="N123" s="22"/>
      <c r="O123" s="22"/>
      <c r="P123" s="22"/>
      <c r="Q123" s="66"/>
      <c r="R123" s="66">
        <f t="shared" si="3"/>
        <v>0</v>
      </c>
      <c r="S123" s="22"/>
    </row>
    <row r="124" spans="1:19" x14ac:dyDescent="0.3">
      <c r="A124" s="22">
        <v>122</v>
      </c>
      <c r="B124" s="22"/>
      <c r="C124" s="22"/>
      <c r="D124" s="22"/>
      <c r="E124" s="66"/>
      <c r="F124" s="66">
        <f t="shared" si="2"/>
        <v>0</v>
      </c>
      <c r="G124" s="22"/>
      <c r="M124" s="22">
        <v>122</v>
      </c>
      <c r="N124" s="22"/>
      <c r="O124" s="22"/>
      <c r="P124" s="22"/>
      <c r="Q124" s="66"/>
      <c r="R124" s="66">
        <f t="shared" si="3"/>
        <v>0</v>
      </c>
      <c r="S124" s="22"/>
    </row>
    <row r="125" spans="1:19" x14ac:dyDescent="0.3">
      <c r="A125" s="22">
        <v>123</v>
      </c>
      <c r="B125" s="22"/>
      <c r="C125" s="22"/>
      <c r="D125" s="22"/>
      <c r="E125" s="66"/>
      <c r="F125" s="66">
        <f t="shared" si="2"/>
        <v>0</v>
      </c>
      <c r="G125" s="22"/>
      <c r="M125" s="22">
        <v>123</v>
      </c>
      <c r="N125" s="22"/>
      <c r="O125" s="22"/>
      <c r="P125" s="22"/>
      <c r="Q125" s="66"/>
      <c r="R125" s="66">
        <f t="shared" si="3"/>
        <v>0</v>
      </c>
      <c r="S125" s="22"/>
    </row>
    <row r="126" spans="1:19" x14ac:dyDescent="0.3">
      <c r="A126" s="22">
        <v>124</v>
      </c>
      <c r="B126" s="22"/>
      <c r="C126" s="22"/>
      <c r="D126" s="22"/>
      <c r="E126" s="66"/>
      <c r="F126" s="66">
        <f t="shared" si="2"/>
        <v>0</v>
      </c>
      <c r="G126" s="22"/>
      <c r="M126" s="22">
        <v>124</v>
      </c>
      <c r="N126" s="22"/>
      <c r="O126" s="22"/>
      <c r="P126" s="22"/>
      <c r="Q126" s="66"/>
      <c r="R126" s="66">
        <f t="shared" si="3"/>
        <v>0</v>
      </c>
      <c r="S126" s="22"/>
    </row>
    <row r="127" spans="1:19" x14ac:dyDescent="0.3">
      <c r="A127" s="22">
        <v>125</v>
      </c>
      <c r="B127" s="22"/>
      <c r="C127" s="22"/>
      <c r="D127" s="22"/>
      <c r="E127" s="66"/>
      <c r="F127" s="66">
        <f t="shared" si="2"/>
        <v>0</v>
      </c>
      <c r="G127" s="22"/>
      <c r="M127" s="22">
        <v>125</v>
      </c>
      <c r="N127" s="22"/>
      <c r="O127" s="22"/>
      <c r="P127" s="22"/>
      <c r="Q127" s="66"/>
      <c r="R127" s="66">
        <f t="shared" si="3"/>
        <v>0</v>
      </c>
      <c r="S127" s="22"/>
    </row>
    <row r="128" spans="1:19" x14ac:dyDescent="0.3">
      <c r="A128" s="22">
        <v>126</v>
      </c>
      <c r="B128" s="22"/>
      <c r="C128" s="22"/>
      <c r="D128" s="22"/>
      <c r="E128" s="66"/>
      <c r="F128" s="66">
        <f t="shared" si="2"/>
        <v>0</v>
      </c>
      <c r="G128" s="22"/>
      <c r="M128" s="22">
        <v>126</v>
      </c>
      <c r="N128" s="22"/>
      <c r="O128" s="22"/>
      <c r="P128" s="22"/>
      <c r="Q128" s="66"/>
      <c r="R128" s="66">
        <f t="shared" si="3"/>
        <v>0</v>
      </c>
      <c r="S128" s="22"/>
    </row>
    <row r="129" spans="1:19" x14ac:dyDescent="0.3">
      <c r="A129" s="22">
        <v>127</v>
      </c>
      <c r="B129" s="22"/>
      <c r="C129" s="22"/>
      <c r="D129" s="22"/>
      <c r="E129" s="66"/>
      <c r="F129" s="66">
        <f t="shared" si="2"/>
        <v>0</v>
      </c>
      <c r="G129" s="22"/>
      <c r="M129" s="22">
        <v>127</v>
      </c>
      <c r="N129" s="22"/>
      <c r="O129" s="22"/>
      <c r="P129" s="22"/>
      <c r="Q129" s="66"/>
      <c r="R129" s="66">
        <f t="shared" si="3"/>
        <v>0</v>
      </c>
      <c r="S129" s="22"/>
    </row>
    <row r="130" spans="1:19" x14ac:dyDescent="0.3">
      <c r="A130" s="22">
        <v>128</v>
      </c>
      <c r="B130" s="22"/>
      <c r="C130" s="22"/>
      <c r="D130" s="22"/>
      <c r="E130" s="66"/>
      <c r="F130" s="66">
        <f t="shared" si="2"/>
        <v>0</v>
      </c>
      <c r="G130" s="22"/>
      <c r="M130" s="22">
        <v>128</v>
      </c>
      <c r="N130" s="22"/>
      <c r="O130" s="22"/>
      <c r="P130" s="22"/>
      <c r="Q130" s="66"/>
      <c r="R130" s="66">
        <f t="shared" si="3"/>
        <v>0</v>
      </c>
      <c r="S130" s="22"/>
    </row>
    <row r="131" spans="1:19" x14ac:dyDescent="0.3">
      <c r="A131" s="22">
        <v>129</v>
      </c>
      <c r="B131" s="22"/>
      <c r="C131" s="22"/>
      <c r="D131" s="22"/>
      <c r="E131" s="66"/>
      <c r="F131" s="66">
        <f t="shared" si="2"/>
        <v>0</v>
      </c>
      <c r="G131" s="22"/>
      <c r="M131" s="22">
        <v>129</v>
      </c>
      <c r="N131" s="22"/>
      <c r="O131" s="22"/>
      <c r="P131" s="22"/>
      <c r="Q131" s="66"/>
      <c r="R131" s="66">
        <f t="shared" si="3"/>
        <v>0</v>
      </c>
      <c r="S131" s="22"/>
    </row>
    <row r="132" spans="1:19" x14ac:dyDescent="0.3">
      <c r="A132" s="22">
        <v>130</v>
      </c>
      <c r="B132" s="22"/>
      <c r="C132" s="22"/>
      <c r="D132" s="22"/>
      <c r="E132" s="66"/>
      <c r="F132" s="66">
        <f t="shared" ref="F132:F152" si="4">D132*E132</f>
        <v>0</v>
      </c>
      <c r="G132" s="22"/>
      <c r="M132" s="22">
        <v>130</v>
      </c>
      <c r="N132" s="22"/>
      <c r="O132" s="22"/>
      <c r="P132" s="22"/>
      <c r="Q132" s="66"/>
      <c r="R132" s="66">
        <f t="shared" ref="R132:R152" si="5">P132*Q132</f>
        <v>0</v>
      </c>
      <c r="S132" s="22"/>
    </row>
    <row r="133" spans="1:19" x14ac:dyDescent="0.3">
      <c r="A133" s="22">
        <v>131</v>
      </c>
      <c r="B133" s="22"/>
      <c r="C133" s="22"/>
      <c r="D133" s="22"/>
      <c r="E133" s="66"/>
      <c r="F133" s="66">
        <f t="shared" si="4"/>
        <v>0</v>
      </c>
      <c r="G133" s="22"/>
      <c r="M133" s="22">
        <v>131</v>
      </c>
      <c r="N133" s="22"/>
      <c r="O133" s="22"/>
      <c r="P133" s="22"/>
      <c r="Q133" s="66"/>
      <c r="R133" s="66">
        <f t="shared" si="5"/>
        <v>0</v>
      </c>
      <c r="S133" s="22"/>
    </row>
    <row r="134" spans="1:19" x14ac:dyDescent="0.3">
      <c r="A134" s="22">
        <v>132</v>
      </c>
      <c r="B134" s="22"/>
      <c r="C134" s="22"/>
      <c r="D134" s="22"/>
      <c r="E134" s="66"/>
      <c r="F134" s="66">
        <f t="shared" si="4"/>
        <v>0</v>
      </c>
      <c r="G134" s="22"/>
      <c r="M134" s="22">
        <v>132</v>
      </c>
      <c r="N134" s="22"/>
      <c r="O134" s="22"/>
      <c r="P134" s="22"/>
      <c r="Q134" s="66"/>
      <c r="R134" s="66">
        <f t="shared" si="5"/>
        <v>0</v>
      </c>
      <c r="S134" s="22"/>
    </row>
    <row r="135" spans="1:19" x14ac:dyDescent="0.3">
      <c r="A135" s="22">
        <v>133</v>
      </c>
      <c r="B135" s="22"/>
      <c r="C135" s="22"/>
      <c r="D135" s="22"/>
      <c r="E135" s="66"/>
      <c r="F135" s="66">
        <f t="shared" si="4"/>
        <v>0</v>
      </c>
      <c r="G135" s="22"/>
      <c r="M135" s="22">
        <v>133</v>
      </c>
      <c r="N135" s="22"/>
      <c r="O135" s="22"/>
      <c r="P135" s="22"/>
      <c r="Q135" s="66"/>
      <c r="R135" s="66">
        <f t="shared" si="5"/>
        <v>0</v>
      </c>
      <c r="S135" s="22"/>
    </row>
    <row r="136" spans="1:19" x14ac:dyDescent="0.3">
      <c r="A136" s="22">
        <v>134</v>
      </c>
      <c r="B136" s="22"/>
      <c r="C136" s="22"/>
      <c r="D136" s="22"/>
      <c r="E136" s="66"/>
      <c r="F136" s="66">
        <f t="shared" si="4"/>
        <v>0</v>
      </c>
      <c r="G136" s="22"/>
      <c r="M136" s="22">
        <v>134</v>
      </c>
      <c r="N136" s="22"/>
      <c r="O136" s="22"/>
      <c r="P136" s="22"/>
      <c r="Q136" s="66"/>
      <c r="R136" s="66">
        <f t="shared" si="5"/>
        <v>0</v>
      </c>
      <c r="S136" s="22"/>
    </row>
    <row r="137" spans="1:19" x14ac:dyDescent="0.3">
      <c r="A137" s="22">
        <v>135</v>
      </c>
      <c r="B137" s="22"/>
      <c r="C137" s="22"/>
      <c r="D137" s="22"/>
      <c r="E137" s="66"/>
      <c r="F137" s="66">
        <f t="shared" si="4"/>
        <v>0</v>
      </c>
      <c r="G137" s="22"/>
      <c r="M137" s="22">
        <v>135</v>
      </c>
      <c r="N137" s="22"/>
      <c r="O137" s="22"/>
      <c r="P137" s="22"/>
      <c r="Q137" s="66"/>
      <c r="R137" s="66">
        <f t="shared" si="5"/>
        <v>0</v>
      </c>
      <c r="S137" s="22"/>
    </row>
    <row r="138" spans="1:19" x14ac:dyDescent="0.3">
      <c r="A138" s="22">
        <v>136</v>
      </c>
      <c r="B138" s="22"/>
      <c r="C138" s="22"/>
      <c r="D138" s="22"/>
      <c r="E138" s="66"/>
      <c r="F138" s="66">
        <f t="shared" si="4"/>
        <v>0</v>
      </c>
      <c r="G138" s="22"/>
      <c r="M138" s="22">
        <v>136</v>
      </c>
      <c r="N138" s="22"/>
      <c r="O138" s="22"/>
      <c r="P138" s="22"/>
      <c r="Q138" s="66"/>
      <c r="R138" s="66">
        <f t="shared" si="5"/>
        <v>0</v>
      </c>
      <c r="S138" s="22"/>
    </row>
    <row r="139" spans="1:19" x14ac:dyDescent="0.3">
      <c r="A139" s="22">
        <v>137</v>
      </c>
      <c r="B139" s="22"/>
      <c r="C139" s="22"/>
      <c r="D139" s="22"/>
      <c r="E139" s="66"/>
      <c r="F139" s="66">
        <f t="shared" si="4"/>
        <v>0</v>
      </c>
      <c r="G139" s="22"/>
      <c r="M139" s="22">
        <v>137</v>
      </c>
      <c r="N139" s="22"/>
      <c r="O139" s="22"/>
      <c r="P139" s="22"/>
      <c r="Q139" s="66"/>
      <c r="R139" s="66">
        <f t="shared" si="5"/>
        <v>0</v>
      </c>
      <c r="S139" s="22"/>
    </row>
    <row r="140" spans="1:19" x14ac:dyDescent="0.3">
      <c r="A140" s="22">
        <v>138</v>
      </c>
      <c r="B140" s="22"/>
      <c r="C140" s="22"/>
      <c r="D140" s="22"/>
      <c r="E140" s="66"/>
      <c r="F140" s="66">
        <f t="shared" si="4"/>
        <v>0</v>
      </c>
      <c r="G140" s="22"/>
      <c r="M140" s="22">
        <v>138</v>
      </c>
      <c r="N140" s="22"/>
      <c r="O140" s="22"/>
      <c r="P140" s="22"/>
      <c r="Q140" s="66"/>
      <c r="R140" s="66">
        <f t="shared" si="5"/>
        <v>0</v>
      </c>
      <c r="S140" s="22"/>
    </row>
    <row r="141" spans="1:19" x14ac:dyDescent="0.3">
      <c r="A141" s="22">
        <v>139</v>
      </c>
      <c r="B141" s="22"/>
      <c r="C141" s="22"/>
      <c r="D141" s="22"/>
      <c r="E141" s="66"/>
      <c r="F141" s="66">
        <f t="shared" si="4"/>
        <v>0</v>
      </c>
      <c r="G141" s="22"/>
      <c r="M141" s="22">
        <v>139</v>
      </c>
      <c r="N141" s="22"/>
      <c r="O141" s="22"/>
      <c r="P141" s="22"/>
      <c r="Q141" s="66"/>
      <c r="R141" s="66">
        <f t="shared" si="5"/>
        <v>0</v>
      </c>
      <c r="S141" s="22"/>
    </row>
    <row r="142" spans="1:19" x14ac:dyDescent="0.3">
      <c r="A142" s="22">
        <v>140</v>
      </c>
      <c r="B142" s="22"/>
      <c r="C142" s="22"/>
      <c r="D142" s="22"/>
      <c r="E142" s="66"/>
      <c r="F142" s="66">
        <f t="shared" si="4"/>
        <v>0</v>
      </c>
      <c r="G142" s="22"/>
      <c r="M142" s="22">
        <v>140</v>
      </c>
      <c r="N142" s="22"/>
      <c r="O142" s="22"/>
      <c r="P142" s="22"/>
      <c r="Q142" s="66"/>
      <c r="R142" s="66">
        <f t="shared" si="5"/>
        <v>0</v>
      </c>
      <c r="S142" s="22"/>
    </row>
    <row r="143" spans="1:19" x14ac:dyDescent="0.3">
      <c r="A143" s="22">
        <v>141</v>
      </c>
      <c r="B143" s="22"/>
      <c r="C143" s="22"/>
      <c r="D143" s="22"/>
      <c r="E143" s="66"/>
      <c r="F143" s="66">
        <f t="shared" si="4"/>
        <v>0</v>
      </c>
      <c r="G143" s="22"/>
      <c r="M143" s="22">
        <v>141</v>
      </c>
      <c r="N143" s="22"/>
      <c r="O143" s="22"/>
      <c r="P143" s="22"/>
      <c r="Q143" s="66"/>
      <c r="R143" s="66">
        <f t="shared" si="5"/>
        <v>0</v>
      </c>
      <c r="S143" s="22"/>
    </row>
    <row r="144" spans="1:19" x14ac:dyDescent="0.3">
      <c r="A144" s="22">
        <v>142</v>
      </c>
      <c r="B144" s="22"/>
      <c r="C144" s="22"/>
      <c r="D144" s="22"/>
      <c r="E144" s="66"/>
      <c r="F144" s="66">
        <f t="shared" si="4"/>
        <v>0</v>
      </c>
      <c r="G144" s="22"/>
      <c r="M144" s="22">
        <v>142</v>
      </c>
      <c r="N144" s="22"/>
      <c r="O144" s="22"/>
      <c r="P144" s="22"/>
      <c r="Q144" s="66"/>
      <c r="R144" s="66">
        <f t="shared" si="5"/>
        <v>0</v>
      </c>
      <c r="S144" s="22"/>
    </row>
    <row r="145" spans="1:19" x14ac:dyDescent="0.3">
      <c r="A145" s="22">
        <v>143</v>
      </c>
      <c r="B145" s="22"/>
      <c r="C145" s="22"/>
      <c r="D145" s="22"/>
      <c r="E145" s="66"/>
      <c r="F145" s="66">
        <f t="shared" si="4"/>
        <v>0</v>
      </c>
      <c r="G145" s="22"/>
      <c r="M145" s="22">
        <v>143</v>
      </c>
      <c r="N145" s="22"/>
      <c r="O145" s="22"/>
      <c r="P145" s="22"/>
      <c r="Q145" s="66"/>
      <c r="R145" s="66">
        <f t="shared" si="5"/>
        <v>0</v>
      </c>
      <c r="S145" s="22"/>
    </row>
    <row r="146" spans="1:19" x14ac:dyDescent="0.3">
      <c r="A146" s="22">
        <v>144</v>
      </c>
      <c r="B146" s="22"/>
      <c r="C146" s="22"/>
      <c r="D146" s="22"/>
      <c r="E146" s="66"/>
      <c r="F146" s="66">
        <f t="shared" si="4"/>
        <v>0</v>
      </c>
      <c r="G146" s="22"/>
      <c r="M146" s="22">
        <v>144</v>
      </c>
      <c r="N146" s="22"/>
      <c r="O146" s="22"/>
      <c r="P146" s="22"/>
      <c r="Q146" s="66"/>
      <c r="R146" s="66">
        <f t="shared" si="5"/>
        <v>0</v>
      </c>
      <c r="S146" s="22"/>
    </row>
    <row r="147" spans="1:19" x14ac:dyDescent="0.3">
      <c r="A147" s="22">
        <v>145</v>
      </c>
      <c r="B147" s="22"/>
      <c r="C147" s="22"/>
      <c r="D147" s="22"/>
      <c r="E147" s="66"/>
      <c r="F147" s="66">
        <f t="shared" si="4"/>
        <v>0</v>
      </c>
      <c r="G147" s="22"/>
      <c r="M147" s="22">
        <v>145</v>
      </c>
      <c r="N147" s="22"/>
      <c r="O147" s="22"/>
      <c r="P147" s="22"/>
      <c r="Q147" s="66"/>
      <c r="R147" s="66">
        <f t="shared" si="5"/>
        <v>0</v>
      </c>
      <c r="S147" s="22"/>
    </row>
    <row r="148" spans="1:19" x14ac:dyDescent="0.3">
      <c r="A148" s="22">
        <v>146</v>
      </c>
      <c r="B148" s="22"/>
      <c r="C148" s="22"/>
      <c r="D148" s="22"/>
      <c r="E148" s="66"/>
      <c r="F148" s="66">
        <f t="shared" si="4"/>
        <v>0</v>
      </c>
      <c r="G148" s="22"/>
      <c r="M148" s="22">
        <v>146</v>
      </c>
      <c r="N148" s="22"/>
      <c r="O148" s="22"/>
      <c r="P148" s="22"/>
      <c r="Q148" s="66"/>
      <c r="R148" s="66">
        <f t="shared" si="5"/>
        <v>0</v>
      </c>
      <c r="S148" s="22"/>
    </row>
    <row r="149" spans="1:19" x14ac:dyDescent="0.3">
      <c r="A149" s="22">
        <v>147</v>
      </c>
      <c r="B149" s="22"/>
      <c r="C149" s="22"/>
      <c r="D149" s="22"/>
      <c r="E149" s="66"/>
      <c r="F149" s="66">
        <f t="shared" si="4"/>
        <v>0</v>
      </c>
      <c r="G149" s="22"/>
      <c r="M149" s="22">
        <v>147</v>
      </c>
      <c r="N149" s="22"/>
      <c r="O149" s="22"/>
      <c r="P149" s="22"/>
      <c r="Q149" s="66"/>
      <c r="R149" s="66">
        <f t="shared" si="5"/>
        <v>0</v>
      </c>
      <c r="S149" s="22"/>
    </row>
    <row r="150" spans="1:19" x14ac:dyDescent="0.3">
      <c r="A150" s="22">
        <v>148</v>
      </c>
      <c r="B150" s="22"/>
      <c r="C150" s="22"/>
      <c r="D150" s="22"/>
      <c r="E150" s="66"/>
      <c r="F150" s="66">
        <f t="shared" si="4"/>
        <v>0</v>
      </c>
      <c r="G150" s="22"/>
      <c r="M150" s="22">
        <v>148</v>
      </c>
      <c r="N150" s="22"/>
      <c r="O150" s="22"/>
      <c r="P150" s="22"/>
      <c r="Q150" s="66"/>
      <c r="R150" s="66">
        <f t="shared" si="5"/>
        <v>0</v>
      </c>
      <c r="S150" s="22"/>
    </row>
    <row r="151" spans="1:19" x14ac:dyDescent="0.3">
      <c r="A151" s="22">
        <v>149</v>
      </c>
      <c r="B151" s="22"/>
      <c r="C151" s="22"/>
      <c r="D151" s="22"/>
      <c r="E151" s="66"/>
      <c r="F151" s="66">
        <f t="shared" si="4"/>
        <v>0</v>
      </c>
      <c r="G151" s="22"/>
      <c r="M151" s="22">
        <v>149</v>
      </c>
      <c r="N151" s="22"/>
      <c r="O151" s="22"/>
      <c r="P151" s="22"/>
      <c r="Q151" s="66"/>
      <c r="R151" s="66">
        <f t="shared" si="5"/>
        <v>0</v>
      </c>
      <c r="S151" s="22"/>
    </row>
    <row r="152" spans="1:19" x14ac:dyDescent="0.3">
      <c r="A152" s="22">
        <v>150</v>
      </c>
      <c r="B152" s="22"/>
      <c r="C152" s="22"/>
      <c r="D152" s="22"/>
      <c r="E152" s="66"/>
      <c r="F152" s="66">
        <f t="shared" si="4"/>
        <v>0</v>
      </c>
      <c r="G152" s="22"/>
      <c r="M152" s="22">
        <v>150</v>
      </c>
      <c r="N152" s="22"/>
      <c r="O152" s="22"/>
      <c r="P152" s="22"/>
      <c r="Q152" s="66"/>
      <c r="R152" s="66">
        <f t="shared" si="5"/>
        <v>0</v>
      </c>
      <c r="S152" s="22"/>
    </row>
  </sheetData>
  <mergeCells count="5">
    <mergeCell ref="I7:J7"/>
    <mergeCell ref="A1:G1"/>
    <mergeCell ref="M1:S1"/>
    <mergeCell ref="I4:K5"/>
    <mergeCell ref="I6:J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0"/>
  </sheetPr>
  <dimension ref="A1:H33"/>
  <sheetViews>
    <sheetView rightToLeft="1" workbookViewId="0">
      <selection activeCell="D3" sqref="D3:H4"/>
    </sheetView>
  </sheetViews>
  <sheetFormatPr defaultRowHeight="14" x14ac:dyDescent="0.3"/>
  <cols>
    <col min="1" max="1" width="23.6640625" customWidth="1"/>
    <col min="2" max="3" width="10.83203125" customWidth="1"/>
    <col min="4" max="4" width="13.83203125" customWidth="1"/>
    <col min="5" max="5" width="13.58203125" customWidth="1"/>
    <col min="6" max="6" width="10.83203125" customWidth="1"/>
    <col min="7" max="7" width="15" customWidth="1"/>
    <col min="8" max="8" width="11" customWidth="1"/>
  </cols>
  <sheetData>
    <row r="1" spans="1:8" ht="22.75" customHeight="1" x14ac:dyDescent="0.3">
      <c r="A1" s="236" t="s">
        <v>655</v>
      </c>
      <c r="B1" s="236"/>
      <c r="C1" s="236"/>
      <c r="D1" s="236"/>
      <c r="E1" s="236"/>
      <c r="F1" s="236"/>
      <c r="G1" s="236"/>
      <c r="H1" s="236"/>
    </row>
    <row r="2" spans="1:8" ht="22.75" customHeight="1" x14ac:dyDescent="0.3">
      <c r="A2" s="136"/>
      <c r="B2" s="136"/>
      <c r="C2" s="136"/>
      <c r="D2" s="136" t="s">
        <v>324</v>
      </c>
      <c r="E2" s="136" t="s">
        <v>47</v>
      </c>
      <c r="F2" s="136" t="s">
        <v>388</v>
      </c>
      <c r="G2" s="136"/>
      <c r="H2" s="136" t="s">
        <v>51</v>
      </c>
    </row>
    <row r="3" spans="1:8" ht="22.75" customHeight="1" x14ac:dyDescent="0.3">
      <c r="A3" s="136"/>
      <c r="B3" s="136"/>
      <c r="C3" s="136"/>
      <c r="D3" s="143">
        <f>SUM(D5:D48)</f>
        <v>0</v>
      </c>
      <c r="E3" s="143">
        <f>SUM(E5:E48)</f>
        <v>54.391304347826022</v>
      </c>
      <c r="F3" s="143">
        <f>SUM(F5:F48)</f>
        <v>0</v>
      </c>
      <c r="G3" s="143"/>
      <c r="H3" s="143">
        <f>SUM(H5:H48)</f>
        <v>0</v>
      </c>
    </row>
    <row r="4" spans="1:8" ht="37.25" customHeight="1" x14ac:dyDescent="0.3">
      <c r="A4" s="135" t="s">
        <v>332</v>
      </c>
      <c r="B4" s="135" t="s">
        <v>654</v>
      </c>
      <c r="C4" s="135" t="s">
        <v>387</v>
      </c>
      <c r="D4" s="135" t="s">
        <v>513</v>
      </c>
      <c r="E4" s="135" t="s">
        <v>47</v>
      </c>
      <c r="F4" s="135" t="s">
        <v>653</v>
      </c>
      <c r="G4" s="135" t="s">
        <v>51</v>
      </c>
      <c r="H4" s="135" t="s">
        <v>513</v>
      </c>
    </row>
    <row r="5" spans="1:8" ht="15.5" x14ac:dyDescent="0.3">
      <c r="A5" s="58" t="s">
        <v>7</v>
      </c>
      <c r="B5" s="58"/>
      <c r="C5" s="137">
        <v>29</v>
      </c>
      <c r="D5" s="137">
        <f>B5*C5</f>
        <v>0</v>
      </c>
      <c r="E5" s="137">
        <f>C5-(C5/1.15)</f>
        <v>3.7826086956521721</v>
      </c>
      <c r="F5" s="137">
        <f>D5*18%</f>
        <v>0</v>
      </c>
      <c r="G5" s="137">
        <v>10.9340825187393</v>
      </c>
      <c r="H5" s="137">
        <f>G5*B5</f>
        <v>0</v>
      </c>
    </row>
    <row r="6" spans="1:8" ht="15.5" x14ac:dyDescent="0.3">
      <c r="A6" s="58" t="s">
        <v>8</v>
      </c>
      <c r="B6" s="58"/>
      <c r="C6" s="137">
        <v>29</v>
      </c>
      <c r="D6" s="137">
        <f t="shared" ref="D6:D33" si="0">B6*C6</f>
        <v>0</v>
      </c>
      <c r="E6" s="137">
        <f t="shared" ref="E6:E33" si="1">C6-(C6/1.15)</f>
        <v>3.7826086956521721</v>
      </c>
      <c r="F6" s="137">
        <f t="shared" ref="F6:F33" si="2">D6*18%</f>
        <v>0</v>
      </c>
      <c r="G6" s="137">
        <v>8.709927377117749</v>
      </c>
      <c r="H6" s="137">
        <f t="shared" ref="H6:H33" si="3">G6*B6</f>
        <v>0</v>
      </c>
    </row>
    <row r="7" spans="1:8" ht="15.5" x14ac:dyDescent="0.3">
      <c r="A7" s="58" t="s">
        <v>9</v>
      </c>
      <c r="B7" s="58"/>
      <c r="C7" s="137">
        <v>27</v>
      </c>
      <c r="D7" s="137">
        <f t="shared" si="0"/>
        <v>0</v>
      </c>
      <c r="E7" s="137">
        <f t="shared" si="1"/>
        <v>3.5217391304347814</v>
      </c>
      <c r="F7" s="137">
        <f t="shared" si="2"/>
        <v>0</v>
      </c>
      <c r="G7" s="137">
        <v>5.4142148537863397</v>
      </c>
      <c r="H7" s="137">
        <f t="shared" si="3"/>
        <v>0</v>
      </c>
    </row>
    <row r="8" spans="1:8" ht="15.5" x14ac:dyDescent="0.3">
      <c r="A8" s="58" t="s">
        <v>10</v>
      </c>
      <c r="B8" s="58"/>
      <c r="C8" s="137">
        <v>27</v>
      </c>
      <c r="D8" s="137">
        <f t="shared" si="0"/>
        <v>0</v>
      </c>
      <c r="E8" s="137">
        <f t="shared" si="1"/>
        <v>3.5217391304347814</v>
      </c>
      <c r="F8" s="137">
        <f t="shared" si="2"/>
        <v>0</v>
      </c>
      <c r="G8" s="137">
        <v>6.2755631907517797</v>
      </c>
      <c r="H8" s="137">
        <f t="shared" si="3"/>
        <v>0</v>
      </c>
    </row>
    <row r="9" spans="1:8" ht="15.5" x14ac:dyDescent="0.3">
      <c r="A9" s="59" t="s">
        <v>11</v>
      </c>
      <c r="B9" s="59"/>
      <c r="C9" s="138">
        <v>23</v>
      </c>
      <c r="D9" s="138">
        <f t="shared" si="0"/>
        <v>0</v>
      </c>
      <c r="E9" s="137">
        <f t="shared" si="1"/>
        <v>3</v>
      </c>
      <c r="F9" s="138">
        <f t="shared" si="2"/>
        <v>0</v>
      </c>
      <c r="G9" s="138">
        <v>6.6337860498842716</v>
      </c>
      <c r="H9" s="137">
        <f t="shared" si="3"/>
        <v>0</v>
      </c>
    </row>
    <row r="10" spans="1:8" ht="15.5" x14ac:dyDescent="0.3">
      <c r="A10" s="59" t="s">
        <v>12</v>
      </c>
      <c r="B10" s="59"/>
      <c r="C10" s="138">
        <v>21</v>
      </c>
      <c r="D10" s="138">
        <f t="shared" si="0"/>
        <v>0</v>
      </c>
      <c r="E10" s="137">
        <f t="shared" si="1"/>
        <v>2.7391304347826058</v>
      </c>
      <c r="F10" s="138">
        <f t="shared" si="2"/>
        <v>0</v>
      </c>
      <c r="G10" s="138">
        <v>4.2958416306491127</v>
      </c>
      <c r="H10" s="137">
        <f t="shared" si="3"/>
        <v>0</v>
      </c>
    </row>
    <row r="11" spans="1:8" ht="15.5" x14ac:dyDescent="0.3">
      <c r="A11" s="59" t="s">
        <v>13</v>
      </c>
      <c r="B11" s="59"/>
      <c r="C11" s="138">
        <v>21</v>
      </c>
      <c r="D11" s="138">
        <f t="shared" si="0"/>
        <v>0</v>
      </c>
      <c r="E11" s="137">
        <f t="shared" si="1"/>
        <v>2.7391304347826058</v>
      </c>
      <c r="F11" s="138">
        <f t="shared" si="2"/>
        <v>0</v>
      </c>
      <c r="G11" s="138">
        <v>3.6889195608749237</v>
      </c>
      <c r="H11" s="137">
        <f t="shared" si="3"/>
        <v>0</v>
      </c>
    </row>
    <row r="12" spans="1:8" ht="15.5" x14ac:dyDescent="0.3">
      <c r="A12" s="59" t="s">
        <v>14</v>
      </c>
      <c r="B12" s="59"/>
      <c r="C12" s="138">
        <v>23</v>
      </c>
      <c r="D12" s="138">
        <f t="shared" si="0"/>
        <v>0</v>
      </c>
      <c r="E12" s="137">
        <f t="shared" si="1"/>
        <v>3</v>
      </c>
      <c r="F12" s="138">
        <f t="shared" si="2"/>
        <v>0</v>
      </c>
      <c r="G12" s="138">
        <v>2.8772299771167051</v>
      </c>
      <c r="H12" s="137">
        <f t="shared" si="3"/>
        <v>0</v>
      </c>
    </row>
    <row r="13" spans="1:8" ht="15.5" x14ac:dyDescent="0.3">
      <c r="A13" s="60" t="s">
        <v>15</v>
      </c>
      <c r="B13" s="60"/>
      <c r="C13" s="139">
        <v>12</v>
      </c>
      <c r="D13" s="139">
        <f t="shared" si="0"/>
        <v>0</v>
      </c>
      <c r="E13" s="137">
        <f t="shared" si="1"/>
        <v>1.5652173913043477</v>
      </c>
      <c r="F13" s="139">
        <f t="shared" si="2"/>
        <v>0</v>
      </c>
      <c r="G13" s="139">
        <v>1.1374836003051105</v>
      </c>
      <c r="H13" s="137">
        <f t="shared" si="3"/>
        <v>0</v>
      </c>
    </row>
    <row r="14" spans="1:8" ht="15.5" x14ac:dyDescent="0.3">
      <c r="A14" s="60" t="s">
        <v>16</v>
      </c>
      <c r="B14" s="60"/>
      <c r="C14" s="139">
        <v>12</v>
      </c>
      <c r="D14" s="139">
        <f t="shared" si="0"/>
        <v>0</v>
      </c>
      <c r="E14" s="137">
        <f t="shared" si="1"/>
        <v>1.5652173913043477</v>
      </c>
      <c r="F14" s="139">
        <f t="shared" si="2"/>
        <v>0</v>
      </c>
      <c r="G14" s="139">
        <v>2.4518188882532415</v>
      </c>
      <c r="H14" s="137">
        <f t="shared" si="3"/>
        <v>0</v>
      </c>
    </row>
    <row r="15" spans="1:8" ht="15.5" x14ac:dyDescent="0.3">
      <c r="A15" s="60" t="s">
        <v>17</v>
      </c>
      <c r="B15" s="60"/>
      <c r="C15" s="139">
        <v>15</v>
      </c>
      <c r="D15" s="139">
        <f t="shared" si="0"/>
        <v>0</v>
      </c>
      <c r="E15" s="137">
        <f t="shared" si="1"/>
        <v>1.9565217391304337</v>
      </c>
      <c r="F15" s="139">
        <f t="shared" si="2"/>
        <v>0</v>
      </c>
      <c r="G15" s="139">
        <v>4.0902399082393215</v>
      </c>
      <c r="H15" s="137">
        <f t="shared" si="3"/>
        <v>0</v>
      </c>
    </row>
    <row r="16" spans="1:8" ht="15.5" x14ac:dyDescent="0.3">
      <c r="A16" s="60" t="s">
        <v>18</v>
      </c>
      <c r="B16" s="60"/>
      <c r="C16" s="139">
        <v>16</v>
      </c>
      <c r="D16" s="139">
        <f t="shared" si="0"/>
        <v>0</v>
      </c>
      <c r="E16" s="137">
        <f t="shared" si="1"/>
        <v>2.086956521739129</v>
      </c>
      <c r="F16" s="139">
        <f t="shared" si="2"/>
        <v>0</v>
      </c>
      <c r="G16" s="139">
        <v>4.3667578947368417</v>
      </c>
      <c r="H16" s="137">
        <f t="shared" si="3"/>
        <v>0</v>
      </c>
    </row>
    <row r="17" spans="1:8" ht="15.5" x14ac:dyDescent="0.3">
      <c r="A17" s="60" t="s">
        <v>19</v>
      </c>
      <c r="B17" s="60"/>
      <c r="C17" s="139">
        <v>16</v>
      </c>
      <c r="D17" s="139">
        <f t="shared" si="0"/>
        <v>0</v>
      </c>
      <c r="E17" s="137">
        <f t="shared" si="1"/>
        <v>2.086956521739129</v>
      </c>
      <c r="F17" s="139">
        <f t="shared" si="2"/>
        <v>0</v>
      </c>
      <c r="G17" s="139">
        <v>1.3528911375534718</v>
      </c>
      <c r="H17" s="137">
        <f t="shared" si="3"/>
        <v>0</v>
      </c>
    </row>
    <row r="18" spans="1:8" ht="15.5" x14ac:dyDescent="0.3">
      <c r="A18" s="60" t="s">
        <v>20</v>
      </c>
      <c r="B18" s="60"/>
      <c r="C18" s="139">
        <v>12</v>
      </c>
      <c r="D18" s="139">
        <f t="shared" si="0"/>
        <v>0</v>
      </c>
      <c r="E18" s="137">
        <f t="shared" si="1"/>
        <v>1.5652173913043477</v>
      </c>
      <c r="F18" s="139">
        <f t="shared" si="2"/>
        <v>0</v>
      </c>
      <c r="G18" s="139">
        <v>2.1891231390033634</v>
      </c>
      <c r="H18" s="137">
        <f t="shared" si="3"/>
        <v>0</v>
      </c>
    </row>
    <row r="19" spans="1:8" ht="15.5" x14ac:dyDescent="0.3">
      <c r="A19" s="60" t="s">
        <v>21</v>
      </c>
      <c r="B19" s="60"/>
      <c r="C19" s="139">
        <v>12</v>
      </c>
      <c r="D19" s="139">
        <f t="shared" si="0"/>
        <v>0</v>
      </c>
      <c r="E19" s="137">
        <f t="shared" si="1"/>
        <v>1.5652173913043477</v>
      </c>
      <c r="F19" s="139">
        <f t="shared" si="2"/>
        <v>0</v>
      </c>
      <c r="G19" s="139">
        <v>3.9314166845878136</v>
      </c>
      <c r="H19" s="137">
        <f t="shared" si="3"/>
        <v>0</v>
      </c>
    </row>
    <row r="20" spans="1:8" ht="15.5" x14ac:dyDescent="0.3">
      <c r="A20" s="60" t="s">
        <v>22</v>
      </c>
      <c r="B20" s="60"/>
      <c r="C20" s="139">
        <v>12</v>
      </c>
      <c r="D20" s="139">
        <f t="shared" si="0"/>
        <v>0</v>
      </c>
      <c r="E20" s="137">
        <f t="shared" si="1"/>
        <v>1.5652173913043477</v>
      </c>
      <c r="F20" s="139">
        <f t="shared" si="2"/>
        <v>0</v>
      </c>
      <c r="G20" s="139">
        <v>1.4439199305791361</v>
      </c>
      <c r="H20" s="137">
        <f t="shared" si="3"/>
        <v>0</v>
      </c>
    </row>
    <row r="21" spans="1:8" ht="15.5" x14ac:dyDescent="0.3">
      <c r="A21" s="60" t="s">
        <v>23</v>
      </c>
      <c r="B21" s="60"/>
      <c r="C21" s="139">
        <v>12</v>
      </c>
      <c r="D21" s="139">
        <f t="shared" si="0"/>
        <v>0</v>
      </c>
      <c r="E21" s="137">
        <f t="shared" si="1"/>
        <v>1.5652173913043477</v>
      </c>
      <c r="F21" s="139">
        <f t="shared" si="2"/>
        <v>0</v>
      </c>
      <c r="G21" s="139">
        <v>3.0536773932112018</v>
      </c>
      <c r="H21" s="137">
        <f t="shared" si="3"/>
        <v>0</v>
      </c>
    </row>
    <row r="22" spans="1:8" ht="15.5" x14ac:dyDescent="0.3">
      <c r="A22" s="61" t="s">
        <v>24</v>
      </c>
      <c r="B22" s="140"/>
      <c r="C22" s="140">
        <v>12</v>
      </c>
      <c r="D22" s="140">
        <f t="shared" si="0"/>
        <v>0</v>
      </c>
      <c r="E22" s="137">
        <f t="shared" si="1"/>
        <v>1.5652173913043477</v>
      </c>
      <c r="F22" s="140">
        <f t="shared" si="2"/>
        <v>0</v>
      </c>
      <c r="G22" s="140">
        <v>3.4456421540885738</v>
      </c>
      <c r="H22" s="137">
        <f t="shared" si="3"/>
        <v>0</v>
      </c>
    </row>
    <row r="23" spans="1:8" ht="15.5" x14ac:dyDescent="0.3">
      <c r="A23" s="61" t="s">
        <v>25</v>
      </c>
      <c r="B23" s="140"/>
      <c r="C23" s="140">
        <v>12</v>
      </c>
      <c r="D23" s="140">
        <f t="shared" si="0"/>
        <v>0</v>
      </c>
      <c r="E23" s="137">
        <f t="shared" si="1"/>
        <v>1.5652173913043477</v>
      </c>
      <c r="F23" s="140">
        <f t="shared" si="2"/>
        <v>0</v>
      </c>
      <c r="G23" s="140">
        <v>1.3607709427312775</v>
      </c>
      <c r="H23" s="137">
        <f t="shared" si="3"/>
        <v>0</v>
      </c>
    </row>
    <row r="24" spans="1:8" ht="15.5" x14ac:dyDescent="0.3">
      <c r="A24" s="61" t="s">
        <v>26</v>
      </c>
      <c r="B24" s="140"/>
      <c r="C24" s="140">
        <v>12</v>
      </c>
      <c r="D24" s="140">
        <f t="shared" si="0"/>
        <v>0</v>
      </c>
      <c r="E24" s="137">
        <f t="shared" si="1"/>
        <v>1.5652173913043477</v>
      </c>
      <c r="F24" s="140">
        <f t="shared" si="2"/>
        <v>0</v>
      </c>
      <c r="G24" s="140">
        <v>2.2973437894736852</v>
      </c>
      <c r="H24" s="137">
        <f t="shared" si="3"/>
        <v>0</v>
      </c>
    </row>
    <row r="25" spans="1:8" ht="15.5" x14ac:dyDescent="0.3">
      <c r="A25" s="61" t="s">
        <v>27</v>
      </c>
      <c r="B25" s="140"/>
      <c r="C25" s="140">
        <v>12</v>
      </c>
      <c r="D25" s="140">
        <f t="shared" si="0"/>
        <v>0</v>
      </c>
      <c r="E25" s="137">
        <f t="shared" si="1"/>
        <v>1.5652173913043477</v>
      </c>
      <c r="F25" s="140">
        <f t="shared" si="2"/>
        <v>0</v>
      </c>
      <c r="G25" s="140">
        <v>3.6220431444026153</v>
      </c>
      <c r="H25" s="137">
        <f t="shared" si="3"/>
        <v>0</v>
      </c>
    </row>
    <row r="26" spans="1:8" ht="15.5" x14ac:dyDescent="0.3">
      <c r="A26" s="61" t="s">
        <v>28</v>
      </c>
      <c r="B26" s="140"/>
      <c r="C26" s="140">
        <v>12</v>
      </c>
      <c r="D26" s="140">
        <f t="shared" si="0"/>
        <v>0</v>
      </c>
      <c r="E26" s="137">
        <f t="shared" si="1"/>
        <v>1.5652173913043477</v>
      </c>
      <c r="F26" s="140">
        <f t="shared" si="2"/>
        <v>0</v>
      </c>
      <c r="G26" s="140">
        <v>3.3522781409731341</v>
      </c>
      <c r="H26" s="137">
        <f t="shared" si="3"/>
        <v>0</v>
      </c>
    </row>
    <row r="27" spans="1:8" ht="15.5" x14ac:dyDescent="0.3">
      <c r="A27" s="65" t="s">
        <v>348</v>
      </c>
      <c r="B27" s="141"/>
      <c r="C27" s="141">
        <v>12</v>
      </c>
      <c r="D27" s="141">
        <f t="shared" si="0"/>
        <v>0</v>
      </c>
      <c r="E27" s="137">
        <f t="shared" si="1"/>
        <v>1.5652173913043477</v>
      </c>
      <c r="F27" s="141">
        <f t="shared" si="2"/>
        <v>0</v>
      </c>
      <c r="G27" s="141">
        <v>1.8655869008660033</v>
      </c>
      <c r="H27" s="137">
        <f t="shared" si="3"/>
        <v>0</v>
      </c>
    </row>
    <row r="28" spans="1:8" ht="15.5" x14ac:dyDescent="0.3">
      <c r="A28" s="61" t="s">
        <v>30</v>
      </c>
      <c r="B28" s="140"/>
      <c r="C28" s="140">
        <v>16</v>
      </c>
      <c r="D28" s="140">
        <f t="shared" si="0"/>
        <v>0</v>
      </c>
      <c r="E28" s="137">
        <f t="shared" si="1"/>
        <v>2.086956521739129</v>
      </c>
      <c r="F28" s="140">
        <f t="shared" si="2"/>
        <v>0</v>
      </c>
      <c r="G28" s="140">
        <v>3.5869223747493408</v>
      </c>
      <c r="H28" s="137">
        <f t="shared" si="3"/>
        <v>0</v>
      </c>
    </row>
    <row r="29" spans="1:8" ht="15.5" x14ac:dyDescent="0.3">
      <c r="A29" s="62" t="s">
        <v>31</v>
      </c>
      <c r="B29" s="60"/>
      <c r="C29" s="142">
        <v>2</v>
      </c>
      <c r="D29" s="142">
        <f t="shared" si="0"/>
        <v>0</v>
      </c>
      <c r="E29" s="137">
        <f t="shared" si="1"/>
        <v>0.26086956521739113</v>
      </c>
      <c r="F29" s="142">
        <f t="shared" si="2"/>
        <v>0</v>
      </c>
      <c r="G29" s="142">
        <v>0.26805874920087658</v>
      </c>
      <c r="H29" s="137">
        <f t="shared" si="3"/>
        <v>0</v>
      </c>
    </row>
    <row r="30" spans="1:8" ht="15.5" x14ac:dyDescent="0.3">
      <c r="A30" s="62" t="s">
        <v>32</v>
      </c>
      <c r="B30" s="60"/>
      <c r="C30" s="142">
        <v>2</v>
      </c>
      <c r="D30" s="142">
        <f t="shared" si="0"/>
        <v>0</v>
      </c>
      <c r="E30" s="137">
        <f t="shared" si="1"/>
        <v>0.26086956521739113</v>
      </c>
      <c r="F30" s="142">
        <f t="shared" si="2"/>
        <v>0</v>
      </c>
      <c r="G30" s="142">
        <v>0.20513913196641731</v>
      </c>
      <c r="H30" s="137">
        <f t="shared" si="3"/>
        <v>0</v>
      </c>
    </row>
    <row r="31" spans="1:8" ht="15.5" x14ac:dyDescent="0.3">
      <c r="A31" s="62" t="s">
        <v>33</v>
      </c>
      <c r="B31" s="60"/>
      <c r="C31" s="142">
        <v>2</v>
      </c>
      <c r="D31" s="142">
        <f t="shared" si="0"/>
        <v>0</v>
      </c>
      <c r="E31" s="137">
        <f t="shared" si="1"/>
        <v>0.26086956521739113</v>
      </c>
      <c r="F31" s="142">
        <f t="shared" si="2"/>
        <v>0</v>
      </c>
      <c r="G31" s="142">
        <v>0.38351999999999997</v>
      </c>
      <c r="H31" s="137">
        <f t="shared" si="3"/>
        <v>0</v>
      </c>
    </row>
    <row r="32" spans="1:8" ht="15.5" x14ac:dyDescent="0.3">
      <c r="A32" s="62" t="s">
        <v>34</v>
      </c>
      <c r="B32" s="60"/>
      <c r="C32" s="142">
        <v>2</v>
      </c>
      <c r="D32" s="142">
        <f t="shared" si="0"/>
        <v>0</v>
      </c>
      <c r="E32" s="137">
        <f t="shared" si="1"/>
        <v>0.26086956521739113</v>
      </c>
      <c r="F32" s="142">
        <f t="shared" si="2"/>
        <v>0</v>
      </c>
      <c r="G32" s="142">
        <v>0.15968624093698192</v>
      </c>
      <c r="H32" s="137">
        <f t="shared" si="3"/>
        <v>0</v>
      </c>
    </row>
    <row r="33" spans="1:8" ht="15.5" x14ac:dyDescent="0.3">
      <c r="A33" s="62" t="s">
        <v>349</v>
      </c>
      <c r="B33" s="60"/>
      <c r="C33" s="142">
        <v>2</v>
      </c>
      <c r="D33" s="142">
        <f t="shared" si="0"/>
        <v>0</v>
      </c>
      <c r="E33" s="137">
        <f t="shared" si="1"/>
        <v>0.26086956521739113</v>
      </c>
      <c r="F33" s="142">
        <f t="shared" si="2"/>
        <v>0</v>
      </c>
      <c r="G33" s="142">
        <v>0.16961197801928563</v>
      </c>
      <c r="H33" s="137">
        <f t="shared" si="3"/>
        <v>0</v>
      </c>
    </row>
  </sheetData>
  <mergeCells count="1">
    <mergeCell ref="A1: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F107"/>
  <sheetViews>
    <sheetView rightToLeft="1" workbookViewId="0">
      <selection activeCell="H13" sqref="H13"/>
    </sheetView>
  </sheetViews>
  <sheetFormatPr defaultColWidth="8.83203125" defaultRowHeight="14" x14ac:dyDescent="0.3"/>
  <cols>
    <col min="1" max="1" width="5.08203125" style="21" customWidth="1"/>
    <col min="2" max="2" width="12.9140625" style="21" customWidth="1"/>
    <col min="3" max="32" width="6.4140625" style="21" customWidth="1"/>
    <col min="33" max="16384" width="8.83203125" style="21"/>
  </cols>
  <sheetData>
    <row r="1" spans="1:32" ht="27.65" customHeight="1" thickTop="1" thickBot="1" x14ac:dyDescent="0.35">
      <c r="A1" s="240" t="s">
        <v>681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</row>
    <row r="2" spans="1:32" ht="25.25" customHeight="1" thickTop="1" thickBot="1" x14ac:dyDescent="0.35">
      <c r="A2" s="242" t="s">
        <v>0</v>
      </c>
      <c r="B2" s="151"/>
      <c r="C2" s="238" t="s">
        <v>678</v>
      </c>
      <c r="D2" s="238"/>
      <c r="E2" s="238"/>
      <c r="F2" s="238"/>
      <c r="G2" s="238"/>
      <c r="H2" s="239"/>
      <c r="I2" s="237" t="s">
        <v>683</v>
      </c>
      <c r="J2" s="238"/>
      <c r="K2" s="238"/>
      <c r="L2" s="238"/>
      <c r="M2" s="238"/>
      <c r="N2" s="239"/>
      <c r="O2" s="237" t="s">
        <v>687</v>
      </c>
      <c r="P2" s="238"/>
      <c r="Q2" s="238"/>
      <c r="R2" s="238"/>
      <c r="S2" s="238"/>
      <c r="T2" s="239"/>
      <c r="U2" s="237" t="s">
        <v>685</v>
      </c>
      <c r="V2" s="238"/>
      <c r="W2" s="238"/>
      <c r="X2" s="238"/>
      <c r="Y2" s="238"/>
      <c r="Z2" s="239"/>
      <c r="AA2" s="237" t="s">
        <v>684</v>
      </c>
      <c r="AB2" s="238"/>
      <c r="AC2" s="238"/>
      <c r="AD2" s="238"/>
      <c r="AE2" s="238"/>
      <c r="AF2" s="239"/>
    </row>
    <row r="3" spans="1:32" s="102" customFormat="1" ht="43.25" customHeight="1" thickTop="1" thickBot="1" x14ac:dyDescent="0.35">
      <c r="A3" s="243"/>
      <c r="B3" s="152" t="s">
        <v>498</v>
      </c>
      <c r="C3" s="148" t="s">
        <v>679</v>
      </c>
      <c r="D3" s="149" t="s">
        <v>686</v>
      </c>
      <c r="E3" s="149" t="s">
        <v>388</v>
      </c>
      <c r="F3" s="149" t="s">
        <v>661</v>
      </c>
      <c r="G3" s="149" t="s">
        <v>680</v>
      </c>
      <c r="H3" s="149" t="s">
        <v>682</v>
      </c>
      <c r="I3" s="149" t="s">
        <v>679</v>
      </c>
      <c r="J3" s="149" t="s">
        <v>686</v>
      </c>
      <c r="K3" s="149" t="s">
        <v>388</v>
      </c>
      <c r="L3" s="149" t="s">
        <v>661</v>
      </c>
      <c r="M3" s="149" t="s">
        <v>680</v>
      </c>
      <c r="N3" s="149" t="s">
        <v>682</v>
      </c>
      <c r="O3" s="149" t="s">
        <v>679</v>
      </c>
      <c r="P3" s="149" t="s">
        <v>686</v>
      </c>
      <c r="Q3" s="149" t="s">
        <v>388</v>
      </c>
      <c r="R3" s="149" t="s">
        <v>661</v>
      </c>
      <c r="S3" s="149" t="s">
        <v>680</v>
      </c>
      <c r="T3" s="149" t="s">
        <v>682</v>
      </c>
      <c r="U3" s="149" t="s">
        <v>679</v>
      </c>
      <c r="V3" s="149" t="s">
        <v>686</v>
      </c>
      <c r="W3" s="149" t="s">
        <v>388</v>
      </c>
      <c r="X3" s="149" t="s">
        <v>661</v>
      </c>
      <c r="Y3" s="149" t="s">
        <v>680</v>
      </c>
      <c r="Z3" s="149" t="s">
        <v>682</v>
      </c>
      <c r="AA3" s="149" t="s">
        <v>679</v>
      </c>
      <c r="AB3" s="149" t="s">
        <v>686</v>
      </c>
      <c r="AC3" s="149" t="s">
        <v>388</v>
      </c>
      <c r="AD3" s="149" t="s">
        <v>661</v>
      </c>
      <c r="AE3" s="149" t="s">
        <v>680</v>
      </c>
      <c r="AF3" s="149" t="s">
        <v>682</v>
      </c>
    </row>
    <row r="4" spans="1:32" ht="14.5" thickTop="1" x14ac:dyDescent="0.3">
      <c r="A4" s="146">
        <v>1</v>
      </c>
      <c r="B4" s="155"/>
      <c r="C4" s="146"/>
      <c r="D4" s="146"/>
      <c r="E4" s="146"/>
      <c r="F4" s="153">
        <f>(D4+C4)*18%</f>
        <v>0</v>
      </c>
      <c r="G4" s="153">
        <f>D4*2.5%</f>
        <v>0</v>
      </c>
      <c r="H4" s="154">
        <f>IF(D4="",-(E4+F4),D4-SUM(E4:G4))</f>
        <v>0</v>
      </c>
      <c r="I4" s="146"/>
      <c r="J4" s="146"/>
      <c r="K4" s="146"/>
      <c r="L4" s="153">
        <f>(J4+I4)*18%</f>
        <v>0</v>
      </c>
      <c r="M4" s="153">
        <f>J4*2.5%</f>
        <v>0</v>
      </c>
      <c r="N4" s="154">
        <f>IF(J4="",-(K4+L4),J4-SUM(K4:M4))</f>
        <v>0</v>
      </c>
      <c r="O4" s="146"/>
      <c r="P4" s="146"/>
      <c r="Q4" s="146"/>
      <c r="R4" s="153">
        <f>(P4+O4)*18%</f>
        <v>0</v>
      </c>
      <c r="S4" s="153">
        <f>P4*2.5%</f>
        <v>0</v>
      </c>
      <c r="T4" s="154">
        <f>IF(P4="",-(Q4+R4),P4-SUM(Q4:S4))</f>
        <v>0</v>
      </c>
      <c r="U4" s="146"/>
      <c r="V4" s="146"/>
      <c r="W4" s="146"/>
      <c r="X4" s="153">
        <f>(V4+U4)*18%</f>
        <v>0</v>
      </c>
      <c r="Y4" s="153">
        <f>V4*2.5%</f>
        <v>0</v>
      </c>
      <c r="Z4" s="154">
        <f>IF(V4="",-(W4+X4),V4-SUM(W4:Y4))</f>
        <v>0</v>
      </c>
      <c r="AA4" s="146"/>
      <c r="AB4" s="146"/>
      <c r="AC4" s="146"/>
      <c r="AD4" s="153">
        <f>(AB4+AA4)*18%</f>
        <v>0</v>
      </c>
      <c r="AE4" s="153">
        <f>AB4*2.5%</f>
        <v>0</v>
      </c>
      <c r="AF4" s="154">
        <f>IF(AB4="",-(AC4+AD4),AB4-SUM(AC4:AE4))</f>
        <v>0</v>
      </c>
    </row>
    <row r="5" spans="1:32" x14ac:dyDescent="0.3">
      <c r="A5" s="22">
        <v>2</v>
      </c>
      <c r="B5" s="155"/>
      <c r="C5" s="22"/>
      <c r="D5" s="22"/>
      <c r="E5" s="146"/>
      <c r="F5" s="153">
        <f t="shared" ref="F5:F68" si="0">(D5+C5)*18%</f>
        <v>0</v>
      </c>
      <c r="G5" s="153">
        <f t="shared" ref="G5:G68" si="1">D5*2.5%</f>
        <v>0</v>
      </c>
      <c r="H5" s="154">
        <f t="shared" ref="H5:H68" si="2">IF(D5="",-(E5+F5),D5-SUM(E5:G5))</f>
        <v>0</v>
      </c>
      <c r="I5" s="108"/>
      <c r="J5" s="22"/>
      <c r="K5" s="22"/>
      <c r="L5" s="153">
        <f t="shared" ref="L5:L68" si="3">(J5+I5)*18%</f>
        <v>0</v>
      </c>
      <c r="M5" s="153">
        <f t="shared" ref="M5:M68" si="4">J5*2.5%</f>
        <v>0</v>
      </c>
      <c r="N5" s="154">
        <f t="shared" ref="N5:N68" si="5">IF(J5="",-(K5+L5),J5-SUM(K5:M5))</f>
        <v>0</v>
      </c>
      <c r="O5" s="22"/>
      <c r="P5" s="22"/>
      <c r="Q5" s="22"/>
      <c r="R5" s="153">
        <f t="shared" ref="R5:R68" si="6">(P5+O5)*18%</f>
        <v>0</v>
      </c>
      <c r="S5" s="153">
        <f t="shared" ref="S5:S68" si="7">P5*2.5%</f>
        <v>0</v>
      </c>
      <c r="T5" s="154">
        <f t="shared" ref="T5:T68" si="8">IF(P5="",-(Q5+R5),P5-SUM(Q5:S5))</f>
        <v>0</v>
      </c>
      <c r="U5" s="22"/>
      <c r="V5" s="22"/>
      <c r="W5" s="22"/>
      <c r="X5" s="153">
        <f t="shared" ref="X5:X68" si="9">(V5+U5)*18%</f>
        <v>0</v>
      </c>
      <c r="Y5" s="153">
        <f t="shared" ref="Y5:Y68" si="10">V5*2.5%</f>
        <v>0</v>
      </c>
      <c r="Z5" s="154">
        <f t="shared" ref="Z5:Z68" si="11">IF(V5="",-(W5+X5),V5-SUM(W5:Y5))</f>
        <v>0</v>
      </c>
      <c r="AA5" s="22"/>
      <c r="AB5" s="22"/>
      <c r="AC5" s="22"/>
      <c r="AD5" s="153">
        <f t="shared" ref="AD5:AD68" si="12">(AB5+AA5)*18%</f>
        <v>0</v>
      </c>
      <c r="AE5" s="153">
        <f t="shared" ref="AE5:AE68" si="13">AB5*2.5%</f>
        <v>0</v>
      </c>
      <c r="AF5" s="154">
        <f t="shared" ref="AF5:AF68" si="14">IF(AB5="",-(AC5+AD5),AB5-SUM(AC5:AE5))</f>
        <v>0</v>
      </c>
    </row>
    <row r="6" spans="1:32" x14ac:dyDescent="0.3">
      <c r="A6" s="22">
        <v>3</v>
      </c>
      <c r="B6" s="155"/>
      <c r="C6" s="22"/>
      <c r="D6" s="22"/>
      <c r="E6" s="146"/>
      <c r="F6" s="153">
        <f t="shared" si="0"/>
        <v>0</v>
      </c>
      <c r="G6" s="153">
        <f t="shared" si="1"/>
        <v>0</v>
      </c>
      <c r="H6" s="154">
        <f t="shared" si="2"/>
        <v>0</v>
      </c>
      <c r="I6" s="108"/>
      <c r="J6" s="22"/>
      <c r="K6" s="22"/>
      <c r="L6" s="153">
        <f t="shared" si="3"/>
        <v>0</v>
      </c>
      <c r="M6" s="153">
        <f t="shared" si="4"/>
        <v>0</v>
      </c>
      <c r="N6" s="154">
        <f t="shared" si="5"/>
        <v>0</v>
      </c>
      <c r="O6" s="22"/>
      <c r="P6" s="22"/>
      <c r="Q6" s="22"/>
      <c r="R6" s="153">
        <f t="shared" si="6"/>
        <v>0</v>
      </c>
      <c r="S6" s="153">
        <f t="shared" si="7"/>
        <v>0</v>
      </c>
      <c r="T6" s="154">
        <f t="shared" si="8"/>
        <v>0</v>
      </c>
      <c r="U6" s="22"/>
      <c r="V6" s="22"/>
      <c r="W6" s="22"/>
      <c r="X6" s="153">
        <f t="shared" si="9"/>
        <v>0</v>
      </c>
      <c r="Y6" s="153">
        <f t="shared" si="10"/>
        <v>0</v>
      </c>
      <c r="Z6" s="154">
        <f t="shared" si="11"/>
        <v>0</v>
      </c>
      <c r="AA6" s="22"/>
      <c r="AB6" s="22"/>
      <c r="AC6" s="22"/>
      <c r="AD6" s="153">
        <f t="shared" si="12"/>
        <v>0</v>
      </c>
      <c r="AE6" s="153">
        <f t="shared" si="13"/>
        <v>0</v>
      </c>
      <c r="AF6" s="154">
        <f t="shared" si="14"/>
        <v>0</v>
      </c>
    </row>
    <row r="7" spans="1:32" x14ac:dyDescent="0.3">
      <c r="A7" s="22">
        <v>4</v>
      </c>
      <c r="B7" s="155"/>
      <c r="C7" s="22"/>
      <c r="D7" s="22"/>
      <c r="E7" s="146"/>
      <c r="F7" s="153">
        <f t="shared" si="0"/>
        <v>0</v>
      </c>
      <c r="G7" s="153">
        <f t="shared" si="1"/>
        <v>0</v>
      </c>
      <c r="H7" s="154">
        <f t="shared" si="2"/>
        <v>0</v>
      </c>
      <c r="I7" s="108"/>
      <c r="J7" s="22"/>
      <c r="K7" s="22"/>
      <c r="L7" s="153">
        <f t="shared" si="3"/>
        <v>0</v>
      </c>
      <c r="M7" s="153">
        <f t="shared" si="4"/>
        <v>0</v>
      </c>
      <c r="N7" s="154">
        <f t="shared" si="5"/>
        <v>0</v>
      </c>
      <c r="O7" s="22"/>
      <c r="P7" s="22"/>
      <c r="Q7" s="22"/>
      <c r="R7" s="153">
        <f t="shared" si="6"/>
        <v>0</v>
      </c>
      <c r="S7" s="153">
        <f t="shared" si="7"/>
        <v>0</v>
      </c>
      <c r="T7" s="154">
        <f t="shared" si="8"/>
        <v>0</v>
      </c>
      <c r="U7" s="22"/>
      <c r="V7" s="22"/>
      <c r="W7" s="22"/>
      <c r="X7" s="153">
        <f t="shared" si="9"/>
        <v>0</v>
      </c>
      <c r="Y7" s="153">
        <f t="shared" si="10"/>
        <v>0</v>
      </c>
      <c r="Z7" s="154">
        <f t="shared" si="11"/>
        <v>0</v>
      </c>
      <c r="AA7" s="22"/>
      <c r="AB7" s="22"/>
      <c r="AC7" s="22"/>
      <c r="AD7" s="153">
        <f t="shared" si="12"/>
        <v>0</v>
      </c>
      <c r="AE7" s="153">
        <f t="shared" si="13"/>
        <v>0</v>
      </c>
      <c r="AF7" s="154">
        <f t="shared" si="14"/>
        <v>0</v>
      </c>
    </row>
    <row r="8" spans="1:32" x14ac:dyDescent="0.3">
      <c r="A8" s="22">
        <v>5</v>
      </c>
      <c r="B8" s="155"/>
      <c r="C8" s="22"/>
      <c r="D8" s="22"/>
      <c r="E8" s="146"/>
      <c r="F8" s="153">
        <f t="shared" si="0"/>
        <v>0</v>
      </c>
      <c r="G8" s="153">
        <f t="shared" si="1"/>
        <v>0</v>
      </c>
      <c r="H8" s="154">
        <f t="shared" si="2"/>
        <v>0</v>
      </c>
      <c r="I8" s="108"/>
      <c r="J8" s="22"/>
      <c r="K8" s="22"/>
      <c r="L8" s="153">
        <f t="shared" si="3"/>
        <v>0</v>
      </c>
      <c r="M8" s="153">
        <f t="shared" si="4"/>
        <v>0</v>
      </c>
      <c r="N8" s="154">
        <f t="shared" si="5"/>
        <v>0</v>
      </c>
      <c r="O8" s="22"/>
      <c r="P8" s="22"/>
      <c r="Q8" s="22"/>
      <c r="R8" s="153">
        <f t="shared" si="6"/>
        <v>0</v>
      </c>
      <c r="S8" s="153">
        <f t="shared" si="7"/>
        <v>0</v>
      </c>
      <c r="T8" s="154">
        <f t="shared" si="8"/>
        <v>0</v>
      </c>
      <c r="U8" s="22"/>
      <c r="V8" s="22"/>
      <c r="W8" s="22"/>
      <c r="X8" s="153">
        <f t="shared" si="9"/>
        <v>0</v>
      </c>
      <c r="Y8" s="153">
        <f t="shared" si="10"/>
        <v>0</v>
      </c>
      <c r="Z8" s="154">
        <f t="shared" si="11"/>
        <v>0</v>
      </c>
      <c r="AA8" s="22"/>
      <c r="AB8" s="22"/>
      <c r="AC8" s="22"/>
      <c r="AD8" s="153">
        <f t="shared" si="12"/>
        <v>0</v>
      </c>
      <c r="AE8" s="153">
        <f t="shared" si="13"/>
        <v>0</v>
      </c>
      <c r="AF8" s="154">
        <f t="shared" si="14"/>
        <v>0</v>
      </c>
    </row>
    <row r="9" spans="1:32" x14ac:dyDescent="0.3">
      <c r="A9" s="22">
        <v>6</v>
      </c>
      <c r="B9" s="155"/>
      <c r="C9" s="22"/>
      <c r="D9" s="22"/>
      <c r="E9" s="146"/>
      <c r="F9" s="153">
        <f t="shared" si="0"/>
        <v>0</v>
      </c>
      <c r="G9" s="153">
        <f t="shared" si="1"/>
        <v>0</v>
      </c>
      <c r="H9" s="154">
        <f t="shared" si="2"/>
        <v>0</v>
      </c>
      <c r="I9" s="108"/>
      <c r="J9" s="22"/>
      <c r="K9" s="22"/>
      <c r="L9" s="153">
        <f t="shared" si="3"/>
        <v>0</v>
      </c>
      <c r="M9" s="153">
        <f t="shared" si="4"/>
        <v>0</v>
      </c>
      <c r="N9" s="154">
        <f t="shared" si="5"/>
        <v>0</v>
      </c>
      <c r="O9" s="22"/>
      <c r="P9" s="22"/>
      <c r="Q9" s="22"/>
      <c r="R9" s="153">
        <f t="shared" si="6"/>
        <v>0</v>
      </c>
      <c r="S9" s="153">
        <f t="shared" si="7"/>
        <v>0</v>
      </c>
      <c r="T9" s="154">
        <f t="shared" si="8"/>
        <v>0</v>
      </c>
      <c r="U9" s="22"/>
      <c r="V9" s="22"/>
      <c r="W9" s="22"/>
      <c r="X9" s="153">
        <f t="shared" si="9"/>
        <v>0</v>
      </c>
      <c r="Y9" s="153">
        <f t="shared" si="10"/>
        <v>0</v>
      </c>
      <c r="Z9" s="154">
        <f t="shared" si="11"/>
        <v>0</v>
      </c>
      <c r="AA9" s="22"/>
      <c r="AB9" s="22"/>
      <c r="AC9" s="22"/>
      <c r="AD9" s="153">
        <f t="shared" si="12"/>
        <v>0</v>
      </c>
      <c r="AE9" s="153">
        <f t="shared" si="13"/>
        <v>0</v>
      </c>
      <c r="AF9" s="154">
        <f t="shared" si="14"/>
        <v>0</v>
      </c>
    </row>
    <row r="10" spans="1:32" x14ac:dyDescent="0.3">
      <c r="A10" s="22">
        <v>7</v>
      </c>
      <c r="B10" s="155"/>
      <c r="C10" s="22"/>
      <c r="D10" s="22"/>
      <c r="E10" s="146"/>
      <c r="F10" s="153">
        <f t="shared" si="0"/>
        <v>0</v>
      </c>
      <c r="G10" s="153">
        <f t="shared" si="1"/>
        <v>0</v>
      </c>
      <c r="H10" s="154">
        <f t="shared" si="2"/>
        <v>0</v>
      </c>
      <c r="I10" s="108"/>
      <c r="J10" s="22"/>
      <c r="K10" s="22"/>
      <c r="L10" s="153">
        <f t="shared" si="3"/>
        <v>0</v>
      </c>
      <c r="M10" s="153">
        <f t="shared" si="4"/>
        <v>0</v>
      </c>
      <c r="N10" s="154">
        <f t="shared" si="5"/>
        <v>0</v>
      </c>
      <c r="O10" s="22"/>
      <c r="P10" s="22"/>
      <c r="Q10" s="22"/>
      <c r="R10" s="153">
        <f t="shared" si="6"/>
        <v>0</v>
      </c>
      <c r="S10" s="153">
        <f t="shared" si="7"/>
        <v>0</v>
      </c>
      <c r="T10" s="154">
        <f t="shared" si="8"/>
        <v>0</v>
      </c>
      <c r="U10" s="22"/>
      <c r="V10" s="22"/>
      <c r="W10" s="22"/>
      <c r="X10" s="153">
        <f t="shared" si="9"/>
        <v>0</v>
      </c>
      <c r="Y10" s="153">
        <f t="shared" si="10"/>
        <v>0</v>
      </c>
      <c r="Z10" s="154">
        <f t="shared" si="11"/>
        <v>0</v>
      </c>
      <c r="AA10" s="22"/>
      <c r="AB10" s="22"/>
      <c r="AC10" s="22"/>
      <c r="AD10" s="153">
        <f t="shared" si="12"/>
        <v>0</v>
      </c>
      <c r="AE10" s="153">
        <f t="shared" si="13"/>
        <v>0</v>
      </c>
      <c r="AF10" s="154">
        <f t="shared" si="14"/>
        <v>0</v>
      </c>
    </row>
    <row r="11" spans="1:32" x14ac:dyDescent="0.3">
      <c r="A11" s="22">
        <v>8</v>
      </c>
      <c r="B11" s="155"/>
      <c r="C11" s="22"/>
      <c r="D11" s="22"/>
      <c r="E11" s="146"/>
      <c r="F11" s="153">
        <f t="shared" si="0"/>
        <v>0</v>
      </c>
      <c r="G11" s="153">
        <f t="shared" si="1"/>
        <v>0</v>
      </c>
      <c r="H11" s="154">
        <f t="shared" si="2"/>
        <v>0</v>
      </c>
      <c r="I11" s="108"/>
      <c r="J11" s="22"/>
      <c r="K11" s="22"/>
      <c r="L11" s="153">
        <f t="shared" si="3"/>
        <v>0</v>
      </c>
      <c r="M11" s="153">
        <f t="shared" si="4"/>
        <v>0</v>
      </c>
      <c r="N11" s="154">
        <f t="shared" si="5"/>
        <v>0</v>
      </c>
      <c r="O11" s="22"/>
      <c r="P11" s="22"/>
      <c r="Q11" s="22"/>
      <c r="R11" s="153">
        <f t="shared" si="6"/>
        <v>0</v>
      </c>
      <c r="S11" s="153">
        <f t="shared" si="7"/>
        <v>0</v>
      </c>
      <c r="T11" s="154">
        <f t="shared" si="8"/>
        <v>0</v>
      </c>
      <c r="U11" s="22"/>
      <c r="V11" s="22"/>
      <c r="W11" s="22"/>
      <c r="X11" s="153">
        <f t="shared" si="9"/>
        <v>0</v>
      </c>
      <c r="Y11" s="153">
        <f t="shared" si="10"/>
        <v>0</v>
      </c>
      <c r="Z11" s="154">
        <f t="shared" si="11"/>
        <v>0</v>
      </c>
      <c r="AA11" s="22"/>
      <c r="AB11" s="22"/>
      <c r="AC11" s="22"/>
      <c r="AD11" s="153">
        <f t="shared" si="12"/>
        <v>0</v>
      </c>
      <c r="AE11" s="153">
        <f t="shared" si="13"/>
        <v>0</v>
      </c>
      <c r="AF11" s="154">
        <f t="shared" si="14"/>
        <v>0</v>
      </c>
    </row>
    <row r="12" spans="1:32" x14ac:dyDescent="0.3">
      <c r="A12" s="22">
        <v>9</v>
      </c>
      <c r="B12" s="155"/>
      <c r="C12" s="22"/>
      <c r="D12" s="22"/>
      <c r="E12" s="146"/>
      <c r="F12" s="153">
        <f t="shared" si="0"/>
        <v>0</v>
      </c>
      <c r="G12" s="153">
        <f t="shared" si="1"/>
        <v>0</v>
      </c>
      <c r="H12" s="154">
        <f t="shared" si="2"/>
        <v>0</v>
      </c>
      <c r="I12" s="108"/>
      <c r="J12" s="22"/>
      <c r="K12" s="22"/>
      <c r="L12" s="153">
        <f t="shared" si="3"/>
        <v>0</v>
      </c>
      <c r="M12" s="153">
        <f t="shared" si="4"/>
        <v>0</v>
      </c>
      <c r="N12" s="154">
        <f t="shared" si="5"/>
        <v>0</v>
      </c>
      <c r="O12" s="22"/>
      <c r="P12" s="22"/>
      <c r="Q12" s="22"/>
      <c r="R12" s="153">
        <f t="shared" si="6"/>
        <v>0</v>
      </c>
      <c r="S12" s="153">
        <f t="shared" si="7"/>
        <v>0</v>
      </c>
      <c r="T12" s="154">
        <f t="shared" si="8"/>
        <v>0</v>
      </c>
      <c r="U12" s="22"/>
      <c r="V12" s="22"/>
      <c r="W12" s="22"/>
      <c r="X12" s="153">
        <f t="shared" si="9"/>
        <v>0</v>
      </c>
      <c r="Y12" s="153">
        <f t="shared" si="10"/>
        <v>0</v>
      </c>
      <c r="Z12" s="154">
        <f t="shared" si="11"/>
        <v>0</v>
      </c>
      <c r="AA12" s="22"/>
      <c r="AB12" s="22"/>
      <c r="AC12" s="22"/>
      <c r="AD12" s="153">
        <f t="shared" si="12"/>
        <v>0</v>
      </c>
      <c r="AE12" s="153">
        <f t="shared" si="13"/>
        <v>0</v>
      </c>
      <c r="AF12" s="154">
        <f t="shared" si="14"/>
        <v>0</v>
      </c>
    </row>
    <row r="13" spans="1:32" x14ac:dyDescent="0.3">
      <c r="A13" s="22">
        <v>10</v>
      </c>
      <c r="B13" s="155"/>
      <c r="C13" s="22"/>
      <c r="D13" s="22"/>
      <c r="E13" s="22"/>
      <c r="F13" s="153">
        <f t="shared" si="0"/>
        <v>0</v>
      </c>
      <c r="G13" s="153">
        <f t="shared" si="1"/>
        <v>0</v>
      </c>
      <c r="H13" s="154">
        <f t="shared" si="2"/>
        <v>0</v>
      </c>
      <c r="I13" s="108"/>
      <c r="J13" s="22"/>
      <c r="K13" s="22"/>
      <c r="L13" s="153">
        <f t="shared" si="3"/>
        <v>0</v>
      </c>
      <c r="M13" s="153">
        <f t="shared" si="4"/>
        <v>0</v>
      </c>
      <c r="N13" s="154">
        <f t="shared" si="5"/>
        <v>0</v>
      </c>
      <c r="O13" s="22"/>
      <c r="P13" s="22"/>
      <c r="Q13" s="22"/>
      <c r="R13" s="153">
        <f t="shared" si="6"/>
        <v>0</v>
      </c>
      <c r="S13" s="153">
        <f t="shared" si="7"/>
        <v>0</v>
      </c>
      <c r="T13" s="154">
        <f t="shared" si="8"/>
        <v>0</v>
      </c>
      <c r="U13" s="22"/>
      <c r="V13" s="22"/>
      <c r="W13" s="22"/>
      <c r="X13" s="153">
        <f t="shared" si="9"/>
        <v>0</v>
      </c>
      <c r="Y13" s="153">
        <f t="shared" si="10"/>
        <v>0</v>
      </c>
      <c r="Z13" s="154">
        <f t="shared" si="11"/>
        <v>0</v>
      </c>
      <c r="AA13" s="22"/>
      <c r="AB13" s="22"/>
      <c r="AC13" s="22"/>
      <c r="AD13" s="153">
        <f t="shared" si="12"/>
        <v>0</v>
      </c>
      <c r="AE13" s="153">
        <f t="shared" si="13"/>
        <v>0</v>
      </c>
      <c r="AF13" s="154">
        <f t="shared" si="14"/>
        <v>0</v>
      </c>
    </row>
    <row r="14" spans="1:32" x14ac:dyDescent="0.3">
      <c r="A14" s="22">
        <v>11</v>
      </c>
      <c r="B14" s="155"/>
      <c r="C14" s="22"/>
      <c r="D14" s="22"/>
      <c r="E14" s="22"/>
      <c r="F14" s="153">
        <f t="shared" si="0"/>
        <v>0</v>
      </c>
      <c r="G14" s="153">
        <f t="shared" si="1"/>
        <v>0</v>
      </c>
      <c r="H14" s="154">
        <f t="shared" si="2"/>
        <v>0</v>
      </c>
      <c r="I14" s="108"/>
      <c r="J14" s="22"/>
      <c r="K14" s="22"/>
      <c r="L14" s="153">
        <f t="shared" si="3"/>
        <v>0</v>
      </c>
      <c r="M14" s="153">
        <f t="shared" si="4"/>
        <v>0</v>
      </c>
      <c r="N14" s="154">
        <f t="shared" si="5"/>
        <v>0</v>
      </c>
      <c r="O14" s="22"/>
      <c r="P14" s="22"/>
      <c r="Q14" s="22"/>
      <c r="R14" s="153">
        <f t="shared" si="6"/>
        <v>0</v>
      </c>
      <c r="S14" s="153">
        <f t="shared" si="7"/>
        <v>0</v>
      </c>
      <c r="T14" s="154">
        <f t="shared" si="8"/>
        <v>0</v>
      </c>
      <c r="U14" s="22"/>
      <c r="V14" s="22"/>
      <c r="W14" s="22"/>
      <c r="X14" s="153">
        <f t="shared" si="9"/>
        <v>0</v>
      </c>
      <c r="Y14" s="153">
        <f t="shared" si="10"/>
        <v>0</v>
      </c>
      <c r="Z14" s="154">
        <f t="shared" si="11"/>
        <v>0</v>
      </c>
      <c r="AA14" s="22"/>
      <c r="AB14" s="22"/>
      <c r="AC14" s="22"/>
      <c r="AD14" s="153">
        <f t="shared" si="12"/>
        <v>0</v>
      </c>
      <c r="AE14" s="153">
        <f t="shared" si="13"/>
        <v>0</v>
      </c>
      <c r="AF14" s="154">
        <f t="shared" si="14"/>
        <v>0</v>
      </c>
    </row>
    <row r="15" spans="1:32" x14ac:dyDescent="0.3">
      <c r="A15" s="22">
        <v>12</v>
      </c>
      <c r="B15" s="155"/>
      <c r="C15" s="22"/>
      <c r="D15" s="22"/>
      <c r="E15" s="22"/>
      <c r="F15" s="153">
        <f t="shared" si="0"/>
        <v>0</v>
      </c>
      <c r="G15" s="153">
        <f t="shared" si="1"/>
        <v>0</v>
      </c>
      <c r="H15" s="154">
        <f t="shared" si="2"/>
        <v>0</v>
      </c>
      <c r="I15" s="108"/>
      <c r="J15" s="22"/>
      <c r="K15" s="22"/>
      <c r="L15" s="153">
        <f t="shared" si="3"/>
        <v>0</v>
      </c>
      <c r="M15" s="153">
        <f t="shared" si="4"/>
        <v>0</v>
      </c>
      <c r="N15" s="154">
        <f t="shared" si="5"/>
        <v>0</v>
      </c>
      <c r="O15" s="22"/>
      <c r="P15" s="22"/>
      <c r="Q15" s="22"/>
      <c r="R15" s="153">
        <f t="shared" si="6"/>
        <v>0</v>
      </c>
      <c r="S15" s="153">
        <f t="shared" si="7"/>
        <v>0</v>
      </c>
      <c r="T15" s="154">
        <f t="shared" si="8"/>
        <v>0</v>
      </c>
      <c r="U15" s="22"/>
      <c r="V15" s="22"/>
      <c r="W15" s="22"/>
      <c r="X15" s="153">
        <f t="shared" si="9"/>
        <v>0</v>
      </c>
      <c r="Y15" s="153">
        <f t="shared" si="10"/>
        <v>0</v>
      </c>
      <c r="Z15" s="154">
        <f t="shared" si="11"/>
        <v>0</v>
      </c>
      <c r="AA15" s="22"/>
      <c r="AB15" s="22"/>
      <c r="AC15" s="22"/>
      <c r="AD15" s="153">
        <f t="shared" si="12"/>
        <v>0</v>
      </c>
      <c r="AE15" s="153">
        <f t="shared" si="13"/>
        <v>0</v>
      </c>
      <c r="AF15" s="154">
        <f t="shared" si="14"/>
        <v>0</v>
      </c>
    </row>
    <row r="16" spans="1:32" x14ac:dyDescent="0.3">
      <c r="A16" s="22">
        <v>13</v>
      </c>
      <c r="B16" s="155"/>
      <c r="C16" s="22"/>
      <c r="D16" s="22"/>
      <c r="E16" s="22"/>
      <c r="F16" s="153">
        <f t="shared" si="0"/>
        <v>0</v>
      </c>
      <c r="G16" s="153">
        <f t="shared" si="1"/>
        <v>0</v>
      </c>
      <c r="H16" s="154">
        <f t="shared" si="2"/>
        <v>0</v>
      </c>
      <c r="I16" s="108"/>
      <c r="J16" s="22"/>
      <c r="K16" s="22"/>
      <c r="L16" s="153">
        <f t="shared" si="3"/>
        <v>0</v>
      </c>
      <c r="M16" s="153">
        <f t="shared" si="4"/>
        <v>0</v>
      </c>
      <c r="N16" s="154">
        <f t="shared" si="5"/>
        <v>0</v>
      </c>
      <c r="O16" s="22"/>
      <c r="P16" s="22"/>
      <c r="Q16" s="22"/>
      <c r="R16" s="153">
        <f t="shared" si="6"/>
        <v>0</v>
      </c>
      <c r="S16" s="153">
        <f t="shared" si="7"/>
        <v>0</v>
      </c>
      <c r="T16" s="154">
        <f t="shared" si="8"/>
        <v>0</v>
      </c>
      <c r="U16" s="22"/>
      <c r="V16" s="22"/>
      <c r="W16" s="22"/>
      <c r="X16" s="153">
        <f t="shared" si="9"/>
        <v>0</v>
      </c>
      <c r="Y16" s="153">
        <f t="shared" si="10"/>
        <v>0</v>
      </c>
      <c r="Z16" s="154">
        <f t="shared" si="11"/>
        <v>0</v>
      </c>
      <c r="AA16" s="22"/>
      <c r="AB16" s="22"/>
      <c r="AC16" s="22"/>
      <c r="AD16" s="153">
        <f t="shared" si="12"/>
        <v>0</v>
      </c>
      <c r="AE16" s="153">
        <f t="shared" si="13"/>
        <v>0</v>
      </c>
      <c r="AF16" s="154">
        <f t="shared" si="14"/>
        <v>0</v>
      </c>
    </row>
    <row r="17" spans="1:32" x14ac:dyDescent="0.3">
      <c r="A17" s="22">
        <v>14</v>
      </c>
      <c r="B17" s="155"/>
      <c r="C17" s="22"/>
      <c r="D17" s="22"/>
      <c r="E17" s="22"/>
      <c r="F17" s="153">
        <f t="shared" si="0"/>
        <v>0</v>
      </c>
      <c r="G17" s="153">
        <f t="shared" si="1"/>
        <v>0</v>
      </c>
      <c r="H17" s="154">
        <f t="shared" si="2"/>
        <v>0</v>
      </c>
      <c r="I17" s="108"/>
      <c r="J17" s="22"/>
      <c r="K17" s="22"/>
      <c r="L17" s="153">
        <f t="shared" si="3"/>
        <v>0</v>
      </c>
      <c r="M17" s="153">
        <f t="shared" si="4"/>
        <v>0</v>
      </c>
      <c r="N17" s="154">
        <f t="shared" si="5"/>
        <v>0</v>
      </c>
      <c r="O17" s="22"/>
      <c r="P17" s="22"/>
      <c r="Q17" s="22"/>
      <c r="R17" s="153">
        <f t="shared" si="6"/>
        <v>0</v>
      </c>
      <c r="S17" s="153">
        <f t="shared" si="7"/>
        <v>0</v>
      </c>
      <c r="T17" s="154">
        <f t="shared" si="8"/>
        <v>0</v>
      </c>
      <c r="U17" s="22"/>
      <c r="V17" s="22"/>
      <c r="W17" s="22"/>
      <c r="X17" s="153">
        <f t="shared" si="9"/>
        <v>0</v>
      </c>
      <c r="Y17" s="153">
        <f t="shared" si="10"/>
        <v>0</v>
      </c>
      <c r="Z17" s="154">
        <f t="shared" si="11"/>
        <v>0</v>
      </c>
      <c r="AA17" s="22"/>
      <c r="AB17" s="22"/>
      <c r="AC17" s="22"/>
      <c r="AD17" s="153">
        <f t="shared" si="12"/>
        <v>0</v>
      </c>
      <c r="AE17" s="153">
        <f t="shared" si="13"/>
        <v>0</v>
      </c>
      <c r="AF17" s="154">
        <f t="shared" si="14"/>
        <v>0</v>
      </c>
    </row>
    <row r="18" spans="1:32" x14ac:dyDescent="0.3">
      <c r="A18" s="22">
        <v>15</v>
      </c>
      <c r="B18" s="155"/>
      <c r="C18" s="22"/>
      <c r="D18" s="22"/>
      <c r="E18" s="22"/>
      <c r="F18" s="153">
        <f t="shared" si="0"/>
        <v>0</v>
      </c>
      <c r="G18" s="153">
        <f t="shared" si="1"/>
        <v>0</v>
      </c>
      <c r="H18" s="154">
        <f t="shared" si="2"/>
        <v>0</v>
      </c>
      <c r="I18" s="108"/>
      <c r="J18" s="22"/>
      <c r="K18" s="22"/>
      <c r="L18" s="153">
        <f t="shared" si="3"/>
        <v>0</v>
      </c>
      <c r="M18" s="153">
        <f t="shared" si="4"/>
        <v>0</v>
      </c>
      <c r="N18" s="154">
        <f t="shared" si="5"/>
        <v>0</v>
      </c>
      <c r="O18" s="22"/>
      <c r="P18" s="22"/>
      <c r="Q18" s="22"/>
      <c r="R18" s="153">
        <f t="shared" si="6"/>
        <v>0</v>
      </c>
      <c r="S18" s="153">
        <f t="shared" si="7"/>
        <v>0</v>
      </c>
      <c r="T18" s="154">
        <f t="shared" si="8"/>
        <v>0</v>
      </c>
      <c r="U18" s="22"/>
      <c r="V18" s="22"/>
      <c r="W18" s="22"/>
      <c r="X18" s="153">
        <f t="shared" si="9"/>
        <v>0</v>
      </c>
      <c r="Y18" s="153">
        <f t="shared" si="10"/>
        <v>0</v>
      </c>
      <c r="Z18" s="154">
        <f t="shared" si="11"/>
        <v>0</v>
      </c>
      <c r="AA18" s="22"/>
      <c r="AB18" s="22"/>
      <c r="AC18" s="22"/>
      <c r="AD18" s="153">
        <f t="shared" si="12"/>
        <v>0</v>
      </c>
      <c r="AE18" s="153">
        <f t="shared" si="13"/>
        <v>0</v>
      </c>
      <c r="AF18" s="154">
        <f t="shared" si="14"/>
        <v>0</v>
      </c>
    </row>
    <row r="19" spans="1:32" x14ac:dyDescent="0.3">
      <c r="A19" s="22">
        <v>16</v>
      </c>
      <c r="B19" s="155"/>
      <c r="C19" s="22"/>
      <c r="D19" s="22"/>
      <c r="E19" s="22"/>
      <c r="F19" s="153">
        <f t="shared" si="0"/>
        <v>0</v>
      </c>
      <c r="G19" s="153">
        <f t="shared" si="1"/>
        <v>0</v>
      </c>
      <c r="H19" s="154">
        <f t="shared" si="2"/>
        <v>0</v>
      </c>
      <c r="I19" s="108"/>
      <c r="J19" s="22"/>
      <c r="K19" s="22"/>
      <c r="L19" s="153">
        <f t="shared" si="3"/>
        <v>0</v>
      </c>
      <c r="M19" s="153">
        <f t="shared" si="4"/>
        <v>0</v>
      </c>
      <c r="N19" s="154">
        <f t="shared" si="5"/>
        <v>0</v>
      </c>
      <c r="O19" s="22"/>
      <c r="P19" s="22"/>
      <c r="Q19" s="22"/>
      <c r="R19" s="153">
        <f t="shared" si="6"/>
        <v>0</v>
      </c>
      <c r="S19" s="153">
        <f t="shared" si="7"/>
        <v>0</v>
      </c>
      <c r="T19" s="154">
        <f t="shared" si="8"/>
        <v>0</v>
      </c>
      <c r="U19" s="22"/>
      <c r="V19" s="22"/>
      <c r="W19" s="22"/>
      <c r="X19" s="153">
        <f t="shared" si="9"/>
        <v>0</v>
      </c>
      <c r="Y19" s="153">
        <f t="shared" si="10"/>
        <v>0</v>
      </c>
      <c r="Z19" s="154">
        <f t="shared" si="11"/>
        <v>0</v>
      </c>
      <c r="AA19" s="22"/>
      <c r="AB19" s="22"/>
      <c r="AC19" s="22"/>
      <c r="AD19" s="153">
        <f t="shared" si="12"/>
        <v>0</v>
      </c>
      <c r="AE19" s="153">
        <f t="shared" si="13"/>
        <v>0</v>
      </c>
      <c r="AF19" s="154">
        <f t="shared" si="14"/>
        <v>0</v>
      </c>
    </row>
    <row r="20" spans="1:32" x14ac:dyDescent="0.3">
      <c r="A20" s="22">
        <v>17</v>
      </c>
      <c r="B20" s="155"/>
      <c r="C20" s="22"/>
      <c r="D20" s="22"/>
      <c r="E20" s="22"/>
      <c r="F20" s="153">
        <f t="shared" si="0"/>
        <v>0</v>
      </c>
      <c r="G20" s="153">
        <f t="shared" si="1"/>
        <v>0</v>
      </c>
      <c r="H20" s="154">
        <f t="shared" si="2"/>
        <v>0</v>
      </c>
      <c r="I20" s="108"/>
      <c r="J20" s="22"/>
      <c r="K20" s="22"/>
      <c r="L20" s="153">
        <f t="shared" si="3"/>
        <v>0</v>
      </c>
      <c r="M20" s="153">
        <f t="shared" si="4"/>
        <v>0</v>
      </c>
      <c r="N20" s="154">
        <f t="shared" si="5"/>
        <v>0</v>
      </c>
      <c r="O20" s="22"/>
      <c r="P20" s="22"/>
      <c r="Q20" s="22"/>
      <c r="R20" s="153">
        <f t="shared" si="6"/>
        <v>0</v>
      </c>
      <c r="S20" s="153">
        <f t="shared" si="7"/>
        <v>0</v>
      </c>
      <c r="T20" s="154">
        <f t="shared" si="8"/>
        <v>0</v>
      </c>
      <c r="U20" s="22"/>
      <c r="V20" s="22"/>
      <c r="W20" s="22"/>
      <c r="X20" s="153">
        <f t="shared" si="9"/>
        <v>0</v>
      </c>
      <c r="Y20" s="153">
        <f t="shared" si="10"/>
        <v>0</v>
      </c>
      <c r="Z20" s="154">
        <f t="shared" si="11"/>
        <v>0</v>
      </c>
      <c r="AA20" s="22"/>
      <c r="AB20" s="22"/>
      <c r="AC20" s="22"/>
      <c r="AD20" s="153">
        <f t="shared" si="12"/>
        <v>0</v>
      </c>
      <c r="AE20" s="153">
        <f t="shared" si="13"/>
        <v>0</v>
      </c>
      <c r="AF20" s="154">
        <f t="shared" si="14"/>
        <v>0</v>
      </c>
    </row>
    <row r="21" spans="1:32" x14ac:dyDescent="0.3">
      <c r="A21" s="22">
        <v>18</v>
      </c>
      <c r="B21" s="155"/>
      <c r="C21" s="22"/>
      <c r="D21" s="22"/>
      <c r="E21" s="22"/>
      <c r="F21" s="153">
        <f t="shared" si="0"/>
        <v>0</v>
      </c>
      <c r="G21" s="153">
        <f t="shared" si="1"/>
        <v>0</v>
      </c>
      <c r="H21" s="154">
        <f t="shared" si="2"/>
        <v>0</v>
      </c>
      <c r="I21" s="108"/>
      <c r="J21" s="22"/>
      <c r="K21" s="22"/>
      <c r="L21" s="153">
        <f t="shared" si="3"/>
        <v>0</v>
      </c>
      <c r="M21" s="153">
        <f t="shared" si="4"/>
        <v>0</v>
      </c>
      <c r="N21" s="154">
        <f t="shared" si="5"/>
        <v>0</v>
      </c>
      <c r="O21" s="22"/>
      <c r="P21" s="22"/>
      <c r="Q21" s="22"/>
      <c r="R21" s="153">
        <f t="shared" si="6"/>
        <v>0</v>
      </c>
      <c r="S21" s="153">
        <f t="shared" si="7"/>
        <v>0</v>
      </c>
      <c r="T21" s="154">
        <f t="shared" si="8"/>
        <v>0</v>
      </c>
      <c r="U21" s="22"/>
      <c r="V21" s="22"/>
      <c r="W21" s="22"/>
      <c r="X21" s="153">
        <f t="shared" si="9"/>
        <v>0</v>
      </c>
      <c r="Y21" s="153">
        <f t="shared" si="10"/>
        <v>0</v>
      </c>
      <c r="Z21" s="154">
        <f t="shared" si="11"/>
        <v>0</v>
      </c>
      <c r="AA21" s="22"/>
      <c r="AB21" s="22"/>
      <c r="AC21" s="22"/>
      <c r="AD21" s="153">
        <f t="shared" si="12"/>
        <v>0</v>
      </c>
      <c r="AE21" s="153">
        <f t="shared" si="13"/>
        <v>0</v>
      </c>
      <c r="AF21" s="154">
        <f t="shared" si="14"/>
        <v>0</v>
      </c>
    </row>
    <row r="22" spans="1:32" x14ac:dyDescent="0.3">
      <c r="A22" s="22">
        <v>19</v>
      </c>
      <c r="B22" s="155"/>
      <c r="C22" s="22"/>
      <c r="D22" s="22"/>
      <c r="E22" s="22"/>
      <c r="F22" s="153">
        <f t="shared" si="0"/>
        <v>0</v>
      </c>
      <c r="G22" s="153">
        <f t="shared" si="1"/>
        <v>0</v>
      </c>
      <c r="H22" s="154">
        <f t="shared" si="2"/>
        <v>0</v>
      </c>
      <c r="I22" s="108"/>
      <c r="J22" s="22"/>
      <c r="K22" s="22"/>
      <c r="L22" s="153">
        <f t="shared" si="3"/>
        <v>0</v>
      </c>
      <c r="M22" s="153">
        <f t="shared" si="4"/>
        <v>0</v>
      </c>
      <c r="N22" s="154">
        <f t="shared" si="5"/>
        <v>0</v>
      </c>
      <c r="O22" s="22"/>
      <c r="P22" s="22"/>
      <c r="Q22" s="22"/>
      <c r="R22" s="153">
        <f t="shared" si="6"/>
        <v>0</v>
      </c>
      <c r="S22" s="153">
        <f t="shared" si="7"/>
        <v>0</v>
      </c>
      <c r="T22" s="154">
        <f t="shared" si="8"/>
        <v>0</v>
      </c>
      <c r="U22" s="22"/>
      <c r="V22" s="22"/>
      <c r="W22" s="22"/>
      <c r="X22" s="153">
        <f t="shared" si="9"/>
        <v>0</v>
      </c>
      <c r="Y22" s="153">
        <f t="shared" si="10"/>
        <v>0</v>
      </c>
      <c r="Z22" s="154">
        <f t="shared" si="11"/>
        <v>0</v>
      </c>
      <c r="AA22" s="22"/>
      <c r="AB22" s="22"/>
      <c r="AC22" s="22"/>
      <c r="AD22" s="153">
        <f t="shared" si="12"/>
        <v>0</v>
      </c>
      <c r="AE22" s="153">
        <f t="shared" si="13"/>
        <v>0</v>
      </c>
      <c r="AF22" s="154">
        <f t="shared" si="14"/>
        <v>0</v>
      </c>
    </row>
    <row r="23" spans="1:32" x14ac:dyDescent="0.3">
      <c r="A23" s="22">
        <v>20</v>
      </c>
      <c r="B23" s="155"/>
      <c r="C23" s="22"/>
      <c r="D23" s="22"/>
      <c r="E23" s="22"/>
      <c r="F23" s="153">
        <f t="shared" si="0"/>
        <v>0</v>
      </c>
      <c r="G23" s="153">
        <f t="shared" si="1"/>
        <v>0</v>
      </c>
      <c r="H23" s="154">
        <f t="shared" si="2"/>
        <v>0</v>
      </c>
      <c r="I23" s="108"/>
      <c r="J23" s="22"/>
      <c r="K23" s="22"/>
      <c r="L23" s="153">
        <f t="shared" si="3"/>
        <v>0</v>
      </c>
      <c r="M23" s="153">
        <f t="shared" si="4"/>
        <v>0</v>
      </c>
      <c r="N23" s="154">
        <f t="shared" si="5"/>
        <v>0</v>
      </c>
      <c r="O23" s="22"/>
      <c r="P23" s="22"/>
      <c r="Q23" s="22"/>
      <c r="R23" s="153">
        <f t="shared" si="6"/>
        <v>0</v>
      </c>
      <c r="S23" s="153">
        <f t="shared" si="7"/>
        <v>0</v>
      </c>
      <c r="T23" s="154">
        <f t="shared" si="8"/>
        <v>0</v>
      </c>
      <c r="U23" s="22"/>
      <c r="V23" s="22"/>
      <c r="W23" s="22"/>
      <c r="X23" s="153">
        <f t="shared" si="9"/>
        <v>0</v>
      </c>
      <c r="Y23" s="153">
        <f t="shared" si="10"/>
        <v>0</v>
      </c>
      <c r="Z23" s="154">
        <f t="shared" si="11"/>
        <v>0</v>
      </c>
      <c r="AA23" s="22"/>
      <c r="AB23" s="22"/>
      <c r="AC23" s="22"/>
      <c r="AD23" s="153">
        <f t="shared" si="12"/>
        <v>0</v>
      </c>
      <c r="AE23" s="153">
        <f t="shared" si="13"/>
        <v>0</v>
      </c>
      <c r="AF23" s="154">
        <f t="shared" si="14"/>
        <v>0</v>
      </c>
    </row>
    <row r="24" spans="1:32" x14ac:dyDescent="0.3">
      <c r="A24" s="22">
        <v>21</v>
      </c>
      <c r="B24" s="155"/>
      <c r="C24" s="22"/>
      <c r="D24" s="22"/>
      <c r="E24" s="22"/>
      <c r="F24" s="153">
        <f t="shared" si="0"/>
        <v>0</v>
      </c>
      <c r="G24" s="153">
        <f t="shared" si="1"/>
        <v>0</v>
      </c>
      <c r="H24" s="154">
        <f t="shared" si="2"/>
        <v>0</v>
      </c>
      <c r="I24" s="108"/>
      <c r="J24" s="22"/>
      <c r="K24" s="22"/>
      <c r="L24" s="153">
        <f t="shared" si="3"/>
        <v>0</v>
      </c>
      <c r="M24" s="153">
        <f t="shared" si="4"/>
        <v>0</v>
      </c>
      <c r="N24" s="154">
        <f t="shared" si="5"/>
        <v>0</v>
      </c>
      <c r="O24" s="22"/>
      <c r="P24" s="22"/>
      <c r="Q24" s="22"/>
      <c r="R24" s="153">
        <f t="shared" si="6"/>
        <v>0</v>
      </c>
      <c r="S24" s="153">
        <f t="shared" si="7"/>
        <v>0</v>
      </c>
      <c r="T24" s="154">
        <f t="shared" si="8"/>
        <v>0</v>
      </c>
      <c r="U24" s="22"/>
      <c r="V24" s="22"/>
      <c r="W24" s="22"/>
      <c r="X24" s="153">
        <f t="shared" si="9"/>
        <v>0</v>
      </c>
      <c r="Y24" s="153">
        <f t="shared" si="10"/>
        <v>0</v>
      </c>
      <c r="Z24" s="154">
        <f t="shared" si="11"/>
        <v>0</v>
      </c>
      <c r="AA24" s="22"/>
      <c r="AB24" s="22"/>
      <c r="AC24" s="22"/>
      <c r="AD24" s="153">
        <f t="shared" si="12"/>
        <v>0</v>
      </c>
      <c r="AE24" s="153">
        <f t="shared" si="13"/>
        <v>0</v>
      </c>
      <c r="AF24" s="154">
        <f t="shared" si="14"/>
        <v>0</v>
      </c>
    </row>
    <row r="25" spans="1:32" x14ac:dyDescent="0.3">
      <c r="A25" s="22">
        <v>22</v>
      </c>
      <c r="B25" s="155"/>
      <c r="C25" s="22"/>
      <c r="D25" s="22"/>
      <c r="E25" s="22"/>
      <c r="F25" s="153">
        <f t="shared" si="0"/>
        <v>0</v>
      </c>
      <c r="G25" s="153">
        <f t="shared" si="1"/>
        <v>0</v>
      </c>
      <c r="H25" s="154">
        <f t="shared" si="2"/>
        <v>0</v>
      </c>
      <c r="I25" s="108"/>
      <c r="J25" s="22"/>
      <c r="K25" s="22"/>
      <c r="L25" s="153">
        <f t="shared" si="3"/>
        <v>0</v>
      </c>
      <c r="M25" s="153">
        <f t="shared" si="4"/>
        <v>0</v>
      </c>
      <c r="N25" s="154">
        <f t="shared" si="5"/>
        <v>0</v>
      </c>
      <c r="O25" s="22"/>
      <c r="P25" s="22"/>
      <c r="Q25" s="22"/>
      <c r="R25" s="153">
        <f t="shared" si="6"/>
        <v>0</v>
      </c>
      <c r="S25" s="153">
        <f t="shared" si="7"/>
        <v>0</v>
      </c>
      <c r="T25" s="154">
        <f t="shared" si="8"/>
        <v>0</v>
      </c>
      <c r="U25" s="22"/>
      <c r="V25" s="22"/>
      <c r="W25" s="22"/>
      <c r="X25" s="153">
        <f t="shared" si="9"/>
        <v>0</v>
      </c>
      <c r="Y25" s="153">
        <f t="shared" si="10"/>
        <v>0</v>
      </c>
      <c r="Z25" s="154">
        <f t="shared" si="11"/>
        <v>0</v>
      </c>
      <c r="AA25" s="22"/>
      <c r="AB25" s="22"/>
      <c r="AC25" s="22"/>
      <c r="AD25" s="153">
        <f t="shared" si="12"/>
        <v>0</v>
      </c>
      <c r="AE25" s="153">
        <f t="shared" si="13"/>
        <v>0</v>
      </c>
      <c r="AF25" s="154">
        <f t="shared" si="14"/>
        <v>0</v>
      </c>
    </row>
    <row r="26" spans="1:32" x14ac:dyDescent="0.3">
      <c r="A26" s="22">
        <v>23</v>
      </c>
      <c r="B26" s="155"/>
      <c r="C26" s="22"/>
      <c r="D26" s="22"/>
      <c r="E26" s="22"/>
      <c r="F26" s="153">
        <f t="shared" si="0"/>
        <v>0</v>
      </c>
      <c r="G26" s="153">
        <f t="shared" si="1"/>
        <v>0</v>
      </c>
      <c r="H26" s="154">
        <f t="shared" si="2"/>
        <v>0</v>
      </c>
      <c r="I26" s="108"/>
      <c r="J26" s="22"/>
      <c r="K26" s="22"/>
      <c r="L26" s="153">
        <f t="shared" si="3"/>
        <v>0</v>
      </c>
      <c r="M26" s="153">
        <f t="shared" si="4"/>
        <v>0</v>
      </c>
      <c r="N26" s="154">
        <f t="shared" si="5"/>
        <v>0</v>
      </c>
      <c r="O26" s="22"/>
      <c r="P26" s="22"/>
      <c r="Q26" s="22"/>
      <c r="R26" s="153">
        <f t="shared" si="6"/>
        <v>0</v>
      </c>
      <c r="S26" s="153">
        <f t="shared" si="7"/>
        <v>0</v>
      </c>
      <c r="T26" s="154">
        <f t="shared" si="8"/>
        <v>0</v>
      </c>
      <c r="U26" s="22"/>
      <c r="V26" s="22"/>
      <c r="W26" s="22"/>
      <c r="X26" s="153">
        <f t="shared" si="9"/>
        <v>0</v>
      </c>
      <c r="Y26" s="153">
        <f t="shared" si="10"/>
        <v>0</v>
      </c>
      <c r="Z26" s="154">
        <f t="shared" si="11"/>
        <v>0</v>
      </c>
      <c r="AA26" s="22"/>
      <c r="AB26" s="22"/>
      <c r="AC26" s="22"/>
      <c r="AD26" s="153">
        <f t="shared" si="12"/>
        <v>0</v>
      </c>
      <c r="AE26" s="153">
        <f t="shared" si="13"/>
        <v>0</v>
      </c>
      <c r="AF26" s="154">
        <f t="shared" si="14"/>
        <v>0</v>
      </c>
    </row>
    <row r="27" spans="1:32" x14ac:dyDescent="0.3">
      <c r="A27" s="22">
        <v>24</v>
      </c>
      <c r="B27" s="155"/>
      <c r="C27" s="22"/>
      <c r="D27" s="22"/>
      <c r="E27" s="22"/>
      <c r="F27" s="153">
        <f t="shared" si="0"/>
        <v>0</v>
      </c>
      <c r="G27" s="153">
        <f t="shared" si="1"/>
        <v>0</v>
      </c>
      <c r="H27" s="154">
        <f t="shared" si="2"/>
        <v>0</v>
      </c>
      <c r="I27" s="108"/>
      <c r="J27" s="22"/>
      <c r="K27" s="22"/>
      <c r="L27" s="153">
        <f t="shared" si="3"/>
        <v>0</v>
      </c>
      <c r="M27" s="153">
        <f t="shared" si="4"/>
        <v>0</v>
      </c>
      <c r="N27" s="154">
        <f t="shared" si="5"/>
        <v>0</v>
      </c>
      <c r="O27" s="22"/>
      <c r="P27" s="22"/>
      <c r="Q27" s="22"/>
      <c r="R27" s="153">
        <f t="shared" si="6"/>
        <v>0</v>
      </c>
      <c r="S27" s="153">
        <f t="shared" si="7"/>
        <v>0</v>
      </c>
      <c r="T27" s="154">
        <f t="shared" si="8"/>
        <v>0</v>
      </c>
      <c r="U27" s="22"/>
      <c r="V27" s="22"/>
      <c r="W27" s="22"/>
      <c r="X27" s="153">
        <f t="shared" si="9"/>
        <v>0</v>
      </c>
      <c r="Y27" s="153">
        <f t="shared" si="10"/>
        <v>0</v>
      </c>
      <c r="Z27" s="154">
        <f t="shared" si="11"/>
        <v>0</v>
      </c>
      <c r="AA27" s="22"/>
      <c r="AB27" s="22"/>
      <c r="AC27" s="22"/>
      <c r="AD27" s="153">
        <f t="shared" si="12"/>
        <v>0</v>
      </c>
      <c r="AE27" s="153">
        <f t="shared" si="13"/>
        <v>0</v>
      </c>
      <c r="AF27" s="154">
        <f t="shared" si="14"/>
        <v>0</v>
      </c>
    </row>
    <row r="28" spans="1:32" x14ac:dyDescent="0.3">
      <c r="A28" s="22">
        <v>25</v>
      </c>
      <c r="B28" s="155"/>
      <c r="C28" s="22"/>
      <c r="D28" s="22"/>
      <c r="E28" s="22"/>
      <c r="F28" s="153">
        <f t="shared" si="0"/>
        <v>0</v>
      </c>
      <c r="G28" s="153">
        <f t="shared" si="1"/>
        <v>0</v>
      </c>
      <c r="H28" s="154">
        <f t="shared" si="2"/>
        <v>0</v>
      </c>
      <c r="I28" s="108"/>
      <c r="J28" s="22"/>
      <c r="K28" s="22"/>
      <c r="L28" s="153">
        <f t="shared" si="3"/>
        <v>0</v>
      </c>
      <c r="M28" s="153">
        <f t="shared" si="4"/>
        <v>0</v>
      </c>
      <c r="N28" s="154">
        <f t="shared" si="5"/>
        <v>0</v>
      </c>
      <c r="O28" s="22"/>
      <c r="P28" s="22"/>
      <c r="Q28" s="22"/>
      <c r="R28" s="153">
        <f t="shared" si="6"/>
        <v>0</v>
      </c>
      <c r="S28" s="153">
        <f t="shared" si="7"/>
        <v>0</v>
      </c>
      <c r="T28" s="154">
        <f t="shared" si="8"/>
        <v>0</v>
      </c>
      <c r="U28" s="22"/>
      <c r="V28" s="22"/>
      <c r="W28" s="22"/>
      <c r="X28" s="153">
        <f t="shared" si="9"/>
        <v>0</v>
      </c>
      <c r="Y28" s="153">
        <f t="shared" si="10"/>
        <v>0</v>
      </c>
      <c r="Z28" s="154">
        <f t="shared" si="11"/>
        <v>0</v>
      </c>
      <c r="AA28" s="22"/>
      <c r="AB28" s="22"/>
      <c r="AC28" s="22"/>
      <c r="AD28" s="153">
        <f t="shared" si="12"/>
        <v>0</v>
      </c>
      <c r="AE28" s="153">
        <f t="shared" si="13"/>
        <v>0</v>
      </c>
      <c r="AF28" s="154">
        <f t="shared" si="14"/>
        <v>0</v>
      </c>
    </row>
    <row r="29" spans="1:32" x14ac:dyDescent="0.3">
      <c r="A29" s="22">
        <v>26</v>
      </c>
      <c r="B29" s="155"/>
      <c r="C29" s="22"/>
      <c r="D29" s="22"/>
      <c r="E29" s="22"/>
      <c r="F29" s="153">
        <f t="shared" si="0"/>
        <v>0</v>
      </c>
      <c r="G29" s="153">
        <f t="shared" si="1"/>
        <v>0</v>
      </c>
      <c r="H29" s="154">
        <f t="shared" si="2"/>
        <v>0</v>
      </c>
      <c r="I29" s="108"/>
      <c r="J29" s="22"/>
      <c r="K29" s="22"/>
      <c r="L29" s="153">
        <f t="shared" si="3"/>
        <v>0</v>
      </c>
      <c r="M29" s="153">
        <f t="shared" si="4"/>
        <v>0</v>
      </c>
      <c r="N29" s="154">
        <f t="shared" si="5"/>
        <v>0</v>
      </c>
      <c r="O29" s="22"/>
      <c r="P29" s="22"/>
      <c r="Q29" s="22"/>
      <c r="R29" s="153">
        <f t="shared" si="6"/>
        <v>0</v>
      </c>
      <c r="S29" s="153">
        <f t="shared" si="7"/>
        <v>0</v>
      </c>
      <c r="T29" s="154">
        <f t="shared" si="8"/>
        <v>0</v>
      </c>
      <c r="U29" s="22"/>
      <c r="V29" s="22"/>
      <c r="W29" s="22"/>
      <c r="X29" s="153">
        <f t="shared" si="9"/>
        <v>0</v>
      </c>
      <c r="Y29" s="153">
        <f t="shared" si="10"/>
        <v>0</v>
      </c>
      <c r="Z29" s="154">
        <f t="shared" si="11"/>
        <v>0</v>
      </c>
      <c r="AA29" s="22"/>
      <c r="AB29" s="22"/>
      <c r="AC29" s="22"/>
      <c r="AD29" s="153">
        <f t="shared" si="12"/>
        <v>0</v>
      </c>
      <c r="AE29" s="153">
        <f t="shared" si="13"/>
        <v>0</v>
      </c>
      <c r="AF29" s="154">
        <f t="shared" si="14"/>
        <v>0</v>
      </c>
    </row>
    <row r="30" spans="1:32" x14ac:dyDescent="0.3">
      <c r="A30" s="22">
        <v>27</v>
      </c>
      <c r="B30" s="155"/>
      <c r="C30" s="22"/>
      <c r="D30" s="22"/>
      <c r="E30" s="22"/>
      <c r="F30" s="153">
        <f t="shared" si="0"/>
        <v>0</v>
      </c>
      <c r="G30" s="153">
        <f t="shared" si="1"/>
        <v>0</v>
      </c>
      <c r="H30" s="154">
        <f t="shared" si="2"/>
        <v>0</v>
      </c>
      <c r="I30" s="108"/>
      <c r="J30" s="22"/>
      <c r="K30" s="22"/>
      <c r="L30" s="153">
        <f t="shared" si="3"/>
        <v>0</v>
      </c>
      <c r="M30" s="153">
        <f t="shared" si="4"/>
        <v>0</v>
      </c>
      <c r="N30" s="154">
        <f t="shared" si="5"/>
        <v>0</v>
      </c>
      <c r="O30" s="22"/>
      <c r="P30" s="22"/>
      <c r="Q30" s="22"/>
      <c r="R30" s="153">
        <f t="shared" si="6"/>
        <v>0</v>
      </c>
      <c r="S30" s="153">
        <f t="shared" si="7"/>
        <v>0</v>
      </c>
      <c r="T30" s="154">
        <f t="shared" si="8"/>
        <v>0</v>
      </c>
      <c r="U30" s="22"/>
      <c r="V30" s="22"/>
      <c r="W30" s="22"/>
      <c r="X30" s="153">
        <f t="shared" si="9"/>
        <v>0</v>
      </c>
      <c r="Y30" s="153">
        <f t="shared" si="10"/>
        <v>0</v>
      </c>
      <c r="Z30" s="154">
        <f t="shared" si="11"/>
        <v>0</v>
      </c>
      <c r="AA30" s="22"/>
      <c r="AB30" s="22"/>
      <c r="AC30" s="22"/>
      <c r="AD30" s="153">
        <f t="shared" si="12"/>
        <v>0</v>
      </c>
      <c r="AE30" s="153">
        <f t="shared" si="13"/>
        <v>0</v>
      </c>
      <c r="AF30" s="154">
        <f t="shared" si="14"/>
        <v>0</v>
      </c>
    </row>
    <row r="31" spans="1:32" x14ac:dyDescent="0.3">
      <c r="A31" s="22">
        <v>28</v>
      </c>
      <c r="B31" s="155"/>
      <c r="C31" s="22"/>
      <c r="D31" s="22"/>
      <c r="E31" s="22"/>
      <c r="F31" s="153">
        <f t="shared" si="0"/>
        <v>0</v>
      </c>
      <c r="G31" s="153">
        <f t="shared" si="1"/>
        <v>0</v>
      </c>
      <c r="H31" s="154">
        <f t="shared" si="2"/>
        <v>0</v>
      </c>
      <c r="I31" s="108"/>
      <c r="J31" s="22"/>
      <c r="K31" s="22"/>
      <c r="L31" s="153">
        <f t="shared" si="3"/>
        <v>0</v>
      </c>
      <c r="M31" s="153">
        <f t="shared" si="4"/>
        <v>0</v>
      </c>
      <c r="N31" s="154">
        <f t="shared" si="5"/>
        <v>0</v>
      </c>
      <c r="O31" s="22"/>
      <c r="P31" s="22"/>
      <c r="Q31" s="22"/>
      <c r="R31" s="153">
        <f t="shared" si="6"/>
        <v>0</v>
      </c>
      <c r="S31" s="153">
        <f t="shared" si="7"/>
        <v>0</v>
      </c>
      <c r="T31" s="154">
        <f t="shared" si="8"/>
        <v>0</v>
      </c>
      <c r="U31" s="22"/>
      <c r="V31" s="22"/>
      <c r="W31" s="22"/>
      <c r="X31" s="153">
        <f t="shared" si="9"/>
        <v>0</v>
      </c>
      <c r="Y31" s="153">
        <f t="shared" si="10"/>
        <v>0</v>
      </c>
      <c r="Z31" s="154">
        <f t="shared" si="11"/>
        <v>0</v>
      </c>
      <c r="AA31" s="22"/>
      <c r="AB31" s="22"/>
      <c r="AC31" s="22"/>
      <c r="AD31" s="153">
        <f t="shared" si="12"/>
        <v>0</v>
      </c>
      <c r="AE31" s="153">
        <f t="shared" si="13"/>
        <v>0</v>
      </c>
      <c r="AF31" s="154">
        <f t="shared" si="14"/>
        <v>0</v>
      </c>
    </row>
    <row r="32" spans="1:32" x14ac:dyDescent="0.3">
      <c r="A32" s="22">
        <v>29</v>
      </c>
      <c r="B32" s="155"/>
      <c r="C32" s="22"/>
      <c r="D32" s="22"/>
      <c r="E32" s="22"/>
      <c r="F32" s="153">
        <f t="shared" si="0"/>
        <v>0</v>
      </c>
      <c r="G32" s="153">
        <f t="shared" si="1"/>
        <v>0</v>
      </c>
      <c r="H32" s="154">
        <f t="shared" si="2"/>
        <v>0</v>
      </c>
      <c r="I32" s="108"/>
      <c r="J32" s="22"/>
      <c r="K32" s="22"/>
      <c r="L32" s="153">
        <f t="shared" si="3"/>
        <v>0</v>
      </c>
      <c r="M32" s="153">
        <f t="shared" si="4"/>
        <v>0</v>
      </c>
      <c r="N32" s="154">
        <f t="shared" si="5"/>
        <v>0</v>
      </c>
      <c r="O32" s="22"/>
      <c r="P32" s="22"/>
      <c r="Q32" s="22"/>
      <c r="R32" s="153">
        <f t="shared" si="6"/>
        <v>0</v>
      </c>
      <c r="S32" s="153">
        <f t="shared" si="7"/>
        <v>0</v>
      </c>
      <c r="T32" s="154">
        <f t="shared" si="8"/>
        <v>0</v>
      </c>
      <c r="U32" s="22"/>
      <c r="V32" s="22"/>
      <c r="W32" s="22"/>
      <c r="X32" s="153">
        <f t="shared" si="9"/>
        <v>0</v>
      </c>
      <c r="Y32" s="153">
        <f t="shared" si="10"/>
        <v>0</v>
      </c>
      <c r="Z32" s="154">
        <f t="shared" si="11"/>
        <v>0</v>
      </c>
      <c r="AA32" s="22"/>
      <c r="AB32" s="22"/>
      <c r="AC32" s="22"/>
      <c r="AD32" s="153">
        <f t="shared" si="12"/>
        <v>0</v>
      </c>
      <c r="AE32" s="153">
        <f t="shared" si="13"/>
        <v>0</v>
      </c>
      <c r="AF32" s="154">
        <f t="shared" si="14"/>
        <v>0</v>
      </c>
    </row>
    <row r="33" spans="1:32" x14ac:dyDescent="0.3">
      <c r="A33" s="22">
        <v>30</v>
      </c>
      <c r="B33" s="155"/>
      <c r="C33" s="22"/>
      <c r="D33" s="22"/>
      <c r="E33" s="22"/>
      <c r="F33" s="153">
        <f t="shared" si="0"/>
        <v>0</v>
      </c>
      <c r="G33" s="153">
        <f t="shared" si="1"/>
        <v>0</v>
      </c>
      <c r="H33" s="154">
        <f t="shared" si="2"/>
        <v>0</v>
      </c>
      <c r="I33" s="108"/>
      <c r="J33" s="22"/>
      <c r="K33" s="22"/>
      <c r="L33" s="153">
        <f t="shared" si="3"/>
        <v>0</v>
      </c>
      <c r="M33" s="153">
        <f t="shared" si="4"/>
        <v>0</v>
      </c>
      <c r="N33" s="154">
        <f t="shared" si="5"/>
        <v>0</v>
      </c>
      <c r="O33" s="22"/>
      <c r="P33" s="22"/>
      <c r="Q33" s="22"/>
      <c r="R33" s="153">
        <f t="shared" si="6"/>
        <v>0</v>
      </c>
      <c r="S33" s="153">
        <f t="shared" si="7"/>
        <v>0</v>
      </c>
      <c r="T33" s="154">
        <f t="shared" si="8"/>
        <v>0</v>
      </c>
      <c r="U33" s="22"/>
      <c r="V33" s="22"/>
      <c r="W33" s="22"/>
      <c r="X33" s="153">
        <f t="shared" si="9"/>
        <v>0</v>
      </c>
      <c r="Y33" s="153">
        <f t="shared" si="10"/>
        <v>0</v>
      </c>
      <c r="Z33" s="154">
        <f t="shared" si="11"/>
        <v>0</v>
      </c>
      <c r="AA33" s="22"/>
      <c r="AB33" s="22"/>
      <c r="AC33" s="22"/>
      <c r="AD33" s="153">
        <f t="shared" si="12"/>
        <v>0</v>
      </c>
      <c r="AE33" s="153">
        <f t="shared" si="13"/>
        <v>0</v>
      </c>
      <c r="AF33" s="154">
        <f t="shared" si="14"/>
        <v>0</v>
      </c>
    </row>
    <row r="34" spans="1:32" x14ac:dyDescent="0.3">
      <c r="A34" s="22">
        <v>31</v>
      </c>
      <c r="B34" s="155"/>
      <c r="C34" s="22"/>
      <c r="D34" s="22"/>
      <c r="E34" s="22"/>
      <c r="F34" s="153">
        <f t="shared" si="0"/>
        <v>0</v>
      </c>
      <c r="G34" s="153">
        <f t="shared" si="1"/>
        <v>0</v>
      </c>
      <c r="H34" s="154">
        <f t="shared" si="2"/>
        <v>0</v>
      </c>
      <c r="I34" s="108"/>
      <c r="J34" s="22"/>
      <c r="K34" s="22"/>
      <c r="L34" s="153">
        <f t="shared" si="3"/>
        <v>0</v>
      </c>
      <c r="M34" s="153">
        <f t="shared" si="4"/>
        <v>0</v>
      </c>
      <c r="N34" s="154">
        <f t="shared" si="5"/>
        <v>0</v>
      </c>
      <c r="O34" s="22"/>
      <c r="P34" s="22"/>
      <c r="Q34" s="22"/>
      <c r="R34" s="153">
        <f t="shared" si="6"/>
        <v>0</v>
      </c>
      <c r="S34" s="153">
        <f t="shared" si="7"/>
        <v>0</v>
      </c>
      <c r="T34" s="154">
        <f t="shared" si="8"/>
        <v>0</v>
      </c>
      <c r="U34" s="22"/>
      <c r="V34" s="22"/>
      <c r="W34" s="22"/>
      <c r="X34" s="153">
        <f t="shared" si="9"/>
        <v>0</v>
      </c>
      <c r="Y34" s="153">
        <f t="shared" si="10"/>
        <v>0</v>
      </c>
      <c r="Z34" s="154">
        <f t="shared" si="11"/>
        <v>0</v>
      </c>
      <c r="AA34" s="22"/>
      <c r="AB34" s="22"/>
      <c r="AC34" s="22"/>
      <c r="AD34" s="153">
        <f t="shared" si="12"/>
        <v>0</v>
      </c>
      <c r="AE34" s="153">
        <f t="shared" si="13"/>
        <v>0</v>
      </c>
      <c r="AF34" s="154">
        <f t="shared" si="14"/>
        <v>0</v>
      </c>
    </row>
    <row r="35" spans="1:32" x14ac:dyDescent="0.3">
      <c r="A35" s="22">
        <v>32</v>
      </c>
      <c r="B35" s="155"/>
      <c r="C35" s="22"/>
      <c r="D35" s="22"/>
      <c r="E35" s="22"/>
      <c r="F35" s="153">
        <f t="shared" si="0"/>
        <v>0</v>
      </c>
      <c r="G35" s="153">
        <f t="shared" si="1"/>
        <v>0</v>
      </c>
      <c r="H35" s="154">
        <f t="shared" si="2"/>
        <v>0</v>
      </c>
      <c r="I35" s="108"/>
      <c r="J35" s="22"/>
      <c r="K35" s="22"/>
      <c r="L35" s="153">
        <f t="shared" si="3"/>
        <v>0</v>
      </c>
      <c r="M35" s="153">
        <f t="shared" si="4"/>
        <v>0</v>
      </c>
      <c r="N35" s="154">
        <f t="shared" si="5"/>
        <v>0</v>
      </c>
      <c r="O35" s="22"/>
      <c r="P35" s="22"/>
      <c r="Q35" s="22"/>
      <c r="R35" s="153">
        <f t="shared" si="6"/>
        <v>0</v>
      </c>
      <c r="S35" s="153">
        <f t="shared" si="7"/>
        <v>0</v>
      </c>
      <c r="T35" s="154">
        <f t="shared" si="8"/>
        <v>0</v>
      </c>
      <c r="U35" s="22"/>
      <c r="V35" s="22"/>
      <c r="W35" s="22"/>
      <c r="X35" s="153">
        <f t="shared" si="9"/>
        <v>0</v>
      </c>
      <c r="Y35" s="153">
        <f t="shared" si="10"/>
        <v>0</v>
      </c>
      <c r="Z35" s="154">
        <f t="shared" si="11"/>
        <v>0</v>
      </c>
      <c r="AA35" s="22"/>
      <c r="AB35" s="22"/>
      <c r="AC35" s="22"/>
      <c r="AD35" s="153">
        <f t="shared" si="12"/>
        <v>0</v>
      </c>
      <c r="AE35" s="153">
        <f t="shared" si="13"/>
        <v>0</v>
      </c>
      <c r="AF35" s="154">
        <f t="shared" si="14"/>
        <v>0</v>
      </c>
    </row>
    <row r="36" spans="1:32" x14ac:dyDescent="0.3">
      <c r="A36" s="22">
        <v>33</v>
      </c>
      <c r="B36" s="155"/>
      <c r="C36" s="22"/>
      <c r="D36" s="22"/>
      <c r="E36" s="22"/>
      <c r="F36" s="153">
        <f t="shared" si="0"/>
        <v>0</v>
      </c>
      <c r="G36" s="153">
        <f t="shared" si="1"/>
        <v>0</v>
      </c>
      <c r="H36" s="154">
        <f t="shared" si="2"/>
        <v>0</v>
      </c>
      <c r="I36" s="108"/>
      <c r="J36" s="22"/>
      <c r="K36" s="22"/>
      <c r="L36" s="153">
        <f t="shared" si="3"/>
        <v>0</v>
      </c>
      <c r="M36" s="153">
        <f t="shared" si="4"/>
        <v>0</v>
      </c>
      <c r="N36" s="154">
        <f t="shared" si="5"/>
        <v>0</v>
      </c>
      <c r="O36" s="22"/>
      <c r="P36" s="22"/>
      <c r="Q36" s="22"/>
      <c r="R36" s="153">
        <f t="shared" si="6"/>
        <v>0</v>
      </c>
      <c r="S36" s="153">
        <f t="shared" si="7"/>
        <v>0</v>
      </c>
      <c r="T36" s="154">
        <f t="shared" si="8"/>
        <v>0</v>
      </c>
      <c r="U36" s="22"/>
      <c r="V36" s="22"/>
      <c r="W36" s="22"/>
      <c r="X36" s="153">
        <f t="shared" si="9"/>
        <v>0</v>
      </c>
      <c r="Y36" s="153">
        <f t="shared" si="10"/>
        <v>0</v>
      </c>
      <c r="Z36" s="154">
        <f t="shared" si="11"/>
        <v>0</v>
      </c>
      <c r="AA36" s="22"/>
      <c r="AB36" s="22"/>
      <c r="AC36" s="22"/>
      <c r="AD36" s="153">
        <f t="shared" si="12"/>
        <v>0</v>
      </c>
      <c r="AE36" s="153">
        <f t="shared" si="13"/>
        <v>0</v>
      </c>
      <c r="AF36" s="154">
        <f t="shared" si="14"/>
        <v>0</v>
      </c>
    </row>
    <row r="37" spans="1:32" x14ac:dyDescent="0.3">
      <c r="A37" s="22">
        <v>34</v>
      </c>
      <c r="B37" s="155"/>
      <c r="C37" s="22"/>
      <c r="D37" s="22"/>
      <c r="E37" s="22"/>
      <c r="F37" s="153">
        <f t="shared" si="0"/>
        <v>0</v>
      </c>
      <c r="G37" s="153">
        <f t="shared" si="1"/>
        <v>0</v>
      </c>
      <c r="H37" s="154">
        <f t="shared" si="2"/>
        <v>0</v>
      </c>
      <c r="I37" s="108"/>
      <c r="J37" s="22"/>
      <c r="K37" s="22"/>
      <c r="L37" s="153">
        <f t="shared" si="3"/>
        <v>0</v>
      </c>
      <c r="M37" s="153">
        <f t="shared" si="4"/>
        <v>0</v>
      </c>
      <c r="N37" s="154">
        <f t="shared" si="5"/>
        <v>0</v>
      </c>
      <c r="O37" s="22"/>
      <c r="P37" s="22"/>
      <c r="Q37" s="22"/>
      <c r="R37" s="153">
        <f t="shared" si="6"/>
        <v>0</v>
      </c>
      <c r="S37" s="153">
        <f t="shared" si="7"/>
        <v>0</v>
      </c>
      <c r="T37" s="154">
        <f t="shared" si="8"/>
        <v>0</v>
      </c>
      <c r="U37" s="22"/>
      <c r="V37" s="22"/>
      <c r="W37" s="22"/>
      <c r="X37" s="153">
        <f t="shared" si="9"/>
        <v>0</v>
      </c>
      <c r="Y37" s="153">
        <f t="shared" si="10"/>
        <v>0</v>
      </c>
      <c r="Z37" s="154">
        <f t="shared" si="11"/>
        <v>0</v>
      </c>
      <c r="AA37" s="22"/>
      <c r="AB37" s="22"/>
      <c r="AC37" s="22"/>
      <c r="AD37" s="153">
        <f t="shared" si="12"/>
        <v>0</v>
      </c>
      <c r="AE37" s="153">
        <f t="shared" si="13"/>
        <v>0</v>
      </c>
      <c r="AF37" s="154">
        <f t="shared" si="14"/>
        <v>0</v>
      </c>
    </row>
    <row r="38" spans="1:32" x14ac:dyDescent="0.3">
      <c r="A38" s="22">
        <v>35</v>
      </c>
      <c r="B38" s="155"/>
      <c r="C38" s="22"/>
      <c r="D38" s="22"/>
      <c r="E38" s="22"/>
      <c r="F38" s="153">
        <f t="shared" si="0"/>
        <v>0</v>
      </c>
      <c r="G38" s="153">
        <f t="shared" si="1"/>
        <v>0</v>
      </c>
      <c r="H38" s="154">
        <f t="shared" si="2"/>
        <v>0</v>
      </c>
      <c r="I38" s="108"/>
      <c r="J38" s="22"/>
      <c r="K38" s="22"/>
      <c r="L38" s="153">
        <f t="shared" si="3"/>
        <v>0</v>
      </c>
      <c r="M38" s="153">
        <f t="shared" si="4"/>
        <v>0</v>
      </c>
      <c r="N38" s="154">
        <f t="shared" si="5"/>
        <v>0</v>
      </c>
      <c r="O38" s="22"/>
      <c r="P38" s="22"/>
      <c r="Q38" s="22"/>
      <c r="R38" s="153">
        <f t="shared" si="6"/>
        <v>0</v>
      </c>
      <c r="S38" s="153">
        <f t="shared" si="7"/>
        <v>0</v>
      </c>
      <c r="T38" s="154">
        <f t="shared" si="8"/>
        <v>0</v>
      </c>
      <c r="U38" s="22"/>
      <c r="V38" s="22"/>
      <c r="W38" s="22"/>
      <c r="X38" s="153">
        <f t="shared" si="9"/>
        <v>0</v>
      </c>
      <c r="Y38" s="153">
        <f t="shared" si="10"/>
        <v>0</v>
      </c>
      <c r="Z38" s="154">
        <f t="shared" si="11"/>
        <v>0</v>
      </c>
      <c r="AA38" s="22"/>
      <c r="AB38" s="22"/>
      <c r="AC38" s="22"/>
      <c r="AD38" s="153">
        <f t="shared" si="12"/>
        <v>0</v>
      </c>
      <c r="AE38" s="153">
        <f t="shared" si="13"/>
        <v>0</v>
      </c>
      <c r="AF38" s="154">
        <f t="shared" si="14"/>
        <v>0</v>
      </c>
    </row>
    <row r="39" spans="1:32" x14ac:dyDescent="0.3">
      <c r="A39" s="22">
        <v>36</v>
      </c>
      <c r="B39" s="155"/>
      <c r="C39" s="22"/>
      <c r="D39" s="22"/>
      <c r="E39" s="22"/>
      <c r="F39" s="153">
        <f t="shared" si="0"/>
        <v>0</v>
      </c>
      <c r="G39" s="153">
        <f t="shared" si="1"/>
        <v>0</v>
      </c>
      <c r="H39" s="154">
        <f t="shared" si="2"/>
        <v>0</v>
      </c>
      <c r="I39" s="108"/>
      <c r="J39" s="22"/>
      <c r="K39" s="22"/>
      <c r="L39" s="153">
        <f t="shared" si="3"/>
        <v>0</v>
      </c>
      <c r="M39" s="153">
        <f t="shared" si="4"/>
        <v>0</v>
      </c>
      <c r="N39" s="154">
        <f t="shared" si="5"/>
        <v>0</v>
      </c>
      <c r="O39" s="22"/>
      <c r="P39" s="22"/>
      <c r="Q39" s="22"/>
      <c r="R39" s="153">
        <f t="shared" si="6"/>
        <v>0</v>
      </c>
      <c r="S39" s="153">
        <f t="shared" si="7"/>
        <v>0</v>
      </c>
      <c r="T39" s="154">
        <f t="shared" si="8"/>
        <v>0</v>
      </c>
      <c r="U39" s="22"/>
      <c r="V39" s="22"/>
      <c r="W39" s="22"/>
      <c r="X39" s="153">
        <f t="shared" si="9"/>
        <v>0</v>
      </c>
      <c r="Y39" s="153">
        <f t="shared" si="10"/>
        <v>0</v>
      </c>
      <c r="Z39" s="154">
        <f t="shared" si="11"/>
        <v>0</v>
      </c>
      <c r="AA39" s="22"/>
      <c r="AB39" s="22"/>
      <c r="AC39" s="22"/>
      <c r="AD39" s="153">
        <f t="shared" si="12"/>
        <v>0</v>
      </c>
      <c r="AE39" s="153">
        <f t="shared" si="13"/>
        <v>0</v>
      </c>
      <c r="AF39" s="154">
        <f t="shared" si="14"/>
        <v>0</v>
      </c>
    </row>
    <row r="40" spans="1:32" x14ac:dyDescent="0.3">
      <c r="A40" s="22">
        <v>37</v>
      </c>
      <c r="B40" s="155"/>
      <c r="C40" s="22"/>
      <c r="D40" s="22"/>
      <c r="E40" s="22"/>
      <c r="F40" s="153">
        <f t="shared" si="0"/>
        <v>0</v>
      </c>
      <c r="G40" s="153">
        <f t="shared" si="1"/>
        <v>0</v>
      </c>
      <c r="H40" s="154">
        <f t="shared" si="2"/>
        <v>0</v>
      </c>
      <c r="I40" s="108"/>
      <c r="J40" s="22"/>
      <c r="K40" s="22"/>
      <c r="L40" s="153">
        <f t="shared" si="3"/>
        <v>0</v>
      </c>
      <c r="M40" s="153">
        <f t="shared" si="4"/>
        <v>0</v>
      </c>
      <c r="N40" s="154">
        <f t="shared" si="5"/>
        <v>0</v>
      </c>
      <c r="O40" s="22"/>
      <c r="P40" s="22"/>
      <c r="Q40" s="22"/>
      <c r="R40" s="153">
        <f t="shared" si="6"/>
        <v>0</v>
      </c>
      <c r="S40" s="153">
        <f t="shared" si="7"/>
        <v>0</v>
      </c>
      <c r="T40" s="154">
        <f t="shared" si="8"/>
        <v>0</v>
      </c>
      <c r="U40" s="22"/>
      <c r="V40" s="22"/>
      <c r="W40" s="22"/>
      <c r="X40" s="153">
        <f t="shared" si="9"/>
        <v>0</v>
      </c>
      <c r="Y40" s="153">
        <f t="shared" si="10"/>
        <v>0</v>
      </c>
      <c r="Z40" s="154">
        <f t="shared" si="11"/>
        <v>0</v>
      </c>
      <c r="AA40" s="22"/>
      <c r="AB40" s="22"/>
      <c r="AC40" s="22"/>
      <c r="AD40" s="153">
        <f t="shared" si="12"/>
        <v>0</v>
      </c>
      <c r="AE40" s="153">
        <f t="shared" si="13"/>
        <v>0</v>
      </c>
      <c r="AF40" s="154">
        <f t="shared" si="14"/>
        <v>0</v>
      </c>
    </row>
    <row r="41" spans="1:32" x14ac:dyDescent="0.3">
      <c r="A41" s="22">
        <v>38</v>
      </c>
      <c r="B41" s="155"/>
      <c r="C41" s="22"/>
      <c r="D41" s="22"/>
      <c r="E41" s="22"/>
      <c r="F41" s="153">
        <f t="shared" si="0"/>
        <v>0</v>
      </c>
      <c r="G41" s="153">
        <f t="shared" si="1"/>
        <v>0</v>
      </c>
      <c r="H41" s="154">
        <f t="shared" si="2"/>
        <v>0</v>
      </c>
      <c r="I41" s="108"/>
      <c r="J41" s="22"/>
      <c r="K41" s="22"/>
      <c r="L41" s="153">
        <f t="shared" si="3"/>
        <v>0</v>
      </c>
      <c r="M41" s="153">
        <f t="shared" si="4"/>
        <v>0</v>
      </c>
      <c r="N41" s="154">
        <f t="shared" si="5"/>
        <v>0</v>
      </c>
      <c r="O41" s="22"/>
      <c r="P41" s="22"/>
      <c r="Q41" s="22"/>
      <c r="R41" s="153">
        <f t="shared" si="6"/>
        <v>0</v>
      </c>
      <c r="S41" s="153">
        <f t="shared" si="7"/>
        <v>0</v>
      </c>
      <c r="T41" s="154">
        <f t="shared" si="8"/>
        <v>0</v>
      </c>
      <c r="U41" s="22"/>
      <c r="V41" s="22"/>
      <c r="W41" s="22"/>
      <c r="X41" s="153">
        <f t="shared" si="9"/>
        <v>0</v>
      </c>
      <c r="Y41" s="153">
        <f t="shared" si="10"/>
        <v>0</v>
      </c>
      <c r="Z41" s="154">
        <f t="shared" si="11"/>
        <v>0</v>
      </c>
      <c r="AA41" s="22"/>
      <c r="AB41" s="22"/>
      <c r="AC41" s="22"/>
      <c r="AD41" s="153">
        <f t="shared" si="12"/>
        <v>0</v>
      </c>
      <c r="AE41" s="153">
        <f t="shared" si="13"/>
        <v>0</v>
      </c>
      <c r="AF41" s="154">
        <f t="shared" si="14"/>
        <v>0</v>
      </c>
    </row>
    <row r="42" spans="1:32" x14ac:dyDescent="0.3">
      <c r="A42" s="22">
        <v>39</v>
      </c>
      <c r="B42" s="155"/>
      <c r="C42" s="22"/>
      <c r="D42" s="22"/>
      <c r="E42" s="22"/>
      <c r="F42" s="153">
        <f t="shared" si="0"/>
        <v>0</v>
      </c>
      <c r="G42" s="153">
        <f t="shared" si="1"/>
        <v>0</v>
      </c>
      <c r="H42" s="154">
        <f t="shared" si="2"/>
        <v>0</v>
      </c>
      <c r="I42" s="108"/>
      <c r="J42" s="22"/>
      <c r="K42" s="22"/>
      <c r="L42" s="153">
        <f t="shared" si="3"/>
        <v>0</v>
      </c>
      <c r="M42" s="153">
        <f t="shared" si="4"/>
        <v>0</v>
      </c>
      <c r="N42" s="154">
        <f t="shared" si="5"/>
        <v>0</v>
      </c>
      <c r="O42" s="22"/>
      <c r="P42" s="22"/>
      <c r="Q42" s="22"/>
      <c r="R42" s="153">
        <f t="shared" si="6"/>
        <v>0</v>
      </c>
      <c r="S42" s="153">
        <f t="shared" si="7"/>
        <v>0</v>
      </c>
      <c r="T42" s="154">
        <f t="shared" si="8"/>
        <v>0</v>
      </c>
      <c r="U42" s="22"/>
      <c r="V42" s="22"/>
      <c r="W42" s="22"/>
      <c r="X42" s="153">
        <f t="shared" si="9"/>
        <v>0</v>
      </c>
      <c r="Y42" s="153">
        <f t="shared" si="10"/>
        <v>0</v>
      </c>
      <c r="Z42" s="154">
        <f t="shared" si="11"/>
        <v>0</v>
      </c>
      <c r="AA42" s="22"/>
      <c r="AB42" s="22"/>
      <c r="AC42" s="22"/>
      <c r="AD42" s="153">
        <f t="shared" si="12"/>
        <v>0</v>
      </c>
      <c r="AE42" s="153">
        <f t="shared" si="13"/>
        <v>0</v>
      </c>
      <c r="AF42" s="154">
        <f t="shared" si="14"/>
        <v>0</v>
      </c>
    </row>
    <row r="43" spans="1:32" x14ac:dyDescent="0.3">
      <c r="A43" s="22">
        <v>40</v>
      </c>
      <c r="B43" s="155"/>
      <c r="C43" s="22"/>
      <c r="D43" s="22"/>
      <c r="E43" s="22"/>
      <c r="F43" s="153">
        <f t="shared" si="0"/>
        <v>0</v>
      </c>
      <c r="G43" s="153">
        <f t="shared" si="1"/>
        <v>0</v>
      </c>
      <c r="H43" s="154">
        <f t="shared" si="2"/>
        <v>0</v>
      </c>
      <c r="I43" s="108"/>
      <c r="J43" s="22"/>
      <c r="K43" s="22"/>
      <c r="L43" s="153">
        <f t="shared" si="3"/>
        <v>0</v>
      </c>
      <c r="M43" s="153">
        <f t="shared" si="4"/>
        <v>0</v>
      </c>
      <c r="N43" s="154">
        <f t="shared" si="5"/>
        <v>0</v>
      </c>
      <c r="O43" s="22"/>
      <c r="P43" s="22"/>
      <c r="Q43" s="22"/>
      <c r="R43" s="153">
        <f t="shared" si="6"/>
        <v>0</v>
      </c>
      <c r="S43" s="153">
        <f t="shared" si="7"/>
        <v>0</v>
      </c>
      <c r="T43" s="154">
        <f t="shared" si="8"/>
        <v>0</v>
      </c>
      <c r="U43" s="22"/>
      <c r="V43" s="22"/>
      <c r="W43" s="22"/>
      <c r="X43" s="153">
        <f t="shared" si="9"/>
        <v>0</v>
      </c>
      <c r="Y43" s="153">
        <f t="shared" si="10"/>
        <v>0</v>
      </c>
      <c r="Z43" s="154">
        <f t="shared" si="11"/>
        <v>0</v>
      </c>
      <c r="AA43" s="22"/>
      <c r="AB43" s="22"/>
      <c r="AC43" s="22"/>
      <c r="AD43" s="153">
        <f t="shared" si="12"/>
        <v>0</v>
      </c>
      <c r="AE43" s="153">
        <f t="shared" si="13"/>
        <v>0</v>
      </c>
      <c r="AF43" s="154">
        <f t="shared" si="14"/>
        <v>0</v>
      </c>
    </row>
    <row r="44" spans="1:32" x14ac:dyDescent="0.3">
      <c r="A44" s="22">
        <v>41</v>
      </c>
      <c r="B44" s="155"/>
      <c r="C44" s="22"/>
      <c r="D44" s="22"/>
      <c r="E44" s="22"/>
      <c r="F44" s="153">
        <f t="shared" si="0"/>
        <v>0</v>
      </c>
      <c r="G44" s="153">
        <f t="shared" si="1"/>
        <v>0</v>
      </c>
      <c r="H44" s="154">
        <f t="shared" si="2"/>
        <v>0</v>
      </c>
      <c r="I44" s="108"/>
      <c r="J44" s="22"/>
      <c r="K44" s="22"/>
      <c r="L44" s="153">
        <f t="shared" si="3"/>
        <v>0</v>
      </c>
      <c r="M44" s="153">
        <f t="shared" si="4"/>
        <v>0</v>
      </c>
      <c r="N44" s="154">
        <f t="shared" si="5"/>
        <v>0</v>
      </c>
      <c r="O44" s="22"/>
      <c r="P44" s="22"/>
      <c r="Q44" s="22"/>
      <c r="R44" s="153">
        <f t="shared" si="6"/>
        <v>0</v>
      </c>
      <c r="S44" s="153">
        <f t="shared" si="7"/>
        <v>0</v>
      </c>
      <c r="T44" s="154">
        <f t="shared" si="8"/>
        <v>0</v>
      </c>
      <c r="U44" s="22"/>
      <c r="V44" s="22"/>
      <c r="W44" s="22"/>
      <c r="X44" s="153">
        <f t="shared" si="9"/>
        <v>0</v>
      </c>
      <c r="Y44" s="153">
        <f t="shared" si="10"/>
        <v>0</v>
      </c>
      <c r="Z44" s="154">
        <f t="shared" si="11"/>
        <v>0</v>
      </c>
      <c r="AA44" s="22"/>
      <c r="AB44" s="22"/>
      <c r="AC44" s="22"/>
      <c r="AD44" s="153">
        <f t="shared" si="12"/>
        <v>0</v>
      </c>
      <c r="AE44" s="153">
        <f t="shared" si="13"/>
        <v>0</v>
      </c>
      <c r="AF44" s="154">
        <f t="shared" si="14"/>
        <v>0</v>
      </c>
    </row>
    <row r="45" spans="1:32" x14ac:dyDescent="0.3">
      <c r="A45" s="22">
        <v>42</v>
      </c>
      <c r="B45" s="155"/>
      <c r="C45" s="22"/>
      <c r="D45" s="22"/>
      <c r="E45" s="22"/>
      <c r="F45" s="153">
        <f t="shared" si="0"/>
        <v>0</v>
      </c>
      <c r="G45" s="153">
        <f t="shared" si="1"/>
        <v>0</v>
      </c>
      <c r="H45" s="154">
        <f t="shared" si="2"/>
        <v>0</v>
      </c>
      <c r="I45" s="108"/>
      <c r="J45" s="22"/>
      <c r="K45" s="22"/>
      <c r="L45" s="153">
        <f t="shared" si="3"/>
        <v>0</v>
      </c>
      <c r="M45" s="153">
        <f t="shared" si="4"/>
        <v>0</v>
      </c>
      <c r="N45" s="154">
        <f t="shared" si="5"/>
        <v>0</v>
      </c>
      <c r="O45" s="22"/>
      <c r="P45" s="22"/>
      <c r="Q45" s="22"/>
      <c r="R45" s="153">
        <f t="shared" si="6"/>
        <v>0</v>
      </c>
      <c r="S45" s="153">
        <f t="shared" si="7"/>
        <v>0</v>
      </c>
      <c r="T45" s="154">
        <f t="shared" si="8"/>
        <v>0</v>
      </c>
      <c r="U45" s="22"/>
      <c r="V45" s="22"/>
      <c r="W45" s="22"/>
      <c r="X45" s="153">
        <f t="shared" si="9"/>
        <v>0</v>
      </c>
      <c r="Y45" s="153">
        <f t="shared" si="10"/>
        <v>0</v>
      </c>
      <c r="Z45" s="154">
        <f t="shared" si="11"/>
        <v>0</v>
      </c>
      <c r="AA45" s="22"/>
      <c r="AB45" s="22"/>
      <c r="AC45" s="22"/>
      <c r="AD45" s="153">
        <f t="shared" si="12"/>
        <v>0</v>
      </c>
      <c r="AE45" s="153">
        <f t="shared" si="13"/>
        <v>0</v>
      </c>
      <c r="AF45" s="154">
        <f t="shared" si="14"/>
        <v>0</v>
      </c>
    </row>
    <row r="46" spans="1:32" x14ac:dyDescent="0.3">
      <c r="A46" s="22">
        <v>43</v>
      </c>
      <c r="B46" s="155"/>
      <c r="C46" s="22"/>
      <c r="D46" s="22"/>
      <c r="E46" s="22"/>
      <c r="F46" s="153">
        <f t="shared" si="0"/>
        <v>0</v>
      </c>
      <c r="G46" s="153">
        <f t="shared" si="1"/>
        <v>0</v>
      </c>
      <c r="H46" s="154">
        <f t="shared" si="2"/>
        <v>0</v>
      </c>
      <c r="I46" s="108"/>
      <c r="J46" s="22"/>
      <c r="K46" s="22"/>
      <c r="L46" s="153">
        <f t="shared" si="3"/>
        <v>0</v>
      </c>
      <c r="M46" s="153">
        <f t="shared" si="4"/>
        <v>0</v>
      </c>
      <c r="N46" s="154">
        <f t="shared" si="5"/>
        <v>0</v>
      </c>
      <c r="O46" s="22"/>
      <c r="P46" s="22"/>
      <c r="Q46" s="22"/>
      <c r="R46" s="153">
        <f t="shared" si="6"/>
        <v>0</v>
      </c>
      <c r="S46" s="153">
        <f t="shared" si="7"/>
        <v>0</v>
      </c>
      <c r="T46" s="154">
        <f t="shared" si="8"/>
        <v>0</v>
      </c>
      <c r="U46" s="22"/>
      <c r="V46" s="22"/>
      <c r="W46" s="22"/>
      <c r="X46" s="153">
        <f t="shared" si="9"/>
        <v>0</v>
      </c>
      <c r="Y46" s="153">
        <f t="shared" si="10"/>
        <v>0</v>
      </c>
      <c r="Z46" s="154">
        <f t="shared" si="11"/>
        <v>0</v>
      </c>
      <c r="AA46" s="22"/>
      <c r="AB46" s="22"/>
      <c r="AC46" s="22"/>
      <c r="AD46" s="153">
        <f t="shared" si="12"/>
        <v>0</v>
      </c>
      <c r="AE46" s="153">
        <f t="shared" si="13"/>
        <v>0</v>
      </c>
      <c r="AF46" s="154">
        <f t="shared" si="14"/>
        <v>0</v>
      </c>
    </row>
    <row r="47" spans="1:32" x14ac:dyDescent="0.3">
      <c r="A47" s="22">
        <v>44</v>
      </c>
      <c r="B47" s="155"/>
      <c r="C47" s="22"/>
      <c r="D47" s="22"/>
      <c r="E47" s="22"/>
      <c r="F47" s="153">
        <f t="shared" si="0"/>
        <v>0</v>
      </c>
      <c r="G47" s="153">
        <f t="shared" si="1"/>
        <v>0</v>
      </c>
      <c r="H47" s="154">
        <f t="shared" si="2"/>
        <v>0</v>
      </c>
      <c r="I47" s="108"/>
      <c r="J47" s="22"/>
      <c r="K47" s="22"/>
      <c r="L47" s="153">
        <f t="shared" si="3"/>
        <v>0</v>
      </c>
      <c r="M47" s="153">
        <f t="shared" si="4"/>
        <v>0</v>
      </c>
      <c r="N47" s="154">
        <f t="shared" si="5"/>
        <v>0</v>
      </c>
      <c r="O47" s="22"/>
      <c r="P47" s="22"/>
      <c r="Q47" s="22"/>
      <c r="R47" s="153">
        <f t="shared" si="6"/>
        <v>0</v>
      </c>
      <c r="S47" s="153">
        <f t="shared" si="7"/>
        <v>0</v>
      </c>
      <c r="T47" s="154">
        <f t="shared" si="8"/>
        <v>0</v>
      </c>
      <c r="U47" s="22"/>
      <c r="V47" s="22"/>
      <c r="W47" s="22"/>
      <c r="X47" s="153">
        <f t="shared" si="9"/>
        <v>0</v>
      </c>
      <c r="Y47" s="153">
        <f t="shared" si="10"/>
        <v>0</v>
      </c>
      <c r="Z47" s="154">
        <f t="shared" si="11"/>
        <v>0</v>
      </c>
      <c r="AA47" s="22"/>
      <c r="AB47" s="22"/>
      <c r="AC47" s="22"/>
      <c r="AD47" s="153">
        <f t="shared" si="12"/>
        <v>0</v>
      </c>
      <c r="AE47" s="153">
        <f t="shared" si="13"/>
        <v>0</v>
      </c>
      <c r="AF47" s="154">
        <f t="shared" si="14"/>
        <v>0</v>
      </c>
    </row>
    <row r="48" spans="1:32" x14ac:dyDescent="0.3">
      <c r="A48" s="22">
        <v>45</v>
      </c>
      <c r="B48" s="155"/>
      <c r="C48" s="22"/>
      <c r="D48" s="22"/>
      <c r="E48" s="22"/>
      <c r="F48" s="153">
        <f t="shared" si="0"/>
        <v>0</v>
      </c>
      <c r="G48" s="153">
        <f t="shared" si="1"/>
        <v>0</v>
      </c>
      <c r="H48" s="154">
        <f t="shared" si="2"/>
        <v>0</v>
      </c>
      <c r="I48" s="108"/>
      <c r="J48" s="22"/>
      <c r="K48" s="22"/>
      <c r="L48" s="153">
        <f t="shared" si="3"/>
        <v>0</v>
      </c>
      <c r="M48" s="153">
        <f t="shared" si="4"/>
        <v>0</v>
      </c>
      <c r="N48" s="154">
        <f t="shared" si="5"/>
        <v>0</v>
      </c>
      <c r="O48" s="22"/>
      <c r="P48" s="22"/>
      <c r="Q48" s="22"/>
      <c r="R48" s="153">
        <f t="shared" si="6"/>
        <v>0</v>
      </c>
      <c r="S48" s="153">
        <f t="shared" si="7"/>
        <v>0</v>
      </c>
      <c r="T48" s="154">
        <f t="shared" si="8"/>
        <v>0</v>
      </c>
      <c r="U48" s="22"/>
      <c r="V48" s="22"/>
      <c r="W48" s="22"/>
      <c r="X48" s="153">
        <f t="shared" si="9"/>
        <v>0</v>
      </c>
      <c r="Y48" s="153">
        <f t="shared" si="10"/>
        <v>0</v>
      </c>
      <c r="Z48" s="154">
        <f t="shared" si="11"/>
        <v>0</v>
      </c>
      <c r="AA48" s="22"/>
      <c r="AB48" s="22"/>
      <c r="AC48" s="22"/>
      <c r="AD48" s="153">
        <f t="shared" si="12"/>
        <v>0</v>
      </c>
      <c r="AE48" s="153">
        <f t="shared" si="13"/>
        <v>0</v>
      </c>
      <c r="AF48" s="154">
        <f t="shared" si="14"/>
        <v>0</v>
      </c>
    </row>
    <row r="49" spans="1:32" x14ac:dyDescent="0.3">
      <c r="A49" s="22">
        <v>46</v>
      </c>
      <c r="B49" s="155"/>
      <c r="C49" s="22"/>
      <c r="D49" s="22"/>
      <c r="E49" s="22"/>
      <c r="F49" s="153">
        <f t="shared" si="0"/>
        <v>0</v>
      </c>
      <c r="G49" s="153">
        <f t="shared" si="1"/>
        <v>0</v>
      </c>
      <c r="H49" s="154">
        <f t="shared" si="2"/>
        <v>0</v>
      </c>
      <c r="I49" s="108"/>
      <c r="J49" s="22"/>
      <c r="K49" s="22"/>
      <c r="L49" s="153">
        <f t="shared" si="3"/>
        <v>0</v>
      </c>
      <c r="M49" s="153">
        <f t="shared" si="4"/>
        <v>0</v>
      </c>
      <c r="N49" s="154">
        <f t="shared" si="5"/>
        <v>0</v>
      </c>
      <c r="O49" s="22"/>
      <c r="P49" s="22"/>
      <c r="Q49" s="22"/>
      <c r="R49" s="153">
        <f t="shared" si="6"/>
        <v>0</v>
      </c>
      <c r="S49" s="153">
        <f t="shared" si="7"/>
        <v>0</v>
      </c>
      <c r="T49" s="154">
        <f t="shared" si="8"/>
        <v>0</v>
      </c>
      <c r="U49" s="22"/>
      <c r="V49" s="22"/>
      <c r="W49" s="22"/>
      <c r="X49" s="153">
        <f t="shared" si="9"/>
        <v>0</v>
      </c>
      <c r="Y49" s="153">
        <f t="shared" si="10"/>
        <v>0</v>
      </c>
      <c r="Z49" s="154">
        <f t="shared" si="11"/>
        <v>0</v>
      </c>
      <c r="AA49" s="22"/>
      <c r="AB49" s="22"/>
      <c r="AC49" s="22"/>
      <c r="AD49" s="153">
        <f t="shared" si="12"/>
        <v>0</v>
      </c>
      <c r="AE49" s="153">
        <f t="shared" si="13"/>
        <v>0</v>
      </c>
      <c r="AF49" s="154">
        <f t="shared" si="14"/>
        <v>0</v>
      </c>
    </row>
    <row r="50" spans="1:32" x14ac:dyDescent="0.3">
      <c r="A50" s="22">
        <v>47</v>
      </c>
      <c r="B50" s="155"/>
      <c r="C50" s="22"/>
      <c r="D50" s="22"/>
      <c r="E50" s="22"/>
      <c r="F50" s="153">
        <f t="shared" si="0"/>
        <v>0</v>
      </c>
      <c r="G50" s="153">
        <f t="shared" si="1"/>
        <v>0</v>
      </c>
      <c r="H50" s="154">
        <f t="shared" si="2"/>
        <v>0</v>
      </c>
      <c r="I50" s="108"/>
      <c r="J50" s="22"/>
      <c r="K50" s="22"/>
      <c r="L50" s="153">
        <f t="shared" si="3"/>
        <v>0</v>
      </c>
      <c r="M50" s="153">
        <f t="shared" si="4"/>
        <v>0</v>
      </c>
      <c r="N50" s="154">
        <f t="shared" si="5"/>
        <v>0</v>
      </c>
      <c r="O50" s="22"/>
      <c r="P50" s="22"/>
      <c r="Q50" s="22"/>
      <c r="R50" s="153">
        <f t="shared" si="6"/>
        <v>0</v>
      </c>
      <c r="S50" s="153">
        <f t="shared" si="7"/>
        <v>0</v>
      </c>
      <c r="T50" s="154">
        <f t="shared" si="8"/>
        <v>0</v>
      </c>
      <c r="U50" s="22"/>
      <c r="V50" s="22"/>
      <c r="W50" s="22"/>
      <c r="X50" s="153">
        <f t="shared" si="9"/>
        <v>0</v>
      </c>
      <c r="Y50" s="153">
        <f t="shared" si="10"/>
        <v>0</v>
      </c>
      <c r="Z50" s="154">
        <f t="shared" si="11"/>
        <v>0</v>
      </c>
      <c r="AA50" s="22"/>
      <c r="AB50" s="22"/>
      <c r="AC50" s="22"/>
      <c r="AD50" s="153">
        <f t="shared" si="12"/>
        <v>0</v>
      </c>
      <c r="AE50" s="153">
        <f t="shared" si="13"/>
        <v>0</v>
      </c>
      <c r="AF50" s="154">
        <f t="shared" si="14"/>
        <v>0</v>
      </c>
    </row>
    <row r="51" spans="1:32" x14ac:dyDescent="0.3">
      <c r="A51" s="22">
        <v>48</v>
      </c>
      <c r="B51" s="155"/>
      <c r="C51" s="22"/>
      <c r="D51" s="22"/>
      <c r="E51" s="22"/>
      <c r="F51" s="153">
        <f t="shared" si="0"/>
        <v>0</v>
      </c>
      <c r="G51" s="153">
        <f t="shared" si="1"/>
        <v>0</v>
      </c>
      <c r="H51" s="154">
        <f t="shared" si="2"/>
        <v>0</v>
      </c>
      <c r="I51" s="108"/>
      <c r="J51" s="22"/>
      <c r="K51" s="22"/>
      <c r="L51" s="153">
        <f t="shared" si="3"/>
        <v>0</v>
      </c>
      <c r="M51" s="153">
        <f t="shared" si="4"/>
        <v>0</v>
      </c>
      <c r="N51" s="154">
        <f t="shared" si="5"/>
        <v>0</v>
      </c>
      <c r="O51" s="22"/>
      <c r="P51" s="22"/>
      <c r="Q51" s="22"/>
      <c r="R51" s="153">
        <f t="shared" si="6"/>
        <v>0</v>
      </c>
      <c r="S51" s="153">
        <f t="shared" si="7"/>
        <v>0</v>
      </c>
      <c r="T51" s="154">
        <f t="shared" si="8"/>
        <v>0</v>
      </c>
      <c r="U51" s="22"/>
      <c r="V51" s="22"/>
      <c r="W51" s="22"/>
      <c r="X51" s="153">
        <f t="shared" si="9"/>
        <v>0</v>
      </c>
      <c r="Y51" s="153">
        <f t="shared" si="10"/>
        <v>0</v>
      </c>
      <c r="Z51" s="154">
        <f t="shared" si="11"/>
        <v>0</v>
      </c>
      <c r="AA51" s="22"/>
      <c r="AB51" s="22"/>
      <c r="AC51" s="22"/>
      <c r="AD51" s="153">
        <f t="shared" si="12"/>
        <v>0</v>
      </c>
      <c r="AE51" s="153">
        <f t="shared" si="13"/>
        <v>0</v>
      </c>
      <c r="AF51" s="154">
        <f t="shared" si="14"/>
        <v>0</v>
      </c>
    </row>
    <row r="52" spans="1:32" x14ac:dyDescent="0.3">
      <c r="A52" s="22">
        <v>49</v>
      </c>
      <c r="B52" s="155"/>
      <c r="C52" s="22"/>
      <c r="D52" s="22"/>
      <c r="E52" s="22"/>
      <c r="F52" s="153">
        <f t="shared" si="0"/>
        <v>0</v>
      </c>
      <c r="G52" s="153">
        <f t="shared" si="1"/>
        <v>0</v>
      </c>
      <c r="H52" s="154">
        <f t="shared" si="2"/>
        <v>0</v>
      </c>
      <c r="I52" s="108"/>
      <c r="J52" s="22"/>
      <c r="K52" s="22"/>
      <c r="L52" s="153">
        <f t="shared" si="3"/>
        <v>0</v>
      </c>
      <c r="M52" s="153">
        <f t="shared" si="4"/>
        <v>0</v>
      </c>
      <c r="N52" s="154">
        <f t="shared" si="5"/>
        <v>0</v>
      </c>
      <c r="O52" s="22"/>
      <c r="P52" s="22"/>
      <c r="Q52" s="22"/>
      <c r="R52" s="153">
        <f t="shared" si="6"/>
        <v>0</v>
      </c>
      <c r="S52" s="153">
        <f t="shared" si="7"/>
        <v>0</v>
      </c>
      <c r="T52" s="154">
        <f t="shared" si="8"/>
        <v>0</v>
      </c>
      <c r="U52" s="22"/>
      <c r="V52" s="22"/>
      <c r="W52" s="22"/>
      <c r="X52" s="153">
        <f t="shared" si="9"/>
        <v>0</v>
      </c>
      <c r="Y52" s="153">
        <f t="shared" si="10"/>
        <v>0</v>
      </c>
      <c r="Z52" s="154">
        <f t="shared" si="11"/>
        <v>0</v>
      </c>
      <c r="AA52" s="22"/>
      <c r="AB52" s="22"/>
      <c r="AC52" s="22"/>
      <c r="AD52" s="153">
        <f t="shared" si="12"/>
        <v>0</v>
      </c>
      <c r="AE52" s="153">
        <f t="shared" si="13"/>
        <v>0</v>
      </c>
      <c r="AF52" s="154">
        <f t="shared" si="14"/>
        <v>0</v>
      </c>
    </row>
    <row r="53" spans="1:32" x14ac:dyDescent="0.3">
      <c r="A53" s="22">
        <v>50</v>
      </c>
      <c r="B53" s="155"/>
      <c r="C53" s="22"/>
      <c r="D53" s="22"/>
      <c r="E53" s="22"/>
      <c r="F53" s="153">
        <f t="shared" si="0"/>
        <v>0</v>
      </c>
      <c r="G53" s="153">
        <f t="shared" si="1"/>
        <v>0</v>
      </c>
      <c r="H53" s="154">
        <f t="shared" si="2"/>
        <v>0</v>
      </c>
      <c r="I53" s="108"/>
      <c r="J53" s="22"/>
      <c r="K53" s="22"/>
      <c r="L53" s="153">
        <f t="shared" si="3"/>
        <v>0</v>
      </c>
      <c r="M53" s="153">
        <f t="shared" si="4"/>
        <v>0</v>
      </c>
      <c r="N53" s="154">
        <f t="shared" si="5"/>
        <v>0</v>
      </c>
      <c r="O53" s="22"/>
      <c r="P53" s="22"/>
      <c r="Q53" s="22"/>
      <c r="R53" s="153">
        <f t="shared" si="6"/>
        <v>0</v>
      </c>
      <c r="S53" s="153">
        <f t="shared" si="7"/>
        <v>0</v>
      </c>
      <c r="T53" s="154">
        <f t="shared" si="8"/>
        <v>0</v>
      </c>
      <c r="U53" s="22"/>
      <c r="V53" s="22"/>
      <c r="W53" s="22"/>
      <c r="X53" s="153">
        <f t="shared" si="9"/>
        <v>0</v>
      </c>
      <c r="Y53" s="153">
        <f t="shared" si="10"/>
        <v>0</v>
      </c>
      <c r="Z53" s="154">
        <f t="shared" si="11"/>
        <v>0</v>
      </c>
      <c r="AA53" s="22"/>
      <c r="AB53" s="22"/>
      <c r="AC53" s="22"/>
      <c r="AD53" s="153">
        <f t="shared" si="12"/>
        <v>0</v>
      </c>
      <c r="AE53" s="153">
        <f t="shared" si="13"/>
        <v>0</v>
      </c>
      <c r="AF53" s="154">
        <f t="shared" si="14"/>
        <v>0</v>
      </c>
    </row>
    <row r="54" spans="1:32" x14ac:dyDescent="0.3">
      <c r="A54" s="22">
        <v>51</v>
      </c>
      <c r="B54" s="155"/>
      <c r="C54" s="22"/>
      <c r="D54" s="22"/>
      <c r="E54" s="22"/>
      <c r="F54" s="153">
        <f t="shared" si="0"/>
        <v>0</v>
      </c>
      <c r="G54" s="153">
        <f t="shared" si="1"/>
        <v>0</v>
      </c>
      <c r="H54" s="154">
        <f t="shared" si="2"/>
        <v>0</v>
      </c>
      <c r="I54" s="108"/>
      <c r="J54" s="22"/>
      <c r="K54" s="22"/>
      <c r="L54" s="153">
        <f t="shared" si="3"/>
        <v>0</v>
      </c>
      <c r="M54" s="153">
        <f t="shared" si="4"/>
        <v>0</v>
      </c>
      <c r="N54" s="154">
        <f t="shared" si="5"/>
        <v>0</v>
      </c>
      <c r="O54" s="22"/>
      <c r="P54" s="22"/>
      <c r="Q54" s="22"/>
      <c r="R54" s="153">
        <f t="shared" si="6"/>
        <v>0</v>
      </c>
      <c r="S54" s="153">
        <f t="shared" si="7"/>
        <v>0</v>
      </c>
      <c r="T54" s="154">
        <f t="shared" si="8"/>
        <v>0</v>
      </c>
      <c r="U54" s="22"/>
      <c r="V54" s="22"/>
      <c r="W54" s="22"/>
      <c r="X54" s="153">
        <f t="shared" si="9"/>
        <v>0</v>
      </c>
      <c r="Y54" s="153">
        <f t="shared" si="10"/>
        <v>0</v>
      </c>
      <c r="Z54" s="154">
        <f t="shared" si="11"/>
        <v>0</v>
      </c>
      <c r="AA54" s="22"/>
      <c r="AB54" s="22"/>
      <c r="AC54" s="22"/>
      <c r="AD54" s="153">
        <f t="shared" si="12"/>
        <v>0</v>
      </c>
      <c r="AE54" s="153">
        <f t="shared" si="13"/>
        <v>0</v>
      </c>
      <c r="AF54" s="154">
        <f t="shared" si="14"/>
        <v>0</v>
      </c>
    </row>
    <row r="55" spans="1:32" x14ac:dyDescent="0.3">
      <c r="A55" s="22">
        <v>52</v>
      </c>
      <c r="B55" s="155"/>
      <c r="C55" s="22"/>
      <c r="D55" s="22"/>
      <c r="E55" s="22"/>
      <c r="F55" s="153">
        <f t="shared" si="0"/>
        <v>0</v>
      </c>
      <c r="G55" s="153">
        <f t="shared" si="1"/>
        <v>0</v>
      </c>
      <c r="H55" s="154">
        <f t="shared" si="2"/>
        <v>0</v>
      </c>
      <c r="I55" s="108"/>
      <c r="J55" s="22"/>
      <c r="K55" s="22"/>
      <c r="L55" s="153">
        <f t="shared" si="3"/>
        <v>0</v>
      </c>
      <c r="M55" s="153">
        <f t="shared" si="4"/>
        <v>0</v>
      </c>
      <c r="N55" s="154">
        <f t="shared" si="5"/>
        <v>0</v>
      </c>
      <c r="O55" s="22"/>
      <c r="P55" s="22"/>
      <c r="Q55" s="22"/>
      <c r="R55" s="153">
        <f t="shared" si="6"/>
        <v>0</v>
      </c>
      <c r="S55" s="153">
        <f t="shared" si="7"/>
        <v>0</v>
      </c>
      <c r="T55" s="154">
        <f t="shared" si="8"/>
        <v>0</v>
      </c>
      <c r="U55" s="22"/>
      <c r="V55" s="22"/>
      <c r="W55" s="22"/>
      <c r="X55" s="153">
        <f t="shared" si="9"/>
        <v>0</v>
      </c>
      <c r="Y55" s="153">
        <f t="shared" si="10"/>
        <v>0</v>
      </c>
      <c r="Z55" s="154">
        <f t="shared" si="11"/>
        <v>0</v>
      </c>
      <c r="AA55" s="22"/>
      <c r="AB55" s="22"/>
      <c r="AC55" s="22"/>
      <c r="AD55" s="153">
        <f t="shared" si="12"/>
        <v>0</v>
      </c>
      <c r="AE55" s="153">
        <f t="shared" si="13"/>
        <v>0</v>
      </c>
      <c r="AF55" s="154">
        <f t="shared" si="14"/>
        <v>0</v>
      </c>
    </row>
    <row r="56" spans="1:32" x14ac:dyDescent="0.3">
      <c r="A56" s="22">
        <v>53</v>
      </c>
      <c r="B56" s="155"/>
      <c r="C56" s="22"/>
      <c r="D56" s="22"/>
      <c r="E56" s="22"/>
      <c r="F56" s="153">
        <f t="shared" si="0"/>
        <v>0</v>
      </c>
      <c r="G56" s="153">
        <f t="shared" si="1"/>
        <v>0</v>
      </c>
      <c r="H56" s="154">
        <f t="shared" si="2"/>
        <v>0</v>
      </c>
      <c r="I56" s="108"/>
      <c r="J56" s="22"/>
      <c r="K56" s="22"/>
      <c r="L56" s="153">
        <f t="shared" si="3"/>
        <v>0</v>
      </c>
      <c r="M56" s="153">
        <f t="shared" si="4"/>
        <v>0</v>
      </c>
      <c r="N56" s="154">
        <f t="shared" si="5"/>
        <v>0</v>
      </c>
      <c r="O56" s="22"/>
      <c r="P56" s="22"/>
      <c r="Q56" s="22"/>
      <c r="R56" s="153">
        <f t="shared" si="6"/>
        <v>0</v>
      </c>
      <c r="S56" s="153">
        <f t="shared" si="7"/>
        <v>0</v>
      </c>
      <c r="T56" s="154">
        <f t="shared" si="8"/>
        <v>0</v>
      </c>
      <c r="U56" s="22"/>
      <c r="V56" s="22"/>
      <c r="W56" s="22"/>
      <c r="X56" s="153">
        <f t="shared" si="9"/>
        <v>0</v>
      </c>
      <c r="Y56" s="153">
        <f t="shared" si="10"/>
        <v>0</v>
      </c>
      <c r="Z56" s="154">
        <f t="shared" si="11"/>
        <v>0</v>
      </c>
      <c r="AA56" s="22"/>
      <c r="AB56" s="22"/>
      <c r="AC56" s="22"/>
      <c r="AD56" s="153">
        <f t="shared" si="12"/>
        <v>0</v>
      </c>
      <c r="AE56" s="153">
        <f t="shared" si="13"/>
        <v>0</v>
      </c>
      <c r="AF56" s="154">
        <f t="shared" si="14"/>
        <v>0</v>
      </c>
    </row>
    <row r="57" spans="1:32" x14ac:dyDescent="0.3">
      <c r="A57" s="22">
        <v>54</v>
      </c>
      <c r="B57" s="155"/>
      <c r="C57" s="22"/>
      <c r="D57" s="22"/>
      <c r="E57" s="22"/>
      <c r="F57" s="153">
        <f t="shared" si="0"/>
        <v>0</v>
      </c>
      <c r="G57" s="153">
        <f t="shared" si="1"/>
        <v>0</v>
      </c>
      <c r="H57" s="154">
        <f t="shared" si="2"/>
        <v>0</v>
      </c>
      <c r="I57" s="108"/>
      <c r="J57" s="22"/>
      <c r="K57" s="22"/>
      <c r="L57" s="153">
        <f t="shared" si="3"/>
        <v>0</v>
      </c>
      <c r="M57" s="153">
        <f t="shared" si="4"/>
        <v>0</v>
      </c>
      <c r="N57" s="154">
        <f t="shared" si="5"/>
        <v>0</v>
      </c>
      <c r="O57" s="22"/>
      <c r="P57" s="22"/>
      <c r="Q57" s="22"/>
      <c r="R57" s="153">
        <f t="shared" si="6"/>
        <v>0</v>
      </c>
      <c r="S57" s="153">
        <f t="shared" si="7"/>
        <v>0</v>
      </c>
      <c r="T57" s="154">
        <f t="shared" si="8"/>
        <v>0</v>
      </c>
      <c r="U57" s="22"/>
      <c r="V57" s="22"/>
      <c r="W57" s="22"/>
      <c r="X57" s="153">
        <f t="shared" si="9"/>
        <v>0</v>
      </c>
      <c r="Y57" s="153">
        <f t="shared" si="10"/>
        <v>0</v>
      </c>
      <c r="Z57" s="154">
        <f t="shared" si="11"/>
        <v>0</v>
      </c>
      <c r="AA57" s="22"/>
      <c r="AB57" s="22"/>
      <c r="AC57" s="22"/>
      <c r="AD57" s="153">
        <f t="shared" si="12"/>
        <v>0</v>
      </c>
      <c r="AE57" s="153">
        <f t="shared" si="13"/>
        <v>0</v>
      </c>
      <c r="AF57" s="154">
        <f t="shared" si="14"/>
        <v>0</v>
      </c>
    </row>
    <row r="58" spans="1:32" x14ac:dyDescent="0.3">
      <c r="A58" s="22">
        <v>55</v>
      </c>
      <c r="B58" s="155"/>
      <c r="C58" s="22"/>
      <c r="D58" s="22"/>
      <c r="E58" s="22"/>
      <c r="F58" s="153">
        <f t="shared" si="0"/>
        <v>0</v>
      </c>
      <c r="G58" s="153">
        <f t="shared" si="1"/>
        <v>0</v>
      </c>
      <c r="H58" s="154">
        <f t="shared" si="2"/>
        <v>0</v>
      </c>
      <c r="I58" s="108"/>
      <c r="J58" s="22"/>
      <c r="K58" s="22"/>
      <c r="L58" s="153">
        <f t="shared" si="3"/>
        <v>0</v>
      </c>
      <c r="M58" s="153">
        <f t="shared" si="4"/>
        <v>0</v>
      </c>
      <c r="N58" s="154">
        <f t="shared" si="5"/>
        <v>0</v>
      </c>
      <c r="O58" s="22"/>
      <c r="P58" s="22"/>
      <c r="Q58" s="22"/>
      <c r="R58" s="153">
        <f t="shared" si="6"/>
        <v>0</v>
      </c>
      <c r="S58" s="153">
        <f t="shared" si="7"/>
        <v>0</v>
      </c>
      <c r="T58" s="154">
        <f t="shared" si="8"/>
        <v>0</v>
      </c>
      <c r="U58" s="22"/>
      <c r="V58" s="22"/>
      <c r="W58" s="22"/>
      <c r="X58" s="153">
        <f t="shared" si="9"/>
        <v>0</v>
      </c>
      <c r="Y58" s="153">
        <f t="shared" si="10"/>
        <v>0</v>
      </c>
      <c r="Z58" s="154">
        <f t="shared" si="11"/>
        <v>0</v>
      </c>
      <c r="AA58" s="22"/>
      <c r="AB58" s="22"/>
      <c r="AC58" s="22"/>
      <c r="AD58" s="153">
        <f t="shared" si="12"/>
        <v>0</v>
      </c>
      <c r="AE58" s="153">
        <f t="shared" si="13"/>
        <v>0</v>
      </c>
      <c r="AF58" s="154">
        <f t="shared" si="14"/>
        <v>0</v>
      </c>
    </row>
    <row r="59" spans="1:32" x14ac:dyDescent="0.3">
      <c r="A59" s="22">
        <v>56</v>
      </c>
      <c r="B59" s="155"/>
      <c r="C59" s="22"/>
      <c r="D59" s="22"/>
      <c r="E59" s="22"/>
      <c r="F59" s="153">
        <f t="shared" si="0"/>
        <v>0</v>
      </c>
      <c r="G59" s="153">
        <f t="shared" si="1"/>
        <v>0</v>
      </c>
      <c r="H59" s="154">
        <f t="shared" si="2"/>
        <v>0</v>
      </c>
      <c r="I59" s="108"/>
      <c r="J59" s="22"/>
      <c r="K59" s="22"/>
      <c r="L59" s="153">
        <f t="shared" si="3"/>
        <v>0</v>
      </c>
      <c r="M59" s="153">
        <f t="shared" si="4"/>
        <v>0</v>
      </c>
      <c r="N59" s="154">
        <f t="shared" si="5"/>
        <v>0</v>
      </c>
      <c r="O59" s="22"/>
      <c r="P59" s="22"/>
      <c r="Q59" s="22"/>
      <c r="R59" s="153">
        <f t="shared" si="6"/>
        <v>0</v>
      </c>
      <c r="S59" s="153">
        <f t="shared" si="7"/>
        <v>0</v>
      </c>
      <c r="T59" s="154">
        <f t="shared" si="8"/>
        <v>0</v>
      </c>
      <c r="U59" s="22"/>
      <c r="V59" s="22"/>
      <c r="W59" s="22"/>
      <c r="X59" s="153">
        <f t="shared" si="9"/>
        <v>0</v>
      </c>
      <c r="Y59" s="153">
        <f t="shared" si="10"/>
        <v>0</v>
      </c>
      <c r="Z59" s="154">
        <f t="shared" si="11"/>
        <v>0</v>
      </c>
      <c r="AA59" s="22"/>
      <c r="AB59" s="22"/>
      <c r="AC59" s="22"/>
      <c r="AD59" s="153">
        <f t="shared" si="12"/>
        <v>0</v>
      </c>
      <c r="AE59" s="153">
        <f t="shared" si="13"/>
        <v>0</v>
      </c>
      <c r="AF59" s="154">
        <f t="shared" si="14"/>
        <v>0</v>
      </c>
    </row>
    <row r="60" spans="1:32" x14ac:dyDescent="0.3">
      <c r="A60" s="22">
        <v>57</v>
      </c>
      <c r="B60" s="155"/>
      <c r="C60" s="22"/>
      <c r="D60" s="22"/>
      <c r="E60" s="22"/>
      <c r="F60" s="153">
        <f t="shared" si="0"/>
        <v>0</v>
      </c>
      <c r="G60" s="153">
        <f t="shared" si="1"/>
        <v>0</v>
      </c>
      <c r="H60" s="154">
        <f t="shared" si="2"/>
        <v>0</v>
      </c>
      <c r="I60" s="108"/>
      <c r="J60" s="22"/>
      <c r="K60" s="22"/>
      <c r="L60" s="153">
        <f t="shared" si="3"/>
        <v>0</v>
      </c>
      <c r="M60" s="153">
        <f t="shared" si="4"/>
        <v>0</v>
      </c>
      <c r="N60" s="154">
        <f t="shared" si="5"/>
        <v>0</v>
      </c>
      <c r="O60" s="22"/>
      <c r="P60" s="22"/>
      <c r="Q60" s="22"/>
      <c r="R60" s="153">
        <f t="shared" si="6"/>
        <v>0</v>
      </c>
      <c r="S60" s="153">
        <f t="shared" si="7"/>
        <v>0</v>
      </c>
      <c r="T60" s="154">
        <f t="shared" si="8"/>
        <v>0</v>
      </c>
      <c r="U60" s="22"/>
      <c r="V60" s="22"/>
      <c r="W60" s="22"/>
      <c r="X60" s="153">
        <f t="shared" si="9"/>
        <v>0</v>
      </c>
      <c r="Y60" s="153">
        <f t="shared" si="10"/>
        <v>0</v>
      </c>
      <c r="Z60" s="154">
        <f t="shared" si="11"/>
        <v>0</v>
      </c>
      <c r="AA60" s="22"/>
      <c r="AB60" s="22"/>
      <c r="AC60" s="22"/>
      <c r="AD60" s="153">
        <f t="shared" si="12"/>
        <v>0</v>
      </c>
      <c r="AE60" s="153">
        <f t="shared" si="13"/>
        <v>0</v>
      </c>
      <c r="AF60" s="154">
        <f t="shared" si="14"/>
        <v>0</v>
      </c>
    </row>
    <row r="61" spans="1:32" x14ac:dyDescent="0.3">
      <c r="A61" s="22">
        <v>58</v>
      </c>
      <c r="B61" s="155"/>
      <c r="C61" s="22"/>
      <c r="D61" s="22"/>
      <c r="E61" s="22"/>
      <c r="F61" s="153">
        <f t="shared" si="0"/>
        <v>0</v>
      </c>
      <c r="G61" s="153">
        <f t="shared" si="1"/>
        <v>0</v>
      </c>
      <c r="H61" s="154">
        <f t="shared" si="2"/>
        <v>0</v>
      </c>
      <c r="I61" s="108"/>
      <c r="J61" s="22"/>
      <c r="K61" s="22"/>
      <c r="L61" s="153">
        <f t="shared" si="3"/>
        <v>0</v>
      </c>
      <c r="M61" s="153">
        <f t="shared" si="4"/>
        <v>0</v>
      </c>
      <c r="N61" s="154">
        <f t="shared" si="5"/>
        <v>0</v>
      </c>
      <c r="O61" s="22"/>
      <c r="P61" s="22"/>
      <c r="Q61" s="22"/>
      <c r="R61" s="153">
        <f t="shared" si="6"/>
        <v>0</v>
      </c>
      <c r="S61" s="153">
        <f t="shared" si="7"/>
        <v>0</v>
      </c>
      <c r="T61" s="154">
        <f t="shared" si="8"/>
        <v>0</v>
      </c>
      <c r="U61" s="22"/>
      <c r="V61" s="22"/>
      <c r="W61" s="22"/>
      <c r="X61" s="153">
        <f t="shared" si="9"/>
        <v>0</v>
      </c>
      <c r="Y61" s="153">
        <f t="shared" si="10"/>
        <v>0</v>
      </c>
      <c r="Z61" s="154">
        <f t="shared" si="11"/>
        <v>0</v>
      </c>
      <c r="AA61" s="22"/>
      <c r="AB61" s="22"/>
      <c r="AC61" s="22"/>
      <c r="AD61" s="153">
        <f t="shared" si="12"/>
        <v>0</v>
      </c>
      <c r="AE61" s="153">
        <f t="shared" si="13"/>
        <v>0</v>
      </c>
      <c r="AF61" s="154">
        <f t="shared" si="14"/>
        <v>0</v>
      </c>
    </row>
    <row r="62" spans="1:32" x14ac:dyDescent="0.3">
      <c r="A62" s="22">
        <v>59</v>
      </c>
      <c r="B62" s="155"/>
      <c r="C62" s="22"/>
      <c r="D62" s="22"/>
      <c r="E62" s="22"/>
      <c r="F62" s="153">
        <f t="shared" si="0"/>
        <v>0</v>
      </c>
      <c r="G62" s="153">
        <f t="shared" si="1"/>
        <v>0</v>
      </c>
      <c r="H62" s="154">
        <f t="shared" si="2"/>
        <v>0</v>
      </c>
      <c r="I62" s="108"/>
      <c r="J62" s="22"/>
      <c r="K62" s="22"/>
      <c r="L62" s="153">
        <f t="shared" si="3"/>
        <v>0</v>
      </c>
      <c r="M62" s="153">
        <f t="shared" si="4"/>
        <v>0</v>
      </c>
      <c r="N62" s="154">
        <f t="shared" si="5"/>
        <v>0</v>
      </c>
      <c r="O62" s="22"/>
      <c r="P62" s="22"/>
      <c r="Q62" s="22"/>
      <c r="R62" s="153">
        <f t="shared" si="6"/>
        <v>0</v>
      </c>
      <c r="S62" s="153">
        <f t="shared" si="7"/>
        <v>0</v>
      </c>
      <c r="T62" s="154">
        <f t="shared" si="8"/>
        <v>0</v>
      </c>
      <c r="U62" s="22"/>
      <c r="V62" s="22"/>
      <c r="W62" s="22"/>
      <c r="X62" s="153">
        <f t="shared" si="9"/>
        <v>0</v>
      </c>
      <c r="Y62" s="153">
        <f t="shared" si="10"/>
        <v>0</v>
      </c>
      <c r="Z62" s="154">
        <f t="shared" si="11"/>
        <v>0</v>
      </c>
      <c r="AA62" s="22"/>
      <c r="AB62" s="22"/>
      <c r="AC62" s="22"/>
      <c r="AD62" s="153">
        <f t="shared" si="12"/>
        <v>0</v>
      </c>
      <c r="AE62" s="153">
        <f t="shared" si="13"/>
        <v>0</v>
      </c>
      <c r="AF62" s="154">
        <f t="shared" si="14"/>
        <v>0</v>
      </c>
    </row>
    <row r="63" spans="1:32" x14ac:dyDescent="0.3">
      <c r="A63" s="22">
        <v>60</v>
      </c>
      <c r="B63" s="155"/>
      <c r="C63" s="22"/>
      <c r="D63" s="22"/>
      <c r="E63" s="22"/>
      <c r="F63" s="153">
        <f t="shared" si="0"/>
        <v>0</v>
      </c>
      <c r="G63" s="153">
        <f t="shared" si="1"/>
        <v>0</v>
      </c>
      <c r="H63" s="154">
        <f t="shared" si="2"/>
        <v>0</v>
      </c>
      <c r="I63" s="108"/>
      <c r="J63" s="22"/>
      <c r="K63" s="22"/>
      <c r="L63" s="153">
        <f t="shared" si="3"/>
        <v>0</v>
      </c>
      <c r="M63" s="153">
        <f t="shared" si="4"/>
        <v>0</v>
      </c>
      <c r="N63" s="154">
        <f t="shared" si="5"/>
        <v>0</v>
      </c>
      <c r="O63" s="22"/>
      <c r="P63" s="22"/>
      <c r="Q63" s="22"/>
      <c r="R63" s="153">
        <f t="shared" si="6"/>
        <v>0</v>
      </c>
      <c r="S63" s="153">
        <f t="shared" si="7"/>
        <v>0</v>
      </c>
      <c r="T63" s="154">
        <f t="shared" si="8"/>
        <v>0</v>
      </c>
      <c r="U63" s="22"/>
      <c r="V63" s="22"/>
      <c r="W63" s="22"/>
      <c r="X63" s="153">
        <f t="shared" si="9"/>
        <v>0</v>
      </c>
      <c r="Y63" s="153">
        <f t="shared" si="10"/>
        <v>0</v>
      </c>
      <c r="Z63" s="154">
        <f t="shared" si="11"/>
        <v>0</v>
      </c>
      <c r="AA63" s="22"/>
      <c r="AB63" s="22"/>
      <c r="AC63" s="22"/>
      <c r="AD63" s="153">
        <f t="shared" si="12"/>
        <v>0</v>
      </c>
      <c r="AE63" s="153">
        <f t="shared" si="13"/>
        <v>0</v>
      </c>
      <c r="AF63" s="154">
        <f t="shared" si="14"/>
        <v>0</v>
      </c>
    </row>
    <row r="64" spans="1:32" x14ac:dyDescent="0.3">
      <c r="A64" s="22">
        <v>61</v>
      </c>
      <c r="B64" s="155"/>
      <c r="C64" s="22"/>
      <c r="D64" s="22"/>
      <c r="E64" s="22"/>
      <c r="F64" s="153">
        <f t="shared" si="0"/>
        <v>0</v>
      </c>
      <c r="G64" s="153">
        <f t="shared" si="1"/>
        <v>0</v>
      </c>
      <c r="H64" s="154">
        <f t="shared" si="2"/>
        <v>0</v>
      </c>
      <c r="I64" s="108"/>
      <c r="J64" s="22"/>
      <c r="K64" s="22"/>
      <c r="L64" s="153">
        <f t="shared" si="3"/>
        <v>0</v>
      </c>
      <c r="M64" s="153">
        <f t="shared" si="4"/>
        <v>0</v>
      </c>
      <c r="N64" s="154">
        <f t="shared" si="5"/>
        <v>0</v>
      </c>
      <c r="O64" s="22"/>
      <c r="P64" s="22"/>
      <c r="Q64" s="22"/>
      <c r="R64" s="153">
        <f t="shared" si="6"/>
        <v>0</v>
      </c>
      <c r="S64" s="153">
        <f t="shared" si="7"/>
        <v>0</v>
      </c>
      <c r="T64" s="154">
        <f t="shared" si="8"/>
        <v>0</v>
      </c>
      <c r="U64" s="22"/>
      <c r="V64" s="22"/>
      <c r="W64" s="22"/>
      <c r="X64" s="153">
        <f t="shared" si="9"/>
        <v>0</v>
      </c>
      <c r="Y64" s="153">
        <f t="shared" si="10"/>
        <v>0</v>
      </c>
      <c r="Z64" s="154">
        <f t="shared" si="11"/>
        <v>0</v>
      </c>
      <c r="AA64" s="22"/>
      <c r="AB64" s="22"/>
      <c r="AC64" s="22"/>
      <c r="AD64" s="153">
        <f t="shared" si="12"/>
        <v>0</v>
      </c>
      <c r="AE64" s="153">
        <f t="shared" si="13"/>
        <v>0</v>
      </c>
      <c r="AF64" s="154">
        <f t="shared" si="14"/>
        <v>0</v>
      </c>
    </row>
    <row r="65" spans="1:32" x14ac:dyDescent="0.3">
      <c r="A65" s="22">
        <v>62</v>
      </c>
      <c r="B65" s="155"/>
      <c r="C65" s="22"/>
      <c r="D65" s="22"/>
      <c r="E65" s="22"/>
      <c r="F65" s="153">
        <f t="shared" si="0"/>
        <v>0</v>
      </c>
      <c r="G65" s="153">
        <f t="shared" si="1"/>
        <v>0</v>
      </c>
      <c r="H65" s="154">
        <f t="shared" si="2"/>
        <v>0</v>
      </c>
      <c r="I65" s="108"/>
      <c r="J65" s="22"/>
      <c r="K65" s="22"/>
      <c r="L65" s="153">
        <f t="shared" si="3"/>
        <v>0</v>
      </c>
      <c r="M65" s="153">
        <f t="shared" si="4"/>
        <v>0</v>
      </c>
      <c r="N65" s="154">
        <f t="shared" si="5"/>
        <v>0</v>
      </c>
      <c r="O65" s="22"/>
      <c r="P65" s="22"/>
      <c r="Q65" s="22"/>
      <c r="R65" s="153">
        <f t="shared" si="6"/>
        <v>0</v>
      </c>
      <c r="S65" s="153">
        <f t="shared" si="7"/>
        <v>0</v>
      </c>
      <c r="T65" s="154">
        <f t="shared" si="8"/>
        <v>0</v>
      </c>
      <c r="U65" s="22"/>
      <c r="V65" s="22"/>
      <c r="W65" s="22"/>
      <c r="X65" s="153">
        <f t="shared" si="9"/>
        <v>0</v>
      </c>
      <c r="Y65" s="153">
        <f t="shared" si="10"/>
        <v>0</v>
      </c>
      <c r="Z65" s="154">
        <f t="shared" si="11"/>
        <v>0</v>
      </c>
      <c r="AA65" s="22"/>
      <c r="AB65" s="22"/>
      <c r="AC65" s="22"/>
      <c r="AD65" s="153">
        <f t="shared" si="12"/>
        <v>0</v>
      </c>
      <c r="AE65" s="153">
        <f t="shared" si="13"/>
        <v>0</v>
      </c>
      <c r="AF65" s="154">
        <f t="shared" si="14"/>
        <v>0</v>
      </c>
    </row>
    <row r="66" spans="1:32" x14ac:dyDescent="0.3">
      <c r="A66" s="22">
        <v>63</v>
      </c>
      <c r="B66" s="155"/>
      <c r="C66" s="22"/>
      <c r="D66" s="22"/>
      <c r="E66" s="22"/>
      <c r="F66" s="153">
        <f t="shared" si="0"/>
        <v>0</v>
      </c>
      <c r="G66" s="153">
        <f t="shared" si="1"/>
        <v>0</v>
      </c>
      <c r="H66" s="154">
        <f t="shared" si="2"/>
        <v>0</v>
      </c>
      <c r="I66" s="108"/>
      <c r="J66" s="22"/>
      <c r="K66" s="22"/>
      <c r="L66" s="153">
        <f t="shared" si="3"/>
        <v>0</v>
      </c>
      <c r="M66" s="153">
        <f t="shared" si="4"/>
        <v>0</v>
      </c>
      <c r="N66" s="154">
        <f t="shared" si="5"/>
        <v>0</v>
      </c>
      <c r="O66" s="22"/>
      <c r="P66" s="22"/>
      <c r="Q66" s="22"/>
      <c r="R66" s="153">
        <f t="shared" si="6"/>
        <v>0</v>
      </c>
      <c r="S66" s="153">
        <f t="shared" si="7"/>
        <v>0</v>
      </c>
      <c r="T66" s="154">
        <f t="shared" si="8"/>
        <v>0</v>
      </c>
      <c r="U66" s="22"/>
      <c r="V66" s="22"/>
      <c r="W66" s="22"/>
      <c r="X66" s="153">
        <f t="shared" si="9"/>
        <v>0</v>
      </c>
      <c r="Y66" s="153">
        <f t="shared" si="10"/>
        <v>0</v>
      </c>
      <c r="Z66" s="154">
        <f t="shared" si="11"/>
        <v>0</v>
      </c>
      <c r="AA66" s="22"/>
      <c r="AB66" s="22"/>
      <c r="AC66" s="22"/>
      <c r="AD66" s="153">
        <f t="shared" si="12"/>
        <v>0</v>
      </c>
      <c r="AE66" s="153">
        <f t="shared" si="13"/>
        <v>0</v>
      </c>
      <c r="AF66" s="154">
        <f t="shared" si="14"/>
        <v>0</v>
      </c>
    </row>
    <row r="67" spans="1:32" x14ac:dyDescent="0.3">
      <c r="A67" s="22">
        <v>64</v>
      </c>
      <c r="B67" s="155"/>
      <c r="C67" s="22"/>
      <c r="D67" s="22"/>
      <c r="E67" s="22"/>
      <c r="F67" s="153">
        <f t="shared" si="0"/>
        <v>0</v>
      </c>
      <c r="G67" s="153">
        <f t="shared" si="1"/>
        <v>0</v>
      </c>
      <c r="H67" s="154">
        <f t="shared" si="2"/>
        <v>0</v>
      </c>
      <c r="I67" s="108"/>
      <c r="J67" s="22"/>
      <c r="K67" s="22"/>
      <c r="L67" s="153">
        <f t="shared" si="3"/>
        <v>0</v>
      </c>
      <c r="M67" s="153">
        <f t="shared" si="4"/>
        <v>0</v>
      </c>
      <c r="N67" s="154">
        <f t="shared" si="5"/>
        <v>0</v>
      </c>
      <c r="O67" s="22"/>
      <c r="P67" s="22"/>
      <c r="Q67" s="22"/>
      <c r="R67" s="153">
        <f t="shared" si="6"/>
        <v>0</v>
      </c>
      <c r="S67" s="153">
        <f t="shared" si="7"/>
        <v>0</v>
      </c>
      <c r="T67" s="154">
        <f t="shared" si="8"/>
        <v>0</v>
      </c>
      <c r="U67" s="22"/>
      <c r="V67" s="22"/>
      <c r="W67" s="22"/>
      <c r="X67" s="153">
        <f t="shared" si="9"/>
        <v>0</v>
      </c>
      <c r="Y67" s="153">
        <f t="shared" si="10"/>
        <v>0</v>
      </c>
      <c r="Z67" s="154">
        <f t="shared" si="11"/>
        <v>0</v>
      </c>
      <c r="AA67" s="22"/>
      <c r="AB67" s="22"/>
      <c r="AC67" s="22"/>
      <c r="AD67" s="153">
        <f t="shared" si="12"/>
        <v>0</v>
      </c>
      <c r="AE67" s="153">
        <f t="shared" si="13"/>
        <v>0</v>
      </c>
      <c r="AF67" s="154">
        <f t="shared" si="14"/>
        <v>0</v>
      </c>
    </row>
    <row r="68" spans="1:32" x14ac:dyDescent="0.3">
      <c r="A68" s="22">
        <v>65</v>
      </c>
      <c r="B68" s="155"/>
      <c r="C68" s="22"/>
      <c r="D68" s="22"/>
      <c r="E68" s="22"/>
      <c r="F68" s="153">
        <f t="shared" si="0"/>
        <v>0</v>
      </c>
      <c r="G68" s="153">
        <f t="shared" si="1"/>
        <v>0</v>
      </c>
      <c r="H68" s="154">
        <f t="shared" si="2"/>
        <v>0</v>
      </c>
      <c r="I68" s="108"/>
      <c r="J68" s="22"/>
      <c r="K68" s="22"/>
      <c r="L68" s="153">
        <f t="shared" si="3"/>
        <v>0</v>
      </c>
      <c r="M68" s="153">
        <f t="shared" si="4"/>
        <v>0</v>
      </c>
      <c r="N68" s="154">
        <f t="shared" si="5"/>
        <v>0</v>
      </c>
      <c r="O68" s="22"/>
      <c r="P68" s="22"/>
      <c r="Q68" s="22"/>
      <c r="R68" s="153">
        <f t="shared" si="6"/>
        <v>0</v>
      </c>
      <c r="S68" s="153">
        <f t="shared" si="7"/>
        <v>0</v>
      </c>
      <c r="T68" s="154">
        <f t="shared" si="8"/>
        <v>0</v>
      </c>
      <c r="U68" s="22"/>
      <c r="V68" s="22"/>
      <c r="W68" s="22"/>
      <c r="X68" s="153">
        <f t="shared" si="9"/>
        <v>0</v>
      </c>
      <c r="Y68" s="153">
        <f t="shared" si="10"/>
        <v>0</v>
      </c>
      <c r="Z68" s="154">
        <f t="shared" si="11"/>
        <v>0</v>
      </c>
      <c r="AA68" s="22"/>
      <c r="AB68" s="22"/>
      <c r="AC68" s="22"/>
      <c r="AD68" s="153">
        <f t="shared" si="12"/>
        <v>0</v>
      </c>
      <c r="AE68" s="153">
        <f t="shared" si="13"/>
        <v>0</v>
      </c>
      <c r="AF68" s="154">
        <f t="shared" si="14"/>
        <v>0</v>
      </c>
    </row>
    <row r="69" spans="1:32" x14ac:dyDescent="0.3">
      <c r="A69" s="22">
        <v>66</v>
      </c>
      <c r="B69" s="155"/>
      <c r="C69" s="22"/>
      <c r="D69" s="22"/>
      <c r="E69" s="22"/>
      <c r="F69" s="153">
        <f t="shared" ref="F69:F106" si="15">(D69+C69)*18%</f>
        <v>0</v>
      </c>
      <c r="G69" s="153">
        <f t="shared" ref="G69:G106" si="16">D69*2.5%</f>
        <v>0</v>
      </c>
      <c r="H69" s="154">
        <f t="shared" ref="H69:H106" si="17">IF(D69="",-(E69+F69),D69-SUM(E69:G69))</f>
        <v>0</v>
      </c>
      <c r="I69" s="108"/>
      <c r="J69" s="22"/>
      <c r="K69" s="22"/>
      <c r="L69" s="153">
        <f t="shared" ref="L69:L106" si="18">(J69+I69)*18%</f>
        <v>0</v>
      </c>
      <c r="M69" s="153">
        <f t="shared" ref="M69:M106" si="19">J69*2.5%</f>
        <v>0</v>
      </c>
      <c r="N69" s="154">
        <f t="shared" ref="N69:N106" si="20">IF(J69="",-(K69+L69),J69-SUM(K69:M69))</f>
        <v>0</v>
      </c>
      <c r="O69" s="22"/>
      <c r="P69" s="22"/>
      <c r="Q69" s="22"/>
      <c r="R69" s="153">
        <f t="shared" ref="R69:R106" si="21">(P69+O69)*18%</f>
        <v>0</v>
      </c>
      <c r="S69" s="153">
        <f t="shared" ref="S69:S106" si="22">P69*2.5%</f>
        <v>0</v>
      </c>
      <c r="T69" s="154">
        <f t="shared" ref="T69:T106" si="23">IF(P69="",-(Q69+R69),P69-SUM(Q69:S69))</f>
        <v>0</v>
      </c>
      <c r="U69" s="22"/>
      <c r="V69" s="22"/>
      <c r="W69" s="22"/>
      <c r="X69" s="153">
        <f t="shared" ref="X69:X106" si="24">(V69+U69)*18%</f>
        <v>0</v>
      </c>
      <c r="Y69" s="153">
        <f t="shared" ref="Y69:Y106" si="25">V69*2.5%</f>
        <v>0</v>
      </c>
      <c r="Z69" s="154">
        <f t="shared" ref="Z69:Z106" si="26">IF(V69="",-(W69+X69),V69-SUM(W69:Y69))</f>
        <v>0</v>
      </c>
      <c r="AA69" s="22"/>
      <c r="AB69" s="22"/>
      <c r="AC69" s="22"/>
      <c r="AD69" s="153">
        <f t="shared" ref="AD69:AD106" si="27">(AB69+AA69)*18%</f>
        <v>0</v>
      </c>
      <c r="AE69" s="153">
        <f t="shared" ref="AE69:AE106" si="28">AB69*2.5%</f>
        <v>0</v>
      </c>
      <c r="AF69" s="154">
        <f t="shared" ref="AF69:AF106" si="29">IF(AB69="",-(AC69+AD69),AB69-SUM(AC69:AE69))</f>
        <v>0</v>
      </c>
    </row>
    <row r="70" spans="1:32" x14ac:dyDescent="0.3">
      <c r="A70" s="22">
        <v>67</v>
      </c>
      <c r="B70" s="155"/>
      <c r="C70" s="22"/>
      <c r="D70" s="22"/>
      <c r="E70" s="22"/>
      <c r="F70" s="153">
        <f t="shared" si="15"/>
        <v>0</v>
      </c>
      <c r="G70" s="153">
        <f t="shared" si="16"/>
        <v>0</v>
      </c>
      <c r="H70" s="154">
        <f t="shared" si="17"/>
        <v>0</v>
      </c>
      <c r="I70" s="108"/>
      <c r="J70" s="22"/>
      <c r="K70" s="22"/>
      <c r="L70" s="153">
        <f t="shared" si="18"/>
        <v>0</v>
      </c>
      <c r="M70" s="153">
        <f t="shared" si="19"/>
        <v>0</v>
      </c>
      <c r="N70" s="154">
        <f t="shared" si="20"/>
        <v>0</v>
      </c>
      <c r="O70" s="22"/>
      <c r="P70" s="22"/>
      <c r="Q70" s="22"/>
      <c r="R70" s="153">
        <f t="shared" si="21"/>
        <v>0</v>
      </c>
      <c r="S70" s="153">
        <f t="shared" si="22"/>
        <v>0</v>
      </c>
      <c r="T70" s="154">
        <f t="shared" si="23"/>
        <v>0</v>
      </c>
      <c r="U70" s="22"/>
      <c r="V70" s="22"/>
      <c r="W70" s="22"/>
      <c r="X70" s="153">
        <f t="shared" si="24"/>
        <v>0</v>
      </c>
      <c r="Y70" s="153">
        <f t="shared" si="25"/>
        <v>0</v>
      </c>
      <c r="Z70" s="154">
        <f t="shared" si="26"/>
        <v>0</v>
      </c>
      <c r="AA70" s="22"/>
      <c r="AB70" s="22"/>
      <c r="AC70" s="22"/>
      <c r="AD70" s="153">
        <f t="shared" si="27"/>
        <v>0</v>
      </c>
      <c r="AE70" s="153">
        <f t="shared" si="28"/>
        <v>0</v>
      </c>
      <c r="AF70" s="154">
        <f t="shared" si="29"/>
        <v>0</v>
      </c>
    </row>
    <row r="71" spans="1:32" x14ac:dyDescent="0.3">
      <c r="A71" s="22">
        <v>68</v>
      </c>
      <c r="B71" s="155"/>
      <c r="C71" s="22"/>
      <c r="D71" s="22"/>
      <c r="E71" s="22"/>
      <c r="F71" s="153">
        <f t="shared" si="15"/>
        <v>0</v>
      </c>
      <c r="G71" s="153">
        <f t="shared" si="16"/>
        <v>0</v>
      </c>
      <c r="H71" s="154">
        <f t="shared" si="17"/>
        <v>0</v>
      </c>
      <c r="I71" s="108"/>
      <c r="J71" s="22"/>
      <c r="K71" s="22"/>
      <c r="L71" s="153">
        <f t="shared" si="18"/>
        <v>0</v>
      </c>
      <c r="M71" s="153">
        <f t="shared" si="19"/>
        <v>0</v>
      </c>
      <c r="N71" s="154">
        <f t="shared" si="20"/>
        <v>0</v>
      </c>
      <c r="O71" s="22"/>
      <c r="P71" s="22"/>
      <c r="Q71" s="22"/>
      <c r="R71" s="153">
        <f t="shared" si="21"/>
        <v>0</v>
      </c>
      <c r="S71" s="153">
        <f t="shared" si="22"/>
        <v>0</v>
      </c>
      <c r="T71" s="154">
        <f t="shared" si="23"/>
        <v>0</v>
      </c>
      <c r="U71" s="22"/>
      <c r="V71" s="22"/>
      <c r="W71" s="22"/>
      <c r="X71" s="153">
        <f t="shared" si="24"/>
        <v>0</v>
      </c>
      <c r="Y71" s="153">
        <f t="shared" si="25"/>
        <v>0</v>
      </c>
      <c r="Z71" s="154">
        <f t="shared" si="26"/>
        <v>0</v>
      </c>
      <c r="AA71" s="22"/>
      <c r="AB71" s="22"/>
      <c r="AC71" s="22"/>
      <c r="AD71" s="153">
        <f t="shared" si="27"/>
        <v>0</v>
      </c>
      <c r="AE71" s="153">
        <f t="shared" si="28"/>
        <v>0</v>
      </c>
      <c r="AF71" s="154">
        <f t="shared" si="29"/>
        <v>0</v>
      </c>
    </row>
    <row r="72" spans="1:32" x14ac:dyDescent="0.3">
      <c r="A72" s="22">
        <v>69</v>
      </c>
      <c r="B72" s="155"/>
      <c r="C72" s="22"/>
      <c r="D72" s="22"/>
      <c r="E72" s="22"/>
      <c r="F72" s="153">
        <f t="shared" si="15"/>
        <v>0</v>
      </c>
      <c r="G72" s="153">
        <f t="shared" si="16"/>
        <v>0</v>
      </c>
      <c r="H72" s="154">
        <f t="shared" si="17"/>
        <v>0</v>
      </c>
      <c r="I72" s="108"/>
      <c r="J72" s="22"/>
      <c r="K72" s="22"/>
      <c r="L72" s="153">
        <f t="shared" si="18"/>
        <v>0</v>
      </c>
      <c r="M72" s="153">
        <f t="shared" si="19"/>
        <v>0</v>
      </c>
      <c r="N72" s="154">
        <f t="shared" si="20"/>
        <v>0</v>
      </c>
      <c r="O72" s="22"/>
      <c r="P72" s="22"/>
      <c r="Q72" s="22"/>
      <c r="R72" s="153">
        <f t="shared" si="21"/>
        <v>0</v>
      </c>
      <c r="S72" s="153">
        <f t="shared" si="22"/>
        <v>0</v>
      </c>
      <c r="T72" s="154">
        <f t="shared" si="23"/>
        <v>0</v>
      </c>
      <c r="U72" s="22"/>
      <c r="V72" s="22"/>
      <c r="W72" s="22"/>
      <c r="X72" s="153">
        <f t="shared" si="24"/>
        <v>0</v>
      </c>
      <c r="Y72" s="153">
        <f t="shared" si="25"/>
        <v>0</v>
      </c>
      <c r="Z72" s="154">
        <f t="shared" si="26"/>
        <v>0</v>
      </c>
      <c r="AA72" s="22"/>
      <c r="AB72" s="22"/>
      <c r="AC72" s="22"/>
      <c r="AD72" s="153">
        <f t="shared" si="27"/>
        <v>0</v>
      </c>
      <c r="AE72" s="153">
        <f t="shared" si="28"/>
        <v>0</v>
      </c>
      <c r="AF72" s="154">
        <f t="shared" si="29"/>
        <v>0</v>
      </c>
    </row>
    <row r="73" spans="1:32" x14ac:dyDescent="0.3">
      <c r="A73" s="22">
        <v>70</v>
      </c>
      <c r="B73" s="155"/>
      <c r="C73" s="22"/>
      <c r="D73" s="22"/>
      <c r="E73" s="22"/>
      <c r="F73" s="153">
        <f t="shared" si="15"/>
        <v>0</v>
      </c>
      <c r="G73" s="153">
        <f t="shared" si="16"/>
        <v>0</v>
      </c>
      <c r="H73" s="154">
        <f t="shared" si="17"/>
        <v>0</v>
      </c>
      <c r="I73" s="108"/>
      <c r="J73" s="22"/>
      <c r="K73" s="22"/>
      <c r="L73" s="153">
        <f t="shared" si="18"/>
        <v>0</v>
      </c>
      <c r="M73" s="153">
        <f t="shared" si="19"/>
        <v>0</v>
      </c>
      <c r="N73" s="154">
        <f t="shared" si="20"/>
        <v>0</v>
      </c>
      <c r="O73" s="22"/>
      <c r="P73" s="22"/>
      <c r="Q73" s="22"/>
      <c r="R73" s="153">
        <f t="shared" si="21"/>
        <v>0</v>
      </c>
      <c r="S73" s="153">
        <f t="shared" si="22"/>
        <v>0</v>
      </c>
      <c r="T73" s="154">
        <f t="shared" si="23"/>
        <v>0</v>
      </c>
      <c r="U73" s="22"/>
      <c r="V73" s="22"/>
      <c r="W73" s="22"/>
      <c r="X73" s="153">
        <f t="shared" si="24"/>
        <v>0</v>
      </c>
      <c r="Y73" s="153">
        <f t="shared" si="25"/>
        <v>0</v>
      </c>
      <c r="Z73" s="154">
        <f t="shared" si="26"/>
        <v>0</v>
      </c>
      <c r="AA73" s="22"/>
      <c r="AB73" s="22"/>
      <c r="AC73" s="22"/>
      <c r="AD73" s="153">
        <f t="shared" si="27"/>
        <v>0</v>
      </c>
      <c r="AE73" s="153">
        <f t="shared" si="28"/>
        <v>0</v>
      </c>
      <c r="AF73" s="154">
        <f t="shared" si="29"/>
        <v>0</v>
      </c>
    </row>
    <row r="74" spans="1:32" x14ac:dyDescent="0.3">
      <c r="A74" s="22">
        <v>71</v>
      </c>
      <c r="B74" s="155"/>
      <c r="C74" s="22"/>
      <c r="D74" s="22"/>
      <c r="E74" s="22"/>
      <c r="F74" s="153">
        <f t="shared" si="15"/>
        <v>0</v>
      </c>
      <c r="G74" s="153">
        <f t="shared" si="16"/>
        <v>0</v>
      </c>
      <c r="H74" s="154">
        <f t="shared" si="17"/>
        <v>0</v>
      </c>
      <c r="I74" s="108"/>
      <c r="J74" s="22"/>
      <c r="K74" s="22"/>
      <c r="L74" s="153">
        <f t="shared" si="18"/>
        <v>0</v>
      </c>
      <c r="M74" s="153">
        <f t="shared" si="19"/>
        <v>0</v>
      </c>
      <c r="N74" s="154">
        <f t="shared" si="20"/>
        <v>0</v>
      </c>
      <c r="O74" s="22"/>
      <c r="P74" s="22"/>
      <c r="Q74" s="22"/>
      <c r="R74" s="153">
        <f t="shared" si="21"/>
        <v>0</v>
      </c>
      <c r="S74" s="153">
        <f t="shared" si="22"/>
        <v>0</v>
      </c>
      <c r="T74" s="154">
        <f t="shared" si="23"/>
        <v>0</v>
      </c>
      <c r="U74" s="22"/>
      <c r="V74" s="22"/>
      <c r="W74" s="22"/>
      <c r="X74" s="153">
        <f t="shared" si="24"/>
        <v>0</v>
      </c>
      <c r="Y74" s="153">
        <f t="shared" si="25"/>
        <v>0</v>
      </c>
      <c r="Z74" s="154">
        <f t="shared" si="26"/>
        <v>0</v>
      </c>
      <c r="AA74" s="22"/>
      <c r="AB74" s="22"/>
      <c r="AC74" s="22"/>
      <c r="AD74" s="153">
        <f t="shared" si="27"/>
        <v>0</v>
      </c>
      <c r="AE74" s="153">
        <f t="shared" si="28"/>
        <v>0</v>
      </c>
      <c r="AF74" s="154">
        <f t="shared" si="29"/>
        <v>0</v>
      </c>
    </row>
    <row r="75" spans="1:32" x14ac:dyDescent="0.3">
      <c r="A75" s="22">
        <v>72</v>
      </c>
      <c r="B75" s="155"/>
      <c r="C75" s="22"/>
      <c r="D75" s="22"/>
      <c r="E75" s="22"/>
      <c r="F75" s="153">
        <f t="shared" si="15"/>
        <v>0</v>
      </c>
      <c r="G75" s="153">
        <f t="shared" si="16"/>
        <v>0</v>
      </c>
      <c r="H75" s="154">
        <f t="shared" si="17"/>
        <v>0</v>
      </c>
      <c r="I75" s="108"/>
      <c r="J75" s="22"/>
      <c r="K75" s="22"/>
      <c r="L75" s="153">
        <f t="shared" si="18"/>
        <v>0</v>
      </c>
      <c r="M75" s="153">
        <f t="shared" si="19"/>
        <v>0</v>
      </c>
      <c r="N75" s="154">
        <f t="shared" si="20"/>
        <v>0</v>
      </c>
      <c r="O75" s="22"/>
      <c r="P75" s="22"/>
      <c r="Q75" s="22"/>
      <c r="R75" s="153">
        <f t="shared" si="21"/>
        <v>0</v>
      </c>
      <c r="S75" s="153">
        <f t="shared" si="22"/>
        <v>0</v>
      </c>
      <c r="T75" s="154">
        <f t="shared" si="23"/>
        <v>0</v>
      </c>
      <c r="U75" s="22"/>
      <c r="V75" s="22"/>
      <c r="W75" s="22"/>
      <c r="X75" s="153">
        <f t="shared" si="24"/>
        <v>0</v>
      </c>
      <c r="Y75" s="153">
        <f t="shared" si="25"/>
        <v>0</v>
      </c>
      <c r="Z75" s="154">
        <f t="shared" si="26"/>
        <v>0</v>
      </c>
      <c r="AA75" s="22"/>
      <c r="AB75" s="22"/>
      <c r="AC75" s="22"/>
      <c r="AD75" s="153">
        <f t="shared" si="27"/>
        <v>0</v>
      </c>
      <c r="AE75" s="153">
        <f t="shared" si="28"/>
        <v>0</v>
      </c>
      <c r="AF75" s="154">
        <f t="shared" si="29"/>
        <v>0</v>
      </c>
    </row>
    <row r="76" spans="1:32" x14ac:dyDescent="0.3">
      <c r="A76" s="22">
        <v>73</v>
      </c>
      <c r="B76" s="155"/>
      <c r="C76" s="22"/>
      <c r="D76" s="22"/>
      <c r="E76" s="22"/>
      <c r="F76" s="153">
        <f t="shared" si="15"/>
        <v>0</v>
      </c>
      <c r="G76" s="153">
        <f t="shared" si="16"/>
        <v>0</v>
      </c>
      <c r="H76" s="154">
        <f t="shared" si="17"/>
        <v>0</v>
      </c>
      <c r="I76" s="108"/>
      <c r="J76" s="22"/>
      <c r="K76" s="22"/>
      <c r="L76" s="153">
        <f t="shared" si="18"/>
        <v>0</v>
      </c>
      <c r="M76" s="153">
        <f t="shared" si="19"/>
        <v>0</v>
      </c>
      <c r="N76" s="154">
        <f t="shared" si="20"/>
        <v>0</v>
      </c>
      <c r="O76" s="22"/>
      <c r="P76" s="22"/>
      <c r="Q76" s="22"/>
      <c r="R76" s="153">
        <f t="shared" si="21"/>
        <v>0</v>
      </c>
      <c r="S76" s="153">
        <f t="shared" si="22"/>
        <v>0</v>
      </c>
      <c r="T76" s="154">
        <f t="shared" si="23"/>
        <v>0</v>
      </c>
      <c r="U76" s="22"/>
      <c r="V76" s="22"/>
      <c r="W76" s="22"/>
      <c r="X76" s="153">
        <f t="shared" si="24"/>
        <v>0</v>
      </c>
      <c r="Y76" s="153">
        <f t="shared" si="25"/>
        <v>0</v>
      </c>
      <c r="Z76" s="154">
        <f t="shared" si="26"/>
        <v>0</v>
      </c>
      <c r="AA76" s="22"/>
      <c r="AB76" s="22"/>
      <c r="AC76" s="22"/>
      <c r="AD76" s="153">
        <f t="shared" si="27"/>
        <v>0</v>
      </c>
      <c r="AE76" s="153">
        <f t="shared" si="28"/>
        <v>0</v>
      </c>
      <c r="AF76" s="154">
        <f t="shared" si="29"/>
        <v>0</v>
      </c>
    </row>
    <row r="77" spans="1:32" x14ac:dyDescent="0.3">
      <c r="A77" s="22">
        <v>74</v>
      </c>
      <c r="B77" s="155"/>
      <c r="C77" s="22"/>
      <c r="D77" s="22"/>
      <c r="E77" s="22"/>
      <c r="F77" s="153">
        <f t="shared" si="15"/>
        <v>0</v>
      </c>
      <c r="G77" s="153">
        <f t="shared" si="16"/>
        <v>0</v>
      </c>
      <c r="H77" s="154">
        <f t="shared" si="17"/>
        <v>0</v>
      </c>
      <c r="I77" s="108"/>
      <c r="J77" s="22"/>
      <c r="K77" s="22"/>
      <c r="L77" s="153">
        <f t="shared" si="18"/>
        <v>0</v>
      </c>
      <c r="M77" s="153">
        <f t="shared" si="19"/>
        <v>0</v>
      </c>
      <c r="N77" s="154">
        <f t="shared" si="20"/>
        <v>0</v>
      </c>
      <c r="O77" s="22"/>
      <c r="P77" s="22"/>
      <c r="Q77" s="22"/>
      <c r="R77" s="153">
        <f t="shared" si="21"/>
        <v>0</v>
      </c>
      <c r="S77" s="153">
        <f t="shared" si="22"/>
        <v>0</v>
      </c>
      <c r="T77" s="154">
        <f t="shared" si="23"/>
        <v>0</v>
      </c>
      <c r="U77" s="22"/>
      <c r="V77" s="22"/>
      <c r="W77" s="22"/>
      <c r="X77" s="153">
        <f t="shared" si="24"/>
        <v>0</v>
      </c>
      <c r="Y77" s="153">
        <f t="shared" si="25"/>
        <v>0</v>
      </c>
      <c r="Z77" s="154">
        <f t="shared" si="26"/>
        <v>0</v>
      </c>
      <c r="AA77" s="22"/>
      <c r="AB77" s="22"/>
      <c r="AC77" s="22"/>
      <c r="AD77" s="153">
        <f t="shared" si="27"/>
        <v>0</v>
      </c>
      <c r="AE77" s="153">
        <f t="shared" si="28"/>
        <v>0</v>
      </c>
      <c r="AF77" s="154">
        <f t="shared" si="29"/>
        <v>0</v>
      </c>
    </row>
    <row r="78" spans="1:32" x14ac:dyDescent="0.3">
      <c r="A78" s="22">
        <v>75</v>
      </c>
      <c r="B78" s="155"/>
      <c r="C78" s="22"/>
      <c r="D78" s="22"/>
      <c r="E78" s="22"/>
      <c r="F78" s="153">
        <f t="shared" si="15"/>
        <v>0</v>
      </c>
      <c r="G78" s="153">
        <f t="shared" si="16"/>
        <v>0</v>
      </c>
      <c r="H78" s="154">
        <f t="shared" si="17"/>
        <v>0</v>
      </c>
      <c r="I78" s="108"/>
      <c r="J78" s="22"/>
      <c r="K78" s="22"/>
      <c r="L78" s="153">
        <f t="shared" si="18"/>
        <v>0</v>
      </c>
      <c r="M78" s="153">
        <f t="shared" si="19"/>
        <v>0</v>
      </c>
      <c r="N78" s="154">
        <f t="shared" si="20"/>
        <v>0</v>
      </c>
      <c r="O78" s="22"/>
      <c r="P78" s="22"/>
      <c r="Q78" s="22"/>
      <c r="R78" s="153">
        <f t="shared" si="21"/>
        <v>0</v>
      </c>
      <c r="S78" s="153">
        <f t="shared" si="22"/>
        <v>0</v>
      </c>
      <c r="T78" s="154">
        <f t="shared" si="23"/>
        <v>0</v>
      </c>
      <c r="U78" s="22"/>
      <c r="V78" s="22"/>
      <c r="W78" s="22"/>
      <c r="X78" s="153">
        <f t="shared" si="24"/>
        <v>0</v>
      </c>
      <c r="Y78" s="153">
        <f t="shared" si="25"/>
        <v>0</v>
      </c>
      <c r="Z78" s="154">
        <f t="shared" si="26"/>
        <v>0</v>
      </c>
      <c r="AA78" s="22"/>
      <c r="AB78" s="22"/>
      <c r="AC78" s="22"/>
      <c r="AD78" s="153">
        <f t="shared" si="27"/>
        <v>0</v>
      </c>
      <c r="AE78" s="153">
        <f t="shared" si="28"/>
        <v>0</v>
      </c>
      <c r="AF78" s="154">
        <f t="shared" si="29"/>
        <v>0</v>
      </c>
    </row>
    <row r="79" spans="1:32" x14ac:dyDescent="0.3">
      <c r="A79" s="22">
        <v>76</v>
      </c>
      <c r="B79" s="155"/>
      <c r="C79" s="22"/>
      <c r="D79" s="22"/>
      <c r="E79" s="22"/>
      <c r="F79" s="153">
        <f t="shared" si="15"/>
        <v>0</v>
      </c>
      <c r="G79" s="153">
        <f t="shared" si="16"/>
        <v>0</v>
      </c>
      <c r="H79" s="154">
        <f t="shared" si="17"/>
        <v>0</v>
      </c>
      <c r="I79" s="108"/>
      <c r="J79" s="22"/>
      <c r="K79" s="22"/>
      <c r="L79" s="153">
        <f t="shared" si="18"/>
        <v>0</v>
      </c>
      <c r="M79" s="153">
        <f t="shared" si="19"/>
        <v>0</v>
      </c>
      <c r="N79" s="154">
        <f t="shared" si="20"/>
        <v>0</v>
      </c>
      <c r="O79" s="22"/>
      <c r="P79" s="22"/>
      <c r="Q79" s="22"/>
      <c r="R79" s="153">
        <f t="shared" si="21"/>
        <v>0</v>
      </c>
      <c r="S79" s="153">
        <f t="shared" si="22"/>
        <v>0</v>
      </c>
      <c r="T79" s="154">
        <f t="shared" si="23"/>
        <v>0</v>
      </c>
      <c r="U79" s="22"/>
      <c r="V79" s="22"/>
      <c r="W79" s="22"/>
      <c r="X79" s="153">
        <f t="shared" si="24"/>
        <v>0</v>
      </c>
      <c r="Y79" s="153">
        <f t="shared" si="25"/>
        <v>0</v>
      </c>
      <c r="Z79" s="154">
        <f t="shared" si="26"/>
        <v>0</v>
      </c>
      <c r="AA79" s="22"/>
      <c r="AB79" s="22"/>
      <c r="AC79" s="22"/>
      <c r="AD79" s="153">
        <f t="shared" si="27"/>
        <v>0</v>
      </c>
      <c r="AE79" s="153">
        <f t="shared" si="28"/>
        <v>0</v>
      </c>
      <c r="AF79" s="154">
        <f t="shared" si="29"/>
        <v>0</v>
      </c>
    </row>
    <row r="80" spans="1:32" x14ac:dyDescent="0.3">
      <c r="A80" s="22">
        <v>77</v>
      </c>
      <c r="B80" s="155"/>
      <c r="C80" s="22"/>
      <c r="D80" s="22"/>
      <c r="E80" s="22"/>
      <c r="F80" s="153">
        <f t="shared" si="15"/>
        <v>0</v>
      </c>
      <c r="G80" s="153">
        <f t="shared" si="16"/>
        <v>0</v>
      </c>
      <c r="H80" s="154">
        <f t="shared" si="17"/>
        <v>0</v>
      </c>
      <c r="I80" s="108"/>
      <c r="J80" s="22"/>
      <c r="K80" s="22"/>
      <c r="L80" s="153">
        <f t="shared" si="18"/>
        <v>0</v>
      </c>
      <c r="M80" s="153">
        <f t="shared" si="19"/>
        <v>0</v>
      </c>
      <c r="N80" s="154">
        <f t="shared" si="20"/>
        <v>0</v>
      </c>
      <c r="O80" s="22"/>
      <c r="P80" s="22"/>
      <c r="Q80" s="22"/>
      <c r="R80" s="153">
        <f t="shared" si="21"/>
        <v>0</v>
      </c>
      <c r="S80" s="153">
        <f t="shared" si="22"/>
        <v>0</v>
      </c>
      <c r="T80" s="154">
        <f t="shared" si="23"/>
        <v>0</v>
      </c>
      <c r="U80" s="22"/>
      <c r="V80" s="22"/>
      <c r="W80" s="22"/>
      <c r="X80" s="153">
        <f t="shared" si="24"/>
        <v>0</v>
      </c>
      <c r="Y80" s="153">
        <f t="shared" si="25"/>
        <v>0</v>
      </c>
      <c r="Z80" s="154">
        <f t="shared" si="26"/>
        <v>0</v>
      </c>
      <c r="AA80" s="22"/>
      <c r="AB80" s="22"/>
      <c r="AC80" s="22"/>
      <c r="AD80" s="153">
        <f t="shared" si="27"/>
        <v>0</v>
      </c>
      <c r="AE80" s="153">
        <f t="shared" si="28"/>
        <v>0</v>
      </c>
      <c r="AF80" s="154">
        <f t="shared" si="29"/>
        <v>0</v>
      </c>
    </row>
    <row r="81" spans="1:32" x14ac:dyDescent="0.3">
      <c r="A81" s="22">
        <v>78</v>
      </c>
      <c r="B81" s="155"/>
      <c r="C81" s="22"/>
      <c r="D81" s="22"/>
      <c r="E81" s="22"/>
      <c r="F81" s="153">
        <f t="shared" si="15"/>
        <v>0</v>
      </c>
      <c r="G81" s="153">
        <f t="shared" si="16"/>
        <v>0</v>
      </c>
      <c r="H81" s="154">
        <f t="shared" si="17"/>
        <v>0</v>
      </c>
      <c r="I81" s="108"/>
      <c r="J81" s="22"/>
      <c r="K81" s="22"/>
      <c r="L81" s="153">
        <f t="shared" si="18"/>
        <v>0</v>
      </c>
      <c r="M81" s="153">
        <f t="shared" si="19"/>
        <v>0</v>
      </c>
      <c r="N81" s="154">
        <f t="shared" si="20"/>
        <v>0</v>
      </c>
      <c r="O81" s="22"/>
      <c r="P81" s="22"/>
      <c r="Q81" s="22"/>
      <c r="R81" s="153">
        <f t="shared" si="21"/>
        <v>0</v>
      </c>
      <c r="S81" s="153">
        <f t="shared" si="22"/>
        <v>0</v>
      </c>
      <c r="T81" s="154">
        <f t="shared" si="23"/>
        <v>0</v>
      </c>
      <c r="U81" s="22"/>
      <c r="V81" s="22"/>
      <c r="W81" s="22"/>
      <c r="X81" s="153">
        <f t="shared" si="24"/>
        <v>0</v>
      </c>
      <c r="Y81" s="153">
        <f t="shared" si="25"/>
        <v>0</v>
      </c>
      <c r="Z81" s="154">
        <f t="shared" si="26"/>
        <v>0</v>
      </c>
      <c r="AA81" s="22"/>
      <c r="AB81" s="22"/>
      <c r="AC81" s="22"/>
      <c r="AD81" s="153">
        <f t="shared" si="27"/>
        <v>0</v>
      </c>
      <c r="AE81" s="153">
        <f t="shared" si="28"/>
        <v>0</v>
      </c>
      <c r="AF81" s="154">
        <f t="shared" si="29"/>
        <v>0</v>
      </c>
    </row>
    <row r="82" spans="1:32" x14ac:dyDescent="0.3">
      <c r="A82" s="22">
        <v>79</v>
      </c>
      <c r="B82" s="155"/>
      <c r="C82" s="22"/>
      <c r="D82" s="22"/>
      <c r="E82" s="22"/>
      <c r="F82" s="153">
        <f t="shared" si="15"/>
        <v>0</v>
      </c>
      <c r="G82" s="153">
        <f t="shared" si="16"/>
        <v>0</v>
      </c>
      <c r="H82" s="154">
        <f t="shared" si="17"/>
        <v>0</v>
      </c>
      <c r="I82" s="108"/>
      <c r="J82" s="22"/>
      <c r="K82" s="22"/>
      <c r="L82" s="153">
        <f t="shared" si="18"/>
        <v>0</v>
      </c>
      <c r="M82" s="153">
        <f t="shared" si="19"/>
        <v>0</v>
      </c>
      <c r="N82" s="154">
        <f t="shared" si="20"/>
        <v>0</v>
      </c>
      <c r="O82" s="22"/>
      <c r="P82" s="22"/>
      <c r="Q82" s="22"/>
      <c r="R82" s="153">
        <f t="shared" si="21"/>
        <v>0</v>
      </c>
      <c r="S82" s="153">
        <f t="shared" si="22"/>
        <v>0</v>
      </c>
      <c r="T82" s="154">
        <f t="shared" si="23"/>
        <v>0</v>
      </c>
      <c r="U82" s="22"/>
      <c r="V82" s="22"/>
      <c r="W82" s="22"/>
      <c r="X82" s="153">
        <f t="shared" si="24"/>
        <v>0</v>
      </c>
      <c r="Y82" s="153">
        <f t="shared" si="25"/>
        <v>0</v>
      </c>
      <c r="Z82" s="154">
        <f t="shared" si="26"/>
        <v>0</v>
      </c>
      <c r="AA82" s="22"/>
      <c r="AB82" s="22"/>
      <c r="AC82" s="22"/>
      <c r="AD82" s="153">
        <f t="shared" si="27"/>
        <v>0</v>
      </c>
      <c r="AE82" s="153">
        <f t="shared" si="28"/>
        <v>0</v>
      </c>
      <c r="AF82" s="154">
        <f t="shared" si="29"/>
        <v>0</v>
      </c>
    </row>
    <row r="83" spans="1:32" x14ac:dyDescent="0.3">
      <c r="A83" s="22">
        <v>80</v>
      </c>
      <c r="B83" s="155"/>
      <c r="C83" s="22"/>
      <c r="D83" s="22"/>
      <c r="E83" s="22"/>
      <c r="F83" s="153">
        <f t="shared" si="15"/>
        <v>0</v>
      </c>
      <c r="G83" s="153">
        <f t="shared" si="16"/>
        <v>0</v>
      </c>
      <c r="H83" s="154">
        <f t="shared" si="17"/>
        <v>0</v>
      </c>
      <c r="I83" s="108"/>
      <c r="J83" s="22"/>
      <c r="K83" s="22"/>
      <c r="L83" s="153">
        <f t="shared" si="18"/>
        <v>0</v>
      </c>
      <c r="M83" s="153">
        <f t="shared" si="19"/>
        <v>0</v>
      </c>
      <c r="N83" s="154">
        <f t="shared" si="20"/>
        <v>0</v>
      </c>
      <c r="O83" s="22"/>
      <c r="P83" s="22"/>
      <c r="Q83" s="22"/>
      <c r="R83" s="153">
        <f t="shared" si="21"/>
        <v>0</v>
      </c>
      <c r="S83" s="153">
        <f t="shared" si="22"/>
        <v>0</v>
      </c>
      <c r="T83" s="154">
        <f t="shared" si="23"/>
        <v>0</v>
      </c>
      <c r="U83" s="22"/>
      <c r="V83" s="22"/>
      <c r="W83" s="22"/>
      <c r="X83" s="153">
        <f t="shared" si="24"/>
        <v>0</v>
      </c>
      <c r="Y83" s="153">
        <f t="shared" si="25"/>
        <v>0</v>
      </c>
      <c r="Z83" s="154">
        <f t="shared" si="26"/>
        <v>0</v>
      </c>
      <c r="AA83" s="22"/>
      <c r="AB83" s="22"/>
      <c r="AC83" s="22"/>
      <c r="AD83" s="153">
        <f t="shared" si="27"/>
        <v>0</v>
      </c>
      <c r="AE83" s="153">
        <f t="shared" si="28"/>
        <v>0</v>
      </c>
      <c r="AF83" s="154">
        <f t="shared" si="29"/>
        <v>0</v>
      </c>
    </row>
    <row r="84" spans="1:32" x14ac:dyDescent="0.3">
      <c r="A84" s="22">
        <v>81</v>
      </c>
      <c r="B84" s="155"/>
      <c r="C84" s="22"/>
      <c r="D84" s="22"/>
      <c r="E84" s="22"/>
      <c r="F84" s="153">
        <f t="shared" si="15"/>
        <v>0</v>
      </c>
      <c r="G84" s="153">
        <f t="shared" si="16"/>
        <v>0</v>
      </c>
      <c r="H84" s="154">
        <f t="shared" si="17"/>
        <v>0</v>
      </c>
      <c r="I84" s="108"/>
      <c r="J84" s="22"/>
      <c r="K84" s="22"/>
      <c r="L84" s="153">
        <f t="shared" si="18"/>
        <v>0</v>
      </c>
      <c r="M84" s="153">
        <f t="shared" si="19"/>
        <v>0</v>
      </c>
      <c r="N84" s="154">
        <f t="shared" si="20"/>
        <v>0</v>
      </c>
      <c r="O84" s="22"/>
      <c r="P84" s="22"/>
      <c r="Q84" s="22"/>
      <c r="R84" s="153">
        <f t="shared" si="21"/>
        <v>0</v>
      </c>
      <c r="S84" s="153">
        <f t="shared" si="22"/>
        <v>0</v>
      </c>
      <c r="T84" s="154">
        <f t="shared" si="23"/>
        <v>0</v>
      </c>
      <c r="U84" s="22"/>
      <c r="V84" s="22"/>
      <c r="W84" s="22"/>
      <c r="X84" s="153">
        <f t="shared" si="24"/>
        <v>0</v>
      </c>
      <c r="Y84" s="153">
        <f t="shared" si="25"/>
        <v>0</v>
      </c>
      <c r="Z84" s="154">
        <f t="shared" si="26"/>
        <v>0</v>
      </c>
      <c r="AA84" s="22"/>
      <c r="AB84" s="22"/>
      <c r="AC84" s="22"/>
      <c r="AD84" s="153">
        <f t="shared" si="27"/>
        <v>0</v>
      </c>
      <c r="AE84" s="153">
        <f t="shared" si="28"/>
        <v>0</v>
      </c>
      <c r="AF84" s="154">
        <f t="shared" si="29"/>
        <v>0</v>
      </c>
    </row>
    <row r="85" spans="1:32" x14ac:dyDescent="0.3">
      <c r="A85" s="22">
        <v>82</v>
      </c>
      <c r="B85" s="155"/>
      <c r="C85" s="22"/>
      <c r="D85" s="22"/>
      <c r="E85" s="22"/>
      <c r="F85" s="153">
        <f t="shared" si="15"/>
        <v>0</v>
      </c>
      <c r="G85" s="153">
        <f t="shared" si="16"/>
        <v>0</v>
      </c>
      <c r="H85" s="154">
        <f t="shared" si="17"/>
        <v>0</v>
      </c>
      <c r="I85" s="108"/>
      <c r="J85" s="22"/>
      <c r="K85" s="22"/>
      <c r="L85" s="153">
        <f t="shared" si="18"/>
        <v>0</v>
      </c>
      <c r="M85" s="153">
        <f t="shared" si="19"/>
        <v>0</v>
      </c>
      <c r="N85" s="154">
        <f t="shared" si="20"/>
        <v>0</v>
      </c>
      <c r="O85" s="22"/>
      <c r="P85" s="22"/>
      <c r="Q85" s="22"/>
      <c r="R85" s="153">
        <f t="shared" si="21"/>
        <v>0</v>
      </c>
      <c r="S85" s="153">
        <f t="shared" si="22"/>
        <v>0</v>
      </c>
      <c r="T85" s="154">
        <f t="shared" si="23"/>
        <v>0</v>
      </c>
      <c r="U85" s="22"/>
      <c r="V85" s="22"/>
      <c r="W85" s="22"/>
      <c r="X85" s="153">
        <f t="shared" si="24"/>
        <v>0</v>
      </c>
      <c r="Y85" s="153">
        <f t="shared" si="25"/>
        <v>0</v>
      </c>
      <c r="Z85" s="154">
        <f t="shared" si="26"/>
        <v>0</v>
      </c>
      <c r="AA85" s="22"/>
      <c r="AB85" s="22"/>
      <c r="AC85" s="22"/>
      <c r="AD85" s="153">
        <f t="shared" si="27"/>
        <v>0</v>
      </c>
      <c r="AE85" s="153">
        <f t="shared" si="28"/>
        <v>0</v>
      </c>
      <c r="AF85" s="154">
        <f t="shared" si="29"/>
        <v>0</v>
      </c>
    </row>
    <row r="86" spans="1:32" x14ac:dyDescent="0.3">
      <c r="A86" s="22">
        <v>83</v>
      </c>
      <c r="B86" s="155"/>
      <c r="C86" s="22"/>
      <c r="D86" s="22"/>
      <c r="E86" s="22"/>
      <c r="F86" s="153">
        <f t="shared" si="15"/>
        <v>0</v>
      </c>
      <c r="G86" s="153">
        <f t="shared" si="16"/>
        <v>0</v>
      </c>
      <c r="H86" s="154">
        <f t="shared" si="17"/>
        <v>0</v>
      </c>
      <c r="I86" s="108"/>
      <c r="J86" s="22"/>
      <c r="K86" s="22"/>
      <c r="L86" s="153">
        <f t="shared" si="18"/>
        <v>0</v>
      </c>
      <c r="M86" s="153">
        <f t="shared" si="19"/>
        <v>0</v>
      </c>
      <c r="N86" s="154">
        <f t="shared" si="20"/>
        <v>0</v>
      </c>
      <c r="O86" s="22"/>
      <c r="P86" s="22"/>
      <c r="Q86" s="22"/>
      <c r="R86" s="153">
        <f t="shared" si="21"/>
        <v>0</v>
      </c>
      <c r="S86" s="153">
        <f t="shared" si="22"/>
        <v>0</v>
      </c>
      <c r="T86" s="154">
        <f t="shared" si="23"/>
        <v>0</v>
      </c>
      <c r="U86" s="22"/>
      <c r="V86" s="22"/>
      <c r="W86" s="22"/>
      <c r="X86" s="153">
        <f t="shared" si="24"/>
        <v>0</v>
      </c>
      <c r="Y86" s="153">
        <f t="shared" si="25"/>
        <v>0</v>
      </c>
      <c r="Z86" s="154">
        <f t="shared" si="26"/>
        <v>0</v>
      </c>
      <c r="AA86" s="22"/>
      <c r="AB86" s="22"/>
      <c r="AC86" s="22"/>
      <c r="AD86" s="153">
        <f t="shared" si="27"/>
        <v>0</v>
      </c>
      <c r="AE86" s="153">
        <f t="shared" si="28"/>
        <v>0</v>
      </c>
      <c r="AF86" s="154">
        <f t="shared" si="29"/>
        <v>0</v>
      </c>
    </row>
    <row r="87" spans="1:32" x14ac:dyDescent="0.3">
      <c r="A87" s="22">
        <v>84</v>
      </c>
      <c r="B87" s="155"/>
      <c r="C87" s="22"/>
      <c r="D87" s="22"/>
      <c r="E87" s="22"/>
      <c r="F87" s="153">
        <f t="shared" si="15"/>
        <v>0</v>
      </c>
      <c r="G87" s="153">
        <f t="shared" si="16"/>
        <v>0</v>
      </c>
      <c r="H87" s="154">
        <f t="shared" si="17"/>
        <v>0</v>
      </c>
      <c r="I87" s="108"/>
      <c r="J87" s="22"/>
      <c r="K87" s="22"/>
      <c r="L87" s="153">
        <f t="shared" si="18"/>
        <v>0</v>
      </c>
      <c r="M87" s="153">
        <f t="shared" si="19"/>
        <v>0</v>
      </c>
      <c r="N87" s="154">
        <f t="shared" si="20"/>
        <v>0</v>
      </c>
      <c r="O87" s="22"/>
      <c r="P87" s="22"/>
      <c r="Q87" s="22"/>
      <c r="R87" s="153">
        <f t="shared" si="21"/>
        <v>0</v>
      </c>
      <c r="S87" s="153">
        <f t="shared" si="22"/>
        <v>0</v>
      </c>
      <c r="T87" s="154">
        <f t="shared" si="23"/>
        <v>0</v>
      </c>
      <c r="U87" s="22"/>
      <c r="V87" s="22"/>
      <c r="W87" s="22"/>
      <c r="X87" s="153">
        <f t="shared" si="24"/>
        <v>0</v>
      </c>
      <c r="Y87" s="153">
        <f t="shared" si="25"/>
        <v>0</v>
      </c>
      <c r="Z87" s="154">
        <f t="shared" si="26"/>
        <v>0</v>
      </c>
      <c r="AA87" s="22"/>
      <c r="AB87" s="22"/>
      <c r="AC87" s="22"/>
      <c r="AD87" s="153">
        <f t="shared" si="27"/>
        <v>0</v>
      </c>
      <c r="AE87" s="153">
        <f t="shared" si="28"/>
        <v>0</v>
      </c>
      <c r="AF87" s="154">
        <f t="shared" si="29"/>
        <v>0</v>
      </c>
    </row>
    <row r="88" spans="1:32" x14ac:dyDescent="0.3">
      <c r="A88" s="22">
        <v>85</v>
      </c>
      <c r="B88" s="155"/>
      <c r="C88" s="22"/>
      <c r="D88" s="22"/>
      <c r="E88" s="22"/>
      <c r="F88" s="153">
        <f t="shared" si="15"/>
        <v>0</v>
      </c>
      <c r="G88" s="153">
        <f t="shared" si="16"/>
        <v>0</v>
      </c>
      <c r="H88" s="154">
        <f t="shared" si="17"/>
        <v>0</v>
      </c>
      <c r="I88" s="108"/>
      <c r="J88" s="22"/>
      <c r="K88" s="22"/>
      <c r="L88" s="153">
        <f t="shared" si="18"/>
        <v>0</v>
      </c>
      <c r="M88" s="153">
        <f t="shared" si="19"/>
        <v>0</v>
      </c>
      <c r="N88" s="154">
        <f t="shared" si="20"/>
        <v>0</v>
      </c>
      <c r="O88" s="22"/>
      <c r="P88" s="22"/>
      <c r="Q88" s="22"/>
      <c r="R88" s="153">
        <f t="shared" si="21"/>
        <v>0</v>
      </c>
      <c r="S88" s="153">
        <f t="shared" si="22"/>
        <v>0</v>
      </c>
      <c r="T88" s="154">
        <f t="shared" si="23"/>
        <v>0</v>
      </c>
      <c r="U88" s="22"/>
      <c r="V88" s="22"/>
      <c r="W88" s="22"/>
      <c r="X88" s="153">
        <f t="shared" si="24"/>
        <v>0</v>
      </c>
      <c r="Y88" s="153">
        <f t="shared" si="25"/>
        <v>0</v>
      </c>
      <c r="Z88" s="154">
        <f t="shared" si="26"/>
        <v>0</v>
      </c>
      <c r="AA88" s="22"/>
      <c r="AB88" s="22"/>
      <c r="AC88" s="22"/>
      <c r="AD88" s="153">
        <f t="shared" si="27"/>
        <v>0</v>
      </c>
      <c r="AE88" s="153">
        <f t="shared" si="28"/>
        <v>0</v>
      </c>
      <c r="AF88" s="154">
        <f t="shared" si="29"/>
        <v>0</v>
      </c>
    </row>
    <row r="89" spans="1:32" x14ac:dyDescent="0.3">
      <c r="A89" s="22">
        <v>86</v>
      </c>
      <c r="B89" s="155"/>
      <c r="C89" s="22"/>
      <c r="D89" s="22"/>
      <c r="E89" s="22"/>
      <c r="F89" s="153">
        <f t="shared" si="15"/>
        <v>0</v>
      </c>
      <c r="G89" s="153">
        <f t="shared" si="16"/>
        <v>0</v>
      </c>
      <c r="H89" s="154">
        <f t="shared" si="17"/>
        <v>0</v>
      </c>
      <c r="I89" s="108"/>
      <c r="J89" s="22"/>
      <c r="K89" s="22"/>
      <c r="L89" s="153">
        <f t="shared" si="18"/>
        <v>0</v>
      </c>
      <c r="M89" s="153">
        <f t="shared" si="19"/>
        <v>0</v>
      </c>
      <c r="N89" s="154">
        <f t="shared" si="20"/>
        <v>0</v>
      </c>
      <c r="O89" s="22"/>
      <c r="P89" s="22"/>
      <c r="Q89" s="22"/>
      <c r="R89" s="153">
        <f t="shared" si="21"/>
        <v>0</v>
      </c>
      <c r="S89" s="153">
        <f t="shared" si="22"/>
        <v>0</v>
      </c>
      <c r="T89" s="154">
        <f t="shared" si="23"/>
        <v>0</v>
      </c>
      <c r="U89" s="22"/>
      <c r="V89" s="22"/>
      <c r="W89" s="22"/>
      <c r="X89" s="153">
        <f t="shared" si="24"/>
        <v>0</v>
      </c>
      <c r="Y89" s="153">
        <f t="shared" si="25"/>
        <v>0</v>
      </c>
      <c r="Z89" s="154">
        <f t="shared" si="26"/>
        <v>0</v>
      </c>
      <c r="AA89" s="22"/>
      <c r="AB89" s="22"/>
      <c r="AC89" s="22"/>
      <c r="AD89" s="153">
        <f t="shared" si="27"/>
        <v>0</v>
      </c>
      <c r="AE89" s="153">
        <f t="shared" si="28"/>
        <v>0</v>
      </c>
      <c r="AF89" s="154">
        <f t="shared" si="29"/>
        <v>0</v>
      </c>
    </row>
    <row r="90" spans="1:32" x14ac:dyDescent="0.3">
      <c r="A90" s="22">
        <v>87</v>
      </c>
      <c r="B90" s="155"/>
      <c r="C90" s="22"/>
      <c r="D90" s="22"/>
      <c r="E90" s="22"/>
      <c r="F90" s="153">
        <f t="shared" si="15"/>
        <v>0</v>
      </c>
      <c r="G90" s="153">
        <f t="shared" si="16"/>
        <v>0</v>
      </c>
      <c r="H90" s="154">
        <f t="shared" si="17"/>
        <v>0</v>
      </c>
      <c r="I90" s="108"/>
      <c r="J90" s="22"/>
      <c r="K90" s="22"/>
      <c r="L90" s="153">
        <f t="shared" si="18"/>
        <v>0</v>
      </c>
      <c r="M90" s="153">
        <f t="shared" si="19"/>
        <v>0</v>
      </c>
      <c r="N90" s="154">
        <f t="shared" si="20"/>
        <v>0</v>
      </c>
      <c r="O90" s="22"/>
      <c r="P90" s="22"/>
      <c r="Q90" s="22"/>
      <c r="R90" s="153">
        <f t="shared" si="21"/>
        <v>0</v>
      </c>
      <c r="S90" s="153">
        <f t="shared" si="22"/>
        <v>0</v>
      </c>
      <c r="T90" s="154">
        <f t="shared" si="23"/>
        <v>0</v>
      </c>
      <c r="U90" s="22"/>
      <c r="V90" s="22"/>
      <c r="W90" s="22"/>
      <c r="X90" s="153">
        <f t="shared" si="24"/>
        <v>0</v>
      </c>
      <c r="Y90" s="153">
        <f t="shared" si="25"/>
        <v>0</v>
      </c>
      <c r="Z90" s="154">
        <f t="shared" si="26"/>
        <v>0</v>
      </c>
      <c r="AA90" s="22"/>
      <c r="AB90" s="22"/>
      <c r="AC90" s="22"/>
      <c r="AD90" s="153">
        <f t="shared" si="27"/>
        <v>0</v>
      </c>
      <c r="AE90" s="153">
        <f t="shared" si="28"/>
        <v>0</v>
      </c>
      <c r="AF90" s="154">
        <f t="shared" si="29"/>
        <v>0</v>
      </c>
    </row>
    <row r="91" spans="1:32" x14ac:dyDescent="0.3">
      <c r="A91" s="22">
        <v>88</v>
      </c>
      <c r="B91" s="155"/>
      <c r="C91" s="22"/>
      <c r="D91" s="22"/>
      <c r="E91" s="22"/>
      <c r="F91" s="153">
        <f t="shared" si="15"/>
        <v>0</v>
      </c>
      <c r="G91" s="153">
        <f t="shared" si="16"/>
        <v>0</v>
      </c>
      <c r="H91" s="154">
        <f t="shared" si="17"/>
        <v>0</v>
      </c>
      <c r="I91" s="108"/>
      <c r="J91" s="22"/>
      <c r="K91" s="22"/>
      <c r="L91" s="153">
        <f t="shared" si="18"/>
        <v>0</v>
      </c>
      <c r="M91" s="153">
        <f t="shared" si="19"/>
        <v>0</v>
      </c>
      <c r="N91" s="154">
        <f t="shared" si="20"/>
        <v>0</v>
      </c>
      <c r="O91" s="22"/>
      <c r="P91" s="22"/>
      <c r="Q91" s="22"/>
      <c r="R91" s="153">
        <f t="shared" si="21"/>
        <v>0</v>
      </c>
      <c r="S91" s="153">
        <f t="shared" si="22"/>
        <v>0</v>
      </c>
      <c r="T91" s="154">
        <f t="shared" si="23"/>
        <v>0</v>
      </c>
      <c r="U91" s="22"/>
      <c r="V91" s="22"/>
      <c r="W91" s="22"/>
      <c r="X91" s="153">
        <f t="shared" si="24"/>
        <v>0</v>
      </c>
      <c r="Y91" s="153">
        <f t="shared" si="25"/>
        <v>0</v>
      </c>
      <c r="Z91" s="154">
        <f t="shared" si="26"/>
        <v>0</v>
      </c>
      <c r="AA91" s="22"/>
      <c r="AB91" s="22"/>
      <c r="AC91" s="22"/>
      <c r="AD91" s="153">
        <f t="shared" si="27"/>
        <v>0</v>
      </c>
      <c r="AE91" s="153">
        <f t="shared" si="28"/>
        <v>0</v>
      </c>
      <c r="AF91" s="154">
        <f t="shared" si="29"/>
        <v>0</v>
      </c>
    </row>
    <row r="92" spans="1:32" x14ac:dyDescent="0.3">
      <c r="A92" s="22">
        <v>89</v>
      </c>
      <c r="B92" s="155"/>
      <c r="C92" s="22"/>
      <c r="D92" s="22"/>
      <c r="E92" s="22"/>
      <c r="F92" s="153">
        <f t="shared" si="15"/>
        <v>0</v>
      </c>
      <c r="G92" s="153">
        <f t="shared" si="16"/>
        <v>0</v>
      </c>
      <c r="H92" s="154">
        <f t="shared" si="17"/>
        <v>0</v>
      </c>
      <c r="I92" s="108"/>
      <c r="J92" s="22"/>
      <c r="K92" s="22"/>
      <c r="L92" s="153">
        <f t="shared" si="18"/>
        <v>0</v>
      </c>
      <c r="M92" s="153">
        <f t="shared" si="19"/>
        <v>0</v>
      </c>
      <c r="N92" s="154">
        <f t="shared" si="20"/>
        <v>0</v>
      </c>
      <c r="O92" s="22"/>
      <c r="P92" s="22"/>
      <c r="Q92" s="22"/>
      <c r="R92" s="153">
        <f t="shared" si="21"/>
        <v>0</v>
      </c>
      <c r="S92" s="153">
        <f t="shared" si="22"/>
        <v>0</v>
      </c>
      <c r="T92" s="154">
        <f t="shared" si="23"/>
        <v>0</v>
      </c>
      <c r="U92" s="22"/>
      <c r="V92" s="22"/>
      <c r="W92" s="22"/>
      <c r="X92" s="153">
        <f t="shared" si="24"/>
        <v>0</v>
      </c>
      <c r="Y92" s="153">
        <f t="shared" si="25"/>
        <v>0</v>
      </c>
      <c r="Z92" s="154">
        <f t="shared" si="26"/>
        <v>0</v>
      </c>
      <c r="AA92" s="22"/>
      <c r="AB92" s="22"/>
      <c r="AC92" s="22"/>
      <c r="AD92" s="153">
        <f t="shared" si="27"/>
        <v>0</v>
      </c>
      <c r="AE92" s="153">
        <f t="shared" si="28"/>
        <v>0</v>
      </c>
      <c r="AF92" s="154">
        <f t="shared" si="29"/>
        <v>0</v>
      </c>
    </row>
    <row r="93" spans="1:32" x14ac:dyDescent="0.3">
      <c r="A93" s="22">
        <v>90</v>
      </c>
      <c r="B93" s="155"/>
      <c r="C93" s="22"/>
      <c r="D93" s="22"/>
      <c r="E93" s="22"/>
      <c r="F93" s="153">
        <f t="shared" si="15"/>
        <v>0</v>
      </c>
      <c r="G93" s="153">
        <f t="shared" si="16"/>
        <v>0</v>
      </c>
      <c r="H93" s="154">
        <f t="shared" si="17"/>
        <v>0</v>
      </c>
      <c r="I93" s="108"/>
      <c r="J93" s="22"/>
      <c r="K93" s="22"/>
      <c r="L93" s="153">
        <f t="shared" si="18"/>
        <v>0</v>
      </c>
      <c r="M93" s="153">
        <f t="shared" si="19"/>
        <v>0</v>
      </c>
      <c r="N93" s="154">
        <f t="shared" si="20"/>
        <v>0</v>
      </c>
      <c r="O93" s="22"/>
      <c r="P93" s="22"/>
      <c r="Q93" s="22"/>
      <c r="R93" s="153">
        <f t="shared" si="21"/>
        <v>0</v>
      </c>
      <c r="S93" s="153">
        <f t="shared" si="22"/>
        <v>0</v>
      </c>
      <c r="T93" s="154">
        <f t="shared" si="23"/>
        <v>0</v>
      </c>
      <c r="U93" s="22"/>
      <c r="V93" s="22"/>
      <c r="W93" s="22"/>
      <c r="X93" s="153">
        <f t="shared" si="24"/>
        <v>0</v>
      </c>
      <c r="Y93" s="153">
        <f t="shared" si="25"/>
        <v>0</v>
      </c>
      <c r="Z93" s="154">
        <f t="shared" si="26"/>
        <v>0</v>
      </c>
      <c r="AA93" s="22"/>
      <c r="AB93" s="22"/>
      <c r="AC93" s="22"/>
      <c r="AD93" s="153">
        <f t="shared" si="27"/>
        <v>0</v>
      </c>
      <c r="AE93" s="153">
        <f t="shared" si="28"/>
        <v>0</v>
      </c>
      <c r="AF93" s="154">
        <f t="shared" si="29"/>
        <v>0</v>
      </c>
    </row>
    <row r="94" spans="1:32" x14ac:dyDescent="0.3">
      <c r="A94" s="22">
        <v>91</v>
      </c>
      <c r="B94" s="155"/>
      <c r="C94" s="22"/>
      <c r="D94" s="22"/>
      <c r="E94" s="22"/>
      <c r="F94" s="153">
        <f t="shared" si="15"/>
        <v>0</v>
      </c>
      <c r="G94" s="153">
        <f t="shared" si="16"/>
        <v>0</v>
      </c>
      <c r="H94" s="154">
        <f t="shared" si="17"/>
        <v>0</v>
      </c>
      <c r="I94" s="108"/>
      <c r="J94" s="22"/>
      <c r="K94" s="22"/>
      <c r="L94" s="153">
        <f t="shared" si="18"/>
        <v>0</v>
      </c>
      <c r="M94" s="153">
        <f t="shared" si="19"/>
        <v>0</v>
      </c>
      <c r="N94" s="154">
        <f t="shared" si="20"/>
        <v>0</v>
      </c>
      <c r="O94" s="22"/>
      <c r="P94" s="22"/>
      <c r="Q94" s="22"/>
      <c r="R94" s="153">
        <f t="shared" si="21"/>
        <v>0</v>
      </c>
      <c r="S94" s="153">
        <f t="shared" si="22"/>
        <v>0</v>
      </c>
      <c r="T94" s="154">
        <f t="shared" si="23"/>
        <v>0</v>
      </c>
      <c r="U94" s="22"/>
      <c r="V94" s="22"/>
      <c r="W94" s="22"/>
      <c r="X94" s="153">
        <f t="shared" si="24"/>
        <v>0</v>
      </c>
      <c r="Y94" s="153">
        <f t="shared" si="25"/>
        <v>0</v>
      </c>
      <c r="Z94" s="154">
        <f t="shared" si="26"/>
        <v>0</v>
      </c>
      <c r="AA94" s="22"/>
      <c r="AB94" s="22"/>
      <c r="AC94" s="22"/>
      <c r="AD94" s="153">
        <f t="shared" si="27"/>
        <v>0</v>
      </c>
      <c r="AE94" s="153">
        <f t="shared" si="28"/>
        <v>0</v>
      </c>
      <c r="AF94" s="154">
        <f t="shared" si="29"/>
        <v>0</v>
      </c>
    </row>
    <row r="95" spans="1:32" x14ac:dyDescent="0.3">
      <c r="A95" s="22">
        <v>92</v>
      </c>
      <c r="B95" s="155"/>
      <c r="C95" s="22"/>
      <c r="D95" s="22"/>
      <c r="E95" s="22"/>
      <c r="F95" s="153">
        <f t="shared" si="15"/>
        <v>0</v>
      </c>
      <c r="G95" s="153">
        <f t="shared" si="16"/>
        <v>0</v>
      </c>
      <c r="H95" s="154">
        <f t="shared" si="17"/>
        <v>0</v>
      </c>
      <c r="I95" s="108"/>
      <c r="J95" s="22"/>
      <c r="K95" s="22"/>
      <c r="L95" s="153">
        <f t="shared" si="18"/>
        <v>0</v>
      </c>
      <c r="M95" s="153">
        <f t="shared" si="19"/>
        <v>0</v>
      </c>
      <c r="N95" s="154">
        <f t="shared" si="20"/>
        <v>0</v>
      </c>
      <c r="O95" s="22"/>
      <c r="P95" s="22"/>
      <c r="Q95" s="22"/>
      <c r="R95" s="153">
        <f t="shared" si="21"/>
        <v>0</v>
      </c>
      <c r="S95" s="153">
        <f t="shared" si="22"/>
        <v>0</v>
      </c>
      <c r="T95" s="154">
        <f t="shared" si="23"/>
        <v>0</v>
      </c>
      <c r="U95" s="22"/>
      <c r="V95" s="22"/>
      <c r="W95" s="22"/>
      <c r="X95" s="153">
        <f t="shared" si="24"/>
        <v>0</v>
      </c>
      <c r="Y95" s="153">
        <f t="shared" si="25"/>
        <v>0</v>
      </c>
      <c r="Z95" s="154">
        <f t="shared" si="26"/>
        <v>0</v>
      </c>
      <c r="AA95" s="22"/>
      <c r="AB95" s="22"/>
      <c r="AC95" s="22"/>
      <c r="AD95" s="153">
        <f t="shared" si="27"/>
        <v>0</v>
      </c>
      <c r="AE95" s="153">
        <f t="shared" si="28"/>
        <v>0</v>
      </c>
      <c r="AF95" s="154">
        <f t="shared" si="29"/>
        <v>0</v>
      </c>
    </row>
    <row r="96" spans="1:32" x14ac:dyDescent="0.3">
      <c r="A96" s="22">
        <v>93</v>
      </c>
      <c r="B96" s="155"/>
      <c r="C96" s="22"/>
      <c r="D96" s="22"/>
      <c r="E96" s="22"/>
      <c r="F96" s="153">
        <f t="shared" si="15"/>
        <v>0</v>
      </c>
      <c r="G96" s="153">
        <f t="shared" si="16"/>
        <v>0</v>
      </c>
      <c r="H96" s="154">
        <f t="shared" si="17"/>
        <v>0</v>
      </c>
      <c r="I96" s="108"/>
      <c r="J96" s="22"/>
      <c r="K96" s="22"/>
      <c r="L96" s="153">
        <f t="shared" si="18"/>
        <v>0</v>
      </c>
      <c r="M96" s="153">
        <f t="shared" si="19"/>
        <v>0</v>
      </c>
      <c r="N96" s="154">
        <f t="shared" si="20"/>
        <v>0</v>
      </c>
      <c r="O96" s="22"/>
      <c r="P96" s="22"/>
      <c r="Q96" s="22"/>
      <c r="R96" s="153">
        <f t="shared" si="21"/>
        <v>0</v>
      </c>
      <c r="S96" s="153">
        <f t="shared" si="22"/>
        <v>0</v>
      </c>
      <c r="T96" s="154">
        <f t="shared" si="23"/>
        <v>0</v>
      </c>
      <c r="U96" s="22"/>
      <c r="V96" s="22"/>
      <c r="W96" s="22"/>
      <c r="X96" s="153">
        <f t="shared" si="24"/>
        <v>0</v>
      </c>
      <c r="Y96" s="153">
        <f t="shared" si="25"/>
        <v>0</v>
      </c>
      <c r="Z96" s="154">
        <f t="shared" si="26"/>
        <v>0</v>
      </c>
      <c r="AA96" s="22"/>
      <c r="AB96" s="22"/>
      <c r="AC96" s="22"/>
      <c r="AD96" s="153">
        <f t="shared" si="27"/>
        <v>0</v>
      </c>
      <c r="AE96" s="153">
        <f t="shared" si="28"/>
        <v>0</v>
      </c>
      <c r="AF96" s="154">
        <f t="shared" si="29"/>
        <v>0</v>
      </c>
    </row>
    <row r="97" spans="1:32" x14ac:dyDescent="0.3">
      <c r="A97" s="22">
        <v>94</v>
      </c>
      <c r="B97" s="155"/>
      <c r="C97" s="22"/>
      <c r="D97" s="22"/>
      <c r="E97" s="22"/>
      <c r="F97" s="153">
        <f t="shared" si="15"/>
        <v>0</v>
      </c>
      <c r="G97" s="153">
        <f t="shared" si="16"/>
        <v>0</v>
      </c>
      <c r="H97" s="154">
        <f t="shared" si="17"/>
        <v>0</v>
      </c>
      <c r="I97" s="108"/>
      <c r="J97" s="22"/>
      <c r="K97" s="22"/>
      <c r="L97" s="153">
        <f t="shared" si="18"/>
        <v>0</v>
      </c>
      <c r="M97" s="153">
        <f t="shared" si="19"/>
        <v>0</v>
      </c>
      <c r="N97" s="154">
        <f t="shared" si="20"/>
        <v>0</v>
      </c>
      <c r="O97" s="22"/>
      <c r="P97" s="22"/>
      <c r="Q97" s="22"/>
      <c r="R97" s="153">
        <f t="shared" si="21"/>
        <v>0</v>
      </c>
      <c r="S97" s="153">
        <f t="shared" si="22"/>
        <v>0</v>
      </c>
      <c r="T97" s="154">
        <f t="shared" si="23"/>
        <v>0</v>
      </c>
      <c r="U97" s="22"/>
      <c r="V97" s="22"/>
      <c r="W97" s="22"/>
      <c r="X97" s="153">
        <f t="shared" si="24"/>
        <v>0</v>
      </c>
      <c r="Y97" s="153">
        <f t="shared" si="25"/>
        <v>0</v>
      </c>
      <c r="Z97" s="154">
        <f t="shared" si="26"/>
        <v>0</v>
      </c>
      <c r="AA97" s="22"/>
      <c r="AB97" s="22"/>
      <c r="AC97" s="22"/>
      <c r="AD97" s="153">
        <f t="shared" si="27"/>
        <v>0</v>
      </c>
      <c r="AE97" s="153">
        <f t="shared" si="28"/>
        <v>0</v>
      </c>
      <c r="AF97" s="154">
        <f t="shared" si="29"/>
        <v>0</v>
      </c>
    </row>
    <row r="98" spans="1:32" x14ac:dyDescent="0.3">
      <c r="A98" s="22">
        <v>95</v>
      </c>
      <c r="B98" s="155"/>
      <c r="C98" s="22"/>
      <c r="D98" s="22"/>
      <c r="E98" s="22"/>
      <c r="F98" s="153">
        <f t="shared" si="15"/>
        <v>0</v>
      </c>
      <c r="G98" s="153">
        <f t="shared" si="16"/>
        <v>0</v>
      </c>
      <c r="H98" s="154">
        <f t="shared" si="17"/>
        <v>0</v>
      </c>
      <c r="I98" s="108"/>
      <c r="J98" s="22"/>
      <c r="K98" s="22"/>
      <c r="L98" s="153">
        <f t="shared" si="18"/>
        <v>0</v>
      </c>
      <c r="M98" s="153">
        <f t="shared" si="19"/>
        <v>0</v>
      </c>
      <c r="N98" s="154">
        <f t="shared" si="20"/>
        <v>0</v>
      </c>
      <c r="O98" s="22"/>
      <c r="P98" s="22"/>
      <c r="Q98" s="22"/>
      <c r="R98" s="153">
        <f t="shared" si="21"/>
        <v>0</v>
      </c>
      <c r="S98" s="153">
        <f t="shared" si="22"/>
        <v>0</v>
      </c>
      <c r="T98" s="154">
        <f t="shared" si="23"/>
        <v>0</v>
      </c>
      <c r="U98" s="22"/>
      <c r="V98" s="22"/>
      <c r="W98" s="22"/>
      <c r="X98" s="153">
        <f t="shared" si="24"/>
        <v>0</v>
      </c>
      <c r="Y98" s="153">
        <f t="shared" si="25"/>
        <v>0</v>
      </c>
      <c r="Z98" s="154">
        <f t="shared" si="26"/>
        <v>0</v>
      </c>
      <c r="AA98" s="22"/>
      <c r="AB98" s="22"/>
      <c r="AC98" s="22"/>
      <c r="AD98" s="153">
        <f t="shared" si="27"/>
        <v>0</v>
      </c>
      <c r="AE98" s="153">
        <f t="shared" si="28"/>
        <v>0</v>
      </c>
      <c r="AF98" s="154">
        <f t="shared" si="29"/>
        <v>0</v>
      </c>
    </row>
    <row r="99" spans="1:32" x14ac:dyDescent="0.3">
      <c r="A99" s="22">
        <v>96</v>
      </c>
      <c r="B99" s="155"/>
      <c r="C99" s="22"/>
      <c r="D99" s="22"/>
      <c r="E99" s="22"/>
      <c r="F99" s="153">
        <f t="shared" si="15"/>
        <v>0</v>
      </c>
      <c r="G99" s="153">
        <f t="shared" si="16"/>
        <v>0</v>
      </c>
      <c r="H99" s="154">
        <f t="shared" si="17"/>
        <v>0</v>
      </c>
      <c r="I99" s="108"/>
      <c r="J99" s="22"/>
      <c r="K99" s="22"/>
      <c r="L99" s="153">
        <f t="shared" si="18"/>
        <v>0</v>
      </c>
      <c r="M99" s="153">
        <f t="shared" si="19"/>
        <v>0</v>
      </c>
      <c r="N99" s="154">
        <f t="shared" si="20"/>
        <v>0</v>
      </c>
      <c r="O99" s="22"/>
      <c r="P99" s="22"/>
      <c r="Q99" s="22"/>
      <c r="R99" s="153">
        <f t="shared" si="21"/>
        <v>0</v>
      </c>
      <c r="S99" s="153">
        <f t="shared" si="22"/>
        <v>0</v>
      </c>
      <c r="T99" s="154">
        <f t="shared" si="23"/>
        <v>0</v>
      </c>
      <c r="U99" s="22"/>
      <c r="V99" s="22"/>
      <c r="W99" s="22"/>
      <c r="X99" s="153">
        <f t="shared" si="24"/>
        <v>0</v>
      </c>
      <c r="Y99" s="153">
        <f t="shared" si="25"/>
        <v>0</v>
      </c>
      <c r="Z99" s="154">
        <f t="shared" si="26"/>
        <v>0</v>
      </c>
      <c r="AA99" s="22"/>
      <c r="AB99" s="22"/>
      <c r="AC99" s="22"/>
      <c r="AD99" s="153">
        <f t="shared" si="27"/>
        <v>0</v>
      </c>
      <c r="AE99" s="153">
        <f t="shared" si="28"/>
        <v>0</v>
      </c>
      <c r="AF99" s="154">
        <f t="shared" si="29"/>
        <v>0</v>
      </c>
    </row>
    <row r="100" spans="1:32" x14ac:dyDescent="0.3">
      <c r="A100" s="22">
        <v>97</v>
      </c>
      <c r="B100" s="155"/>
      <c r="C100" s="22"/>
      <c r="D100" s="22"/>
      <c r="E100" s="22"/>
      <c r="F100" s="153">
        <f t="shared" si="15"/>
        <v>0</v>
      </c>
      <c r="G100" s="153">
        <f t="shared" si="16"/>
        <v>0</v>
      </c>
      <c r="H100" s="154">
        <f t="shared" si="17"/>
        <v>0</v>
      </c>
      <c r="I100" s="108"/>
      <c r="J100" s="22"/>
      <c r="K100" s="22"/>
      <c r="L100" s="153">
        <f t="shared" si="18"/>
        <v>0</v>
      </c>
      <c r="M100" s="153">
        <f t="shared" si="19"/>
        <v>0</v>
      </c>
      <c r="N100" s="154">
        <f t="shared" si="20"/>
        <v>0</v>
      </c>
      <c r="O100" s="22"/>
      <c r="P100" s="22"/>
      <c r="Q100" s="22"/>
      <c r="R100" s="153">
        <f t="shared" si="21"/>
        <v>0</v>
      </c>
      <c r="S100" s="153">
        <f t="shared" si="22"/>
        <v>0</v>
      </c>
      <c r="T100" s="154">
        <f t="shared" si="23"/>
        <v>0</v>
      </c>
      <c r="U100" s="22"/>
      <c r="V100" s="22"/>
      <c r="W100" s="22"/>
      <c r="X100" s="153">
        <f t="shared" si="24"/>
        <v>0</v>
      </c>
      <c r="Y100" s="153">
        <f t="shared" si="25"/>
        <v>0</v>
      </c>
      <c r="Z100" s="154">
        <f t="shared" si="26"/>
        <v>0</v>
      </c>
      <c r="AA100" s="22"/>
      <c r="AB100" s="22"/>
      <c r="AC100" s="22"/>
      <c r="AD100" s="153">
        <f t="shared" si="27"/>
        <v>0</v>
      </c>
      <c r="AE100" s="153">
        <f t="shared" si="28"/>
        <v>0</v>
      </c>
      <c r="AF100" s="154">
        <f t="shared" si="29"/>
        <v>0</v>
      </c>
    </row>
    <row r="101" spans="1:32" x14ac:dyDescent="0.3">
      <c r="A101" s="22">
        <v>98</v>
      </c>
      <c r="B101" s="155"/>
      <c r="C101" s="22"/>
      <c r="D101" s="22"/>
      <c r="E101" s="22"/>
      <c r="F101" s="153">
        <f t="shared" si="15"/>
        <v>0</v>
      </c>
      <c r="G101" s="153">
        <f t="shared" si="16"/>
        <v>0</v>
      </c>
      <c r="H101" s="154">
        <f t="shared" si="17"/>
        <v>0</v>
      </c>
      <c r="I101" s="108"/>
      <c r="J101" s="22"/>
      <c r="K101" s="22"/>
      <c r="L101" s="153">
        <f t="shared" si="18"/>
        <v>0</v>
      </c>
      <c r="M101" s="153">
        <f t="shared" si="19"/>
        <v>0</v>
      </c>
      <c r="N101" s="154">
        <f t="shared" si="20"/>
        <v>0</v>
      </c>
      <c r="O101" s="22"/>
      <c r="P101" s="22"/>
      <c r="Q101" s="22"/>
      <c r="R101" s="153">
        <f t="shared" si="21"/>
        <v>0</v>
      </c>
      <c r="S101" s="153">
        <f t="shared" si="22"/>
        <v>0</v>
      </c>
      <c r="T101" s="154">
        <f t="shared" si="23"/>
        <v>0</v>
      </c>
      <c r="U101" s="22"/>
      <c r="V101" s="22"/>
      <c r="W101" s="22"/>
      <c r="X101" s="153">
        <f t="shared" si="24"/>
        <v>0</v>
      </c>
      <c r="Y101" s="153">
        <f t="shared" si="25"/>
        <v>0</v>
      </c>
      <c r="Z101" s="154">
        <f t="shared" si="26"/>
        <v>0</v>
      </c>
      <c r="AA101" s="22"/>
      <c r="AB101" s="22"/>
      <c r="AC101" s="22"/>
      <c r="AD101" s="153">
        <f t="shared" si="27"/>
        <v>0</v>
      </c>
      <c r="AE101" s="153">
        <f t="shared" si="28"/>
        <v>0</v>
      </c>
      <c r="AF101" s="154">
        <f t="shared" si="29"/>
        <v>0</v>
      </c>
    </row>
    <row r="102" spans="1:32" x14ac:dyDescent="0.3">
      <c r="A102" s="22">
        <v>99</v>
      </c>
      <c r="B102" s="155"/>
      <c r="C102" s="22"/>
      <c r="D102" s="22"/>
      <c r="E102" s="22"/>
      <c r="F102" s="153">
        <f t="shared" si="15"/>
        <v>0</v>
      </c>
      <c r="G102" s="153">
        <f t="shared" si="16"/>
        <v>0</v>
      </c>
      <c r="H102" s="154">
        <f t="shared" si="17"/>
        <v>0</v>
      </c>
      <c r="I102" s="108"/>
      <c r="J102" s="22"/>
      <c r="K102" s="22"/>
      <c r="L102" s="153">
        <f t="shared" si="18"/>
        <v>0</v>
      </c>
      <c r="M102" s="153">
        <f t="shared" si="19"/>
        <v>0</v>
      </c>
      <c r="N102" s="154">
        <f t="shared" si="20"/>
        <v>0</v>
      </c>
      <c r="O102" s="22"/>
      <c r="P102" s="22"/>
      <c r="Q102" s="22"/>
      <c r="R102" s="153">
        <f t="shared" si="21"/>
        <v>0</v>
      </c>
      <c r="S102" s="153">
        <f t="shared" si="22"/>
        <v>0</v>
      </c>
      <c r="T102" s="154">
        <f t="shared" si="23"/>
        <v>0</v>
      </c>
      <c r="U102" s="22"/>
      <c r="V102" s="22"/>
      <c r="W102" s="22"/>
      <c r="X102" s="153">
        <f t="shared" si="24"/>
        <v>0</v>
      </c>
      <c r="Y102" s="153">
        <f t="shared" si="25"/>
        <v>0</v>
      </c>
      <c r="Z102" s="154">
        <f t="shared" si="26"/>
        <v>0</v>
      </c>
      <c r="AA102" s="22"/>
      <c r="AB102" s="22"/>
      <c r="AC102" s="22"/>
      <c r="AD102" s="153">
        <f t="shared" si="27"/>
        <v>0</v>
      </c>
      <c r="AE102" s="153">
        <f t="shared" si="28"/>
        <v>0</v>
      </c>
      <c r="AF102" s="154">
        <f t="shared" si="29"/>
        <v>0</v>
      </c>
    </row>
    <row r="103" spans="1:32" x14ac:dyDescent="0.3">
      <c r="A103" s="22">
        <v>100</v>
      </c>
      <c r="B103" s="155"/>
      <c r="C103" s="22"/>
      <c r="D103" s="22"/>
      <c r="E103" s="22"/>
      <c r="F103" s="153">
        <f t="shared" si="15"/>
        <v>0</v>
      </c>
      <c r="G103" s="153">
        <f t="shared" si="16"/>
        <v>0</v>
      </c>
      <c r="H103" s="154">
        <f t="shared" si="17"/>
        <v>0</v>
      </c>
      <c r="I103" s="108"/>
      <c r="J103" s="22"/>
      <c r="K103" s="22"/>
      <c r="L103" s="153">
        <f t="shared" si="18"/>
        <v>0</v>
      </c>
      <c r="M103" s="153">
        <f t="shared" si="19"/>
        <v>0</v>
      </c>
      <c r="N103" s="154">
        <f t="shared" si="20"/>
        <v>0</v>
      </c>
      <c r="O103" s="22"/>
      <c r="P103" s="22"/>
      <c r="Q103" s="22"/>
      <c r="R103" s="153">
        <f t="shared" si="21"/>
        <v>0</v>
      </c>
      <c r="S103" s="153">
        <f t="shared" si="22"/>
        <v>0</v>
      </c>
      <c r="T103" s="154">
        <f t="shared" si="23"/>
        <v>0</v>
      </c>
      <c r="U103" s="22"/>
      <c r="V103" s="22"/>
      <c r="W103" s="22"/>
      <c r="X103" s="153">
        <f t="shared" si="24"/>
        <v>0</v>
      </c>
      <c r="Y103" s="153">
        <f t="shared" si="25"/>
        <v>0</v>
      </c>
      <c r="Z103" s="154">
        <f t="shared" si="26"/>
        <v>0</v>
      </c>
      <c r="AA103" s="22"/>
      <c r="AB103" s="22"/>
      <c r="AC103" s="22"/>
      <c r="AD103" s="153">
        <f t="shared" si="27"/>
        <v>0</v>
      </c>
      <c r="AE103" s="153">
        <f t="shared" si="28"/>
        <v>0</v>
      </c>
      <c r="AF103" s="154">
        <f t="shared" si="29"/>
        <v>0</v>
      </c>
    </row>
    <row r="104" spans="1:32" x14ac:dyDescent="0.3">
      <c r="A104" s="22">
        <v>101</v>
      </c>
      <c r="B104" s="155"/>
      <c r="C104" s="22"/>
      <c r="D104" s="22"/>
      <c r="E104" s="22"/>
      <c r="F104" s="153">
        <f t="shared" si="15"/>
        <v>0</v>
      </c>
      <c r="G104" s="153">
        <f t="shared" si="16"/>
        <v>0</v>
      </c>
      <c r="H104" s="154">
        <f t="shared" si="17"/>
        <v>0</v>
      </c>
      <c r="I104" s="108"/>
      <c r="J104" s="22"/>
      <c r="K104" s="22"/>
      <c r="L104" s="153">
        <f t="shared" si="18"/>
        <v>0</v>
      </c>
      <c r="M104" s="153">
        <f t="shared" si="19"/>
        <v>0</v>
      </c>
      <c r="N104" s="154">
        <f t="shared" si="20"/>
        <v>0</v>
      </c>
      <c r="O104" s="22"/>
      <c r="P104" s="22"/>
      <c r="Q104" s="22"/>
      <c r="R104" s="153">
        <f t="shared" si="21"/>
        <v>0</v>
      </c>
      <c r="S104" s="153">
        <f t="shared" si="22"/>
        <v>0</v>
      </c>
      <c r="T104" s="154">
        <f t="shared" si="23"/>
        <v>0</v>
      </c>
      <c r="U104" s="22"/>
      <c r="V104" s="22"/>
      <c r="W104" s="22"/>
      <c r="X104" s="153">
        <f t="shared" si="24"/>
        <v>0</v>
      </c>
      <c r="Y104" s="153">
        <f t="shared" si="25"/>
        <v>0</v>
      </c>
      <c r="Z104" s="154">
        <f t="shared" si="26"/>
        <v>0</v>
      </c>
      <c r="AA104" s="22"/>
      <c r="AB104" s="22"/>
      <c r="AC104" s="22"/>
      <c r="AD104" s="153">
        <f t="shared" si="27"/>
        <v>0</v>
      </c>
      <c r="AE104" s="153">
        <f t="shared" si="28"/>
        <v>0</v>
      </c>
      <c r="AF104" s="154">
        <f t="shared" si="29"/>
        <v>0</v>
      </c>
    </row>
    <row r="105" spans="1:32" x14ac:dyDescent="0.3">
      <c r="A105" s="22">
        <v>102</v>
      </c>
      <c r="B105" s="155"/>
      <c r="C105" s="22"/>
      <c r="D105" s="22"/>
      <c r="E105" s="22"/>
      <c r="F105" s="153">
        <f t="shared" si="15"/>
        <v>0</v>
      </c>
      <c r="G105" s="153">
        <f t="shared" si="16"/>
        <v>0</v>
      </c>
      <c r="H105" s="154">
        <f t="shared" si="17"/>
        <v>0</v>
      </c>
      <c r="I105" s="108"/>
      <c r="J105" s="22"/>
      <c r="K105" s="22"/>
      <c r="L105" s="153">
        <f t="shared" si="18"/>
        <v>0</v>
      </c>
      <c r="M105" s="153">
        <f t="shared" si="19"/>
        <v>0</v>
      </c>
      <c r="N105" s="154">
        <f t="shared" si="20"/>
        <v>0</v>
      </c>
      <c r="O105" s="22"/>
      <c r="P105" s="22"/>
      <c r="Q105" s="22"/>
      <c r="R105" s="153">
        <f t="shared" si="21"/>
        <v>0</v>
      </c>
      <c r="S105" s="153">
        <f t="shared" si="22"/>
        <v>0</v>
      </c>
      <c r="T105" s="154">
        <f t="shared" si="23"/>
        <v>0</v>
      </c>
      <c r="U105" s="22"/>
      <c r="V105" s="22"/>
      <c r="W105" s="22"/>
      <c r="X105" s="153">
        <f t="shared" si="24"/>
        <v>0</v>
      </c>
      <c r="Y105" s="153">
        <f t="shared" si="25"/>
        <v>0</v>
      </c>
      <c r="Z105" s="154">
        <f t="shared" si="26"/>
        <v>0</v>
      </c>
      <c r="AA105" s="22"/>
      <c r="AB105" s="22"/>
      <c r="AC105" s="22"/>
      <c r="AD105" s="153">
        <f t="shared" si="27"/>
        <v>0</v>
      </c>
      <c r="AE105" s="153">
        <f t="shared" si="28"/>
        <v>0</v>
      </c>
      <c r="AF105" s="154">
        <f t="shared" si="29"/>
        <v>0</v>
      </c>
    </row>
    <row r="106" spans="1:32" ht="14.5" thickBot="1" x14ac:dyDescent="0.35">
      <c r="A106" s="147">
        <v>103</v>
      </c>
      <c r="B106" s="155"/>
      <c r="C106" s="147"/>
      <c r="D106" s="147"/>
      <c r="E106" s="147"/>
      <c r="F106" s="153">
        <f t="shared" si="15"/>
        <v>0</v>
      </c>
      <c r="G106" s="153">
        <f t="shared" si="16"/>
        <v>0</v>
      </c>
      <c r="H106" s="154">
        <f t="shared" si="17"/>
        <v>0</v>
      </c>
      <c r="I106" s="150"/>
      <c r="J106" s="147"/>
      <c r="K106" s="147"/>
      <c r="L106" s="153">
        <f t="shared" si="18"/>
        <v>0</v>
      </c>
      <c r="M106" s="153">
        <f t="shared" si="19"/>
        <v>0</v>
      </c>
      <c r="N106" s="154">
        <f t="shared" si="20"/>
        <v>0</v>
      </c>
      <c r="O106" s="147"/>
      <c r="P106" s="147"/>
      <c r="Q106" s="147"/>
      <c r="R106" s="153">
        <f t="shared" si="21"/>
        <v>0</v>
      </c>
      <c r="S106" s="153">
        <f t="shared" si="22"/>
        <v>0</v>
      </c>
      <c r="T106" s="154">
        <f t="shared" si="23"/>
        <v>0</v>
      </c>
      <c r="U106" s="147"/>
      <c r="V106" s="147"/>
      <c r="W106" s="147"/>
      <c r="X106" s="153">
        <f t="shared" si="24"/>
        <v>0</v>
      </c>
      <c r="Y106" s="153">
        <f t="shared" si="25"/>
        <v>0</v>
      </c>
      <c r="Z106" s="154">
        <f t="shared" si="26"/>
        <v>0</v>
      </c>
      <c r="AA106" s="147"/>
      <c r="AB106" s="147"/>
      <c r="AC106" s="147"/>
      <c r="AD106" s="153">
        <f t="shared" si="27"/>
        <v>0</v>
      </c>
      <c r="AE106" s="153">
        <f t="shared" si="28"/>
        <v>0</v>
      </c>
      <c r="AF106" s="154">
        <f t="shared" si="29"/>
        <v>0</v>
      </c>
    </row>
    <row r="107" spans="1:32" ht="14.5" thickTop="1" x14ac:dyDescent="0.3"/>
  </sheetData>
  <autoFilter ref="A3:AR3" xr:uid="{00000000-0009-0000-0000-000009000000}"/>
  <mergeCells count="7">
    <mergeCell ref="I2:N2"/>
    <mergeCell ref="U2:Z2"/>
    <mergeCell ref="AA2:AF2"/>
    <mergeCell ref="A1:AF1"/>
    <mergeCell ref="O2:T2"/>
    <mergeCell ref="A2:A3"/>
    <mergeCell ref="C2:H2"/>
  </mergeCells>
  <pageMargins left="0.7" right="0.7" top="0.75" bottom="0.75" header="0.3" footer="0.3"/>
  <pageSetup paperSize="257" orientation="portrait" horizontalDpi="203" verticalDpi="20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5"/>
  <sheetViews>
    <sheetView rightToLeft="1" workbookViewId="0">
      <selection activeCell="D12" sqref="D12"/>
    </sheetView>
  </sheetViews>
  <sheetFormatPr defaultRowHeight="14" x14ac:dyDescent="0.3"/>
  <sheetData>
    <row r="1" spans="1:6" ht="27.65" customHeight="1" x14ac:dyDescent="0.3">
      <c r="A1" s="244" t="s">
        <v>652</v>
      </c>
      <c r="B1" s="244"/>
      <c r="C1" s="244"/>
      <c r="D1" s="244"/>
      <c r="E1" s="244"/>
      <c r="F1" s="244"/>
    </row>
    <row r="2" spans="1:6" ht="27.65" customHeight="1" x14ac:dyDescent="0.3">
      <c r="A2" s="4"/>
      <c r="B2" s="4" t="s">
        <v>657</v>
      </c>
      <c r="C2" s="4" t="s">
        <v>513</v>
      </c>
      <c r="D2" s="4" t="s">
        <v>513</v>
      </c>
      <c r="E2" s="4" t="s">
        <v>513</v>
      </c>
      <c r="F2" s="4" t="s">
        <v>513</v>
      </c>
    </row>
    <row r="3" spans="1:6" ht="27.65" customHeight="1" x14ac:dyDescent="0.3">
      <c r="A3" s="4"/>
      <c r="B3" s="4">
        <f>SUM(B5:B35)</f>
        <v>0</v>
      </c>
      <c r="C3" s="4">
        <f>SUM(C5:C35)</f>
        <v>0</v>
      </c>
      <c r="D3" s="4">
        <f>SUM(D5:D35)</f>
        <v>0</v>
      </c>
      <c r="E3" s="4">
        <f>SUM(E5:E35)</f>
        <v>0</v>
      </c>
      <c r="F3" s="4">
        <f>SUM(F5:F35)</f>
        <v>0</v>
      </c>
    </row>
    <row r="4" spans="1:6" x14ac:dyDescent="0.3">
      <c r="A4" s="22" t="s">
        <v>651</v>
      </c>
      <c r="B4" s="22" t="s">
        <v>458</v>
      </c>
      <c r="C4" s="22" t="s">
        <v>388</v>
      </c>
      <c r="D4" s="22" t="s">
        <v>47</v>
      </c>
      <c r="E4" s="22" t="s">
        <v>656</v>
      </c>
      <c r="F4" s="22" t="s">
        <v>4</v>
      </c>
    </row>
    <row r="5" spans="1:6" x14ac:dyDescent="0.3">
      <c r="A5" s="22">
        <v>1</v>
      </c>
      <c r="B5" s="22"/>
      <c r="C5" s="22"/>
      <c r="D5" s="22"/>
      <c r="E5" s="22"/>
      <c r="F5" s="22">
        <f>B5-C5-D5-E5</f>
        <v>0</v>
      </c>
    </row>
    <row r="6" spans="1:6" x14ac:dyDescent="0.3">
      <c r="A6" s="22">
        <v>2</v>
      </c>
      <c r="B6" s="22"/>
      <c r="C6" s="22"/>
      <c r="D6" s="22"/>
      <c r="E6" s="22"/>
      <c r="F6" s="22">
        <f t="shared" ref="F6:F35" si="0">B6-C6-D6-E6</f>
        <v>0</v>
      </c>
    </row>
    <row r="7" spans="1:6" x14ac:dyDescent="0.3">
      <c r="A7" s="22">
        <v>3</v>
      </c>
      <c r="B7" s="22"/>
      <c r="C7" s="22"/>
      <c r="D7" s="22"/>
      <c r="E7" s="22"/>
      <c r="F7" s="22">
        <f t="shared" si="0"/>
        <v>0</v>
      </c>
    </row>
    <row r="8" spans="1:6" x14ac:dyDescent="0.3">
      <c r="A8" s="22">
        <v>4</v>
      </c>
      <c r="B8" s="22"/>
      <c r="C8" s="22"/>
      <c r="D8" s="22"/>
      <c r="E8" s="22"/>
      <c r="F8" s="22">
        <f t="shared" si="0"/>
        <v>0</v>
      </c>
    </row>
    <row r="9" spans="1:6" x14ac:dyDescent="0.3">
      <c r="A9" s="22">
        <v>5</v>
      </c>
      <c r="B9" s="22"/>
      <c r="C9" s="22"/>
      <c r="D9" s="22"/>
      <c r="E9" s="22"/>
      <c r="F9" s="22">
        <f t="shared" si="0"/>
        <v>0</v>
      </c>
    </row>
    <row r="10" spans="1:6" x14ac:dyDescent="0.3">
      <c r="A10" s="22">
        <v>6</v>
      </c>
      <c r="B10" s="22"/>
      <c r="C10" s="22"/>
      <c r="D10" s="22"/>
      <c r="E10" s="22"/>
      <c r="F10" s="22">
        <f t="shared" si="0"/>
        <v>0</v>
      </c>
    </row>
    <row r="11" spans="1:6" x14ac:dyDescent="0.3">
      <c r="A11" s="22">
        <v>7</v>
      </c>
      <c r="B11" s="22"/>
      <c r="C11" s="22"/>
      <c r="D11" s="22"/>
      <c r="E11" s="22"/>
      <c r="F11" s="22">
        <f t="shared" si="0"/>
        <v>0</v>
      </c>
    </row>
    <row r="12" spans="1:6" x14ac:dyDescent="0.3">
      <c r="A12" s="22">
        <v>8</v>
      </c>
      <c r="B12" s="22"/>
      <c r="C12" s="22"/>
      <c r="D12" s="22"/>
      <c r="E12" s="22"/>
      <c r="F12" s="22">
        <f t="shared" si="0"/>
        <v>0</v>
      </c>
    </row>
    <row r="13" spans="1:6" x14ac:dyDescent="0.3">
      <c r="A13" s="22">
        <v>9</v>
      </c>
      <c r="B13" s="22"/>
      <c r="C13" s="22"/>
      <c r="D13" s="22"/>
      <c r="E13" s="22"/>
      <c r="F13" s="22">
        <f t="shared" si="0"/>
        <v>0</v>
      </c>
    </row>
    <row r="14" spans="1:6" x14ac:dyDescent="0.3">
      <c r="A14" s="22">
        <v>10</v>
      </c>
      <c r="B14" s="22"/>
      <c r="C14" s="22"/>
      <c r="D14" s="22"/>
      <c r="E14" s="22"/>
      <c r="F14" s="22">
        <f t="shared" si="0"/>
        <v>0</v>
      </c>
    </row>
    <row r="15" spans="1:6" x14ac:dyDescent="0.3">
      <c r="A15" s="22">
        <v>11</v>
      </c>
      <c r="B15" s="22"/>
      <c r="C15" s="22"/>
      <c r="D15" s="22"/>
      <c r="E15" s="22"/>
      <c r="F15" s="22">
        <f t="shared" si="0"/>
        <v>0</v>
      </c>
    </row>
    <row r="16" spans="1:6" x14ac:dyDescent="0.3">
      <c r="A16" s="22">
        <v>12</v>
      </c>
      <c r="B16" s="22"/>
      <c r="C16" s="22"/>
      <c r="D16" s="22"/>
      <c r="E16" s="22"/>
      <c r="F16" s="22">
        <f t="shared" si="0"/>
        <v>0</v>
      </c>
    </row>
    <row r="17" spans="1:6" x14ac:dyDescent="0.3">
      <c r="A17" s="22">
        <v>13</v>
      </c>
      <c r="B17" s="22"/>
      <c r="C17" s="22"/>
      <c r="D17" s="22"/>
      <c r="E17" s="22"/>
      <c r="F17" s="22">
        <f t="shared" si="0"/>
        <v>0</v>
      </c>
    </row>
    <row r="18" spans="1:6" x14ac:dyDescent="0.3">
      <c r="A18" s="22">
        <v>14</v>
      </c>
      <c r="B18" s="22"/>
      <c r="C18" s="22"/>
      <c r="D18" s="22"/>
      <c r="E18" s="22"/>
      <c r="F18" s="22">
        <f t="shared" si="0"/>
        <v>0</v>
      </c>
    </row>
    <row r="19" spans="1:6" x14ac:dyDescent="0.3">
      <c r="A19" s="22">
        <v>15</v>
      </c>
      <c r="B19" s="22"/>
      <c r="C19" s="22"/>
      <c r="D19" s="22"/>
      <c r="E19" s="22"/>
      <c r="F19" s="22">
        <f t="shared" si="0"/>
        <v>0</v>
      </c>
    </row>
    <row r="20" spans="1:6" x14ac:dyDescent="0.3">
      <c r="A20" s="22">
        <v>16</v>
      </c>
      <c r="B20" s="22"/>
      <c r="C20" s="22"/>
      <c r="D20" s="22"/>
      <c r="E20" s="22"/>
      <c r="F20" s="22">
        <f t="shared" si="0"/>
        <v>0</v>
      </c>
    </row>
    <row r="21" spans="1:6" x14ac:dyDescent="0.3">
      <c r="A21" s="22">
        <v>17</v>
      </c>
      <c r="B21" s="22"/>
      <c r="C21" s="22"/>
      <c r="D21" s="22"/>
      <c r="E21" s="22"/>
      <c r="F21" s="22">
        <f t="shared" si="0"/>
        <v>0</v>
      </c>
    </row>
    <row r="22" spans="1:6" x14ac:dyDescent="0.3">
      <c r="A22" s="22">
        <v>18</v>
      </c>
      <c r="B22" s="22"/>
      <c r="C22" s="22"/>
      <c r="D22" s="22"/>
      <c r="E22" s="22"/>
      <c r="F22" s="22">
        <f t="shared" si="0"/>
        <v>0</v>
      </c>
    </row>
    <row r="23" spans="1:6" x14ac:dyDescent="0.3">
      <c r="A23" s="22">
        <v>19</v>
      </c>
      <c r="B23" s="22"/>
      <c r="C23" s="22"/>
      <c r="D23" s="22"/>
      <c r="E23" s="22"/>
      <c r="F23" s="22">
        <f t="shared" si="0"/>
        <v>0</v>
      </c>
    </row>
    <row r="24" spans="1:6" x14ac:dyDescent="0.3">
      <c r="A24" s="22">
        <v>20</v>
      </c>
      <c r="B24" s="22"/>
      <c r="C24" s="22"/>
      <c r="D24" s="22"/>
      <c r="E24" s="22"/>
      <c r="F24" s="22">
        <f t="shared" si="0"/>
        <v>0</v>
      </c>
    </row>
    <row r="25" spans="1:6" x14ac:dyDescent="0.3">
      <c r="A25" s="22">
        <v>21</v>
      </c>
      <c r="B25" s="22"/>
      <c r="C25" s="22"/>
      <c r="D25" s="22"/>
      <c r="E25" s="22"/>
      <c r="F25" s="22">
        <f t="shared" si="0"/>
        <v>0</v>
      </c>
    </row>
    <row r="26" spans="1:6" x14ac:dyDescent="0.3">
      <c r="A26" s="22">
        <v>22</v>
      </c>
      <c r="B26" s="22"/>
      <c r="C26" s="22"/>
      <c r="D26" s="22"/>
      <c r="E26" s="22"/>
      <c r="F26" s="22">
        <f t="shared" si="0"/>
        <v>0</v>
      </c>
    </row>
    <row r="27" spans="1:6" x14ac:dyDescent="0.3">
      <c r="A27" s="22">
        <v>23</v>
      </c>
      <c r="B27" s="22"/>
      <c r="C27" s="22"/>
      <c r="D27" s="22"/>
      <c r="E27" s="22"/>
      <c r="F27" s="22">
        <f t="shared" si="0"/>
        <v>0</v>
      </c>
    </row>
    <row r="28" spans="1:6" x14ac:dyDescent="0.3">
      <c r="A28" s="22">
        <v>24</v>
      </c>
      <c r="B28" s="22"/>
      <c r="C28" s="22"/>
      <c r="D28" s="22"/>
      <c r="E28" s="22"/>
      <c r="F28" s="22">
        <f t="shared" si="0"/>
        <v>0</v>
      </c>
    </row>
    <row r="29" spans="1:6" x14ac:dyDescent="0.3">
      <c r="A29" s="22">
        <v>25</v>
      </c>
      <c r="B29" s="22"/>
      <c r="C29" s="22"/>
      <c r="D29" s="22"/>
      <c r="E29" s="22"/>
      <c r="F29" s="22">
        <f t="shared" si="0"/>
        <v>0</v>
      </c>
    </row>
    <row r="30" spans="1:6" x14ac:dyDescent="0.3">
      <c r="A30" s="22">
        <v>26</v>
      </c>
      <c r="B30" s="22"/>
      <c r="C30" s="22"/>
      <c r="D30" s="22"/>
      <c r="E30" s="22"/>
      <c r="F30" s="22">
        <f t="shared" si="0"/>
        <v>0</v>
      </c>
    </row>
    <row r="31" spans="1:6" x14ac:dyDescent="0.3">
      <c r="A31" s="22">
        <v>27</v>
      </c>
      <c r="B31" s="22"/>
      <c r="C31" s="22"/>
      <c r="D31" s="22"/>
      <c r="E31" s="22"/>
      <c r="F31" s="22">
        <f t="shared" si="0"/>
        <v>0</v>
      </c>
    </row>
    <row r="32" spans="1:6" x14ac:dyDescent="0.3">
      <c r="A32" s="22">
        <v>28</v>
      </c>
      <c r="B32" s="22"/>
      <c r="C32" s="22"/>
      <c r="D32" s="22"/>
      <c r="E32" s="22"/>
      <c r="F32" s="22">
        <f t="shared" si="0"/>
        <v>0</v>
      </c>
    </row>
    <row r="33" spans="1:6" x14ac:dyDescent="0.3">
      <c r="A33" s="22">
        <v>29</v>
      </c>
      <c r="B33" s="22"/>
      <c r="C33" s="22"/>
      <c r="D33" s="22"/>
      <c r="E33" s="22"/>
      <c r="F33" s="22">
        <f t="shared" si="0"/>
        <v>0</v>
      </c>
    </row>
    <row r="34" spans="1:6" x14ac:dyDescent="0.3">
      <c r="A34" s="22">
        <v>30</v>
      </c>
      <c r="B34" s="22"/>
      <c r="C34" s="22"/>
      <c r="D34" s="22"/>
      <c r="E34" s="22"/>
      <c r="F34" s="22">
        <f t="shared" si="0"/>
        <v>0</v>
      </c>
    </row>
    <row r="35" spans="1:6" x14ac:dyDescent="0.3">
      <c r="A35" s="22">
        <v>31</v>
      </c>
      <c r="B35" s="22"/>
      <c r="C35" s="22"/>
      <c r="D35" s="22"/>
      <c r="E35" s="22"/>
      <c r="F35" s="22">
        <f t="shared" si="0"/>
        <v>0</v>
      </c>
    </row>
  </sheetData>
  <mergeCells count="1">
    <mergeCell ref="A1:F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1"/>
  <sheetViews>
    <sheetView rightToLeft="1" workbookViewId="0">
      <selection activeCell="E19" sqref="E19"/>
    </sheetView>
  </sheetViews>
  <sheetFormatPr defaultRowHeight="14" x14ac:dyDescent="0.3"/>
  <cols>
    <col min="1" max="1" width="6.1640625" customWidth="1"/>
    <col min="2" max="2" width="22.6640625" customWidth="1"/>
    <col min="5" max="5" width="33.1640625" customWidth="1"/>
  </cols>
  <sheetData>
    <row r="1" spans="1:5" ht="37.25" customHeight="1" x14ac:dyDescent="0.3">
      <c r="A1" s="245" t="s">
        <v>495</v>
      </c>
      <c r="B1" s="245"/>
      <c r="C1" s="245"/>
      <c r="D1" s="245"/>
      <c r="E1" s="245"/>
    </row>
    <row r="2" spans="1:5" ht="27" customHeight="1" x14ac:dyDescent="0.3">
      <c r="A2" s="103" t="s">
        <v>0</v>
      </c>
      <c r="B2" s="103" t="s">
        <v>459</v>
      </c>
      <c r="C2" s="103" t="s">
        <v>472</v>
      </c>
      <c r="D2" s="103" t="s">
        <v>486</v>
      </c>
      <c r="E2" s="103" t="s">
        <v>350</v>
      </c>
    </row>
    <row r="3" spans="1:5" s="21" customFormat="1" ht="22.75" customHeight="1" x14ac:dyDescent="0.3">
      <c r="A3" s="22">
        <v>1</v>
      </c>
      <c r="B3" s="89" t="s">
        <v>458</v>
      </c>
      <c r="C3" s="89"/>
      <c r="D3" s="22"/>
      <c r="E3" s="22" t="s">
        <v>473</v>
      </c>
    </row>
    <row r="4" spans="1:5" s="21" customFormat="1" ht="22.75" customHeight="1" x14ac:dyDescent="0.3">
      <c r="A4" s="22">
        <v>2</v>
      </c>
      <c r="B4" s="89" t="s">
        <v>460</v>
      </c>
      <c r="C4" s="89"/>
      <c r="D4" s="22"/>
      <c r="E4" s="22" t="s">
        <v>474</v>
      </c>
    </row>
    <row r="5" spans="1:5" s="21" customFormat="1" ht="22.75" customHeight="1" x14ac:dyDescent="0.3">
      <c r="A5" s="22">
        <v>3</v>
      </c>
      <c r="B5" s="89" t="s">
        <v>461</v>
      </c>
      <c r="C5" s="89"/>
      <c r="D5" s="22"/>
      <c r="E5" s="22" t="s">
        <v>475</v>
      </c>
    </row>
    <row r="6" spans="1:5" s="21" customFormat="1" ht="22.75" customHeight="1" x14ac:dyDescent="0.3">
      <c r="A6" s="22">
        <v>4</v>
      </c>
      <c r="B6" s="22" t="s">
        <v>462</v>
      </c>
      <c r="C6" s="22"/>
      <c r="D6" s="90">
        <f>C3-C4-C5</f>
        <v>0</v>
      </c>
      <c r="E6" s="22" t="s">
        <v>476</v>
      </c>
    </row>
    <row r="7" spans="1:5" s="21" customFormat="1" ht="22.75" customHeight="1" x14ac:dyDescent="0.3">
      <c r="A7" s="22">
        <v>5</v>
      </c>
      <c r="B7" s="89" t="s">
        <v>463</v>
      </c>
      <c r="C7" s="89"/>
      <c r="D7" s="22"/>
      <c r="E7" s="22" t="s">
        <v>477</v>
      </c>
    </row>
    <row r="8" spans="1:5" s="21" customFormat="1" ht="22.75" customHeight="1" x14ac:dyDescent="0.3">
      <c r="A8" s="22">
        <v>6</v>
      </c>
      <c r="B8" s="89" t="s">
        <v>450</v>
      </c>
      <c r="C8" s="89"/>
      <c r="D8" s="22"/>
      <c r="E8" s="22" t="s">
        <v>478</v>
      </c>
    </row>
    <row r="9" spans="1:5" s="21" customFormat="1" ht="22.75" customHeight="1" x14ac:dyDescent="0.3">
      <c r="A9" s="22">
        <v>7</v>
      </c>
      <c r="B9" s="89" t="s">
        <v>464</v>
      </c>
      <c r="C9" s="89"/>
      <c r="D9" s="22"/>
      <c r="E9" s="22" t="s">
        <v>479</v>
      </c>
    </row>
    <row r="10" spans="1:5" s="21" customFormat="1" ht="22.75" customHeight="1" x14ac:dyDescent="0.3">
      <c r="A10" s="22">
        <v>8</v>
      </c>
      <c r="B10" s="22" t="s">
        <v>465</v>
      </c>
      <c r="C10" s="22"/>
      <c r="D10" s="91">
        <f>C8-C9</f>
        <v>0</v>
      </c>
      <c r="E10" s="22" t="s">
        <v>480</v>
      </c>
    </row>
    <row r="11" spans="1:5" s="21" customFormat="1" ht="22.75" customHeight="1" x14ac:dyDescent="0.3">
      <c r="A11" s="22">
        <v>9</v>
      </c>
      <c r="B11" s="22" t="s">
        <v>466</v>
      </c>
      <c r="C11" s="22"/>
      <c r="D11" s="91">
        <f>C7+D10</f>
        <v>0</v>
      </c>
      <c r="E11" s="22" t="s">
        <v>481</v>
      </c>
    </row>
    <row r="12" spans="1:5" s="21" customFormat="1" ht="22.75" customHeight="1" x14ac:dyDescent="0.3">
      <c r="A12" s="22">
        <v>10</v>
      </c>
      <c r="B12" s="89" t="s">
        <v>467</v>
      </c>
      <c r="C12" s="89"/>
      <c r="D12" s="22"/>
      <c r="E12" s="22" t="s">
        <v>477</v>
      </c>
    </row>
    <row r="13" spans="1:5" s="21" customFormat="1" ht="22.75" customHeight="1" x14ac:dyDescent="0.3">
      <c r="A13" s="22">
        <v>11</v>
      </c>
      <c r="B13" s="22" t="s">
        <v>468</v>
      </c>
      <c r="C13" s="22"/>
      <c r="D13" s="91">
        <f>D11-C12</f>
        <v>0</v>
      </c>
      <c r="E13" s="22" t="s">
        <v>482</v>
      </c>
    </row>
    <row r="14" spans="1:5" s="21" customFormat="1" ht="22.75" customHeight="1" x14ac:dyDescent="0.3">
      <c r="A14" s="22">
        <v>12</v>
      </c>
      <c r="B14" s="22" t="s">
        <v>471</v>
      </c>
      <c r="C14" s="22"/>
      <c r="D14" s="91">
        <f>D6-D13</f>
        <v>0</v>
      </c>
      <c r="E14" s="22" t="s">
        <v>483</v>
      </c>
    </row>
    <row r="15" spans="1:5" s="21" customFormat="1" ht="22.75" customHeight="1" x14ac:dyDescent="0.3">
      <c r="A15" s="22">
        <v>13</v>
      </c>
      <c r="B15" s="89" t="s">
        <v>470</v>
      </c>
      <c r="C15" s="89"/>
      <c r="D15" s="22"/>
      <c r="E15" s="22" t="s">
        <v>484</v>
      </c>
    </row>
    <row r="16" spans="1:5" s="21" customFormat="1" ht="22.75" customHeight="1" x14ac:dyDescent="0.3">
      <c r="A16" s="22">
        <v>14</v>
      </c>
      <c r="B16" s="22" t="s">
        <v>688</v>
      </c>
      <c r="C16" s="22"/>
      <c r="D16" s="91">
        <f>'الايراد الشهري'!D3</f>
        <v>0</v>
      </c>
      <c r="E16" s="22"/>
    </row>
    <row r="17" spans="1:5" s="21" customFormat="1" ht="22.75" customHeight="1" x14ac:dyDescent="0.3">
      <c r="A17" s="22"/>
      <c r="B17" s="22" t="s">
        <v>44</v>
      </c>
      <c r="C17" s="22"/>
      <c r="D17" s="91">
        <f>'الايراد الشهري'!C3</f>
        <v>0</v>
      </c>
      <c r="E17" s="22" t="s">
        <v>689</v>
      </c>
    </row>
    <row r="18" spans="1:5" s="21" customFormat="1" ht="22.75" customHeight="1" x14ac:dyDescent="0.3">
      <c r="A18" s="22"/>
      <c r="B18" s="22" t="s">
        <v>647</v>
      </c>
      <c r="C18" s="22"/>
      <c r="D18" s="157">
        <f>'المصروفات الثابتة'!J4</f>
        <v>46378.333333333328</v>
      </c>
      <c r="E18" s="22" t="s">
        <v>648</v>
      </c>
    </row>
    <row r="19" spans="1:5" s="21" customFormat="1" ht="22.75" customHeight="1" x14ac:dyDescent="0.3">
      <c r="A19" s="22">
        <v>15</v>
      </c>
      <c r="B19" s="22" t="s">
        <v>690</v>
      </c>
      <c r="C19" s="22"/>
      <c r="D19" s="157">
        <f>SUM(D16:D18)</f>
        <v>46378.333333333328</v>
      </c>
      <c r="E19" s="22"/>
    </row>
    <row r="20" spans="1:5" s="21" customFormat="1" ht="31.75" customHeight="1" x14ac:dyDescent="0.3">
      <c r="A20" s="22">
        <v>16</v>
      </c>
      <c r="B20" s="22" t="s">
        <v>469</v>
      </c>
      <c r="C20" s="22"/>
      <c r="D20" s="91">
        <f>D14+C15-D19</f>
        <v>-46378.333333333328</v>
      </c>
      <c r="E20" s="86" t="s">
        <v>485</v>
      </c>
    </row>
    <row r="21" spans="1:5" s="67" customFormat="1" ht="22.75" customHeight="1" x14ac:dyDescent="0.3"/>
  </sheetData>
  <mergeCells count="1">
    <mergeCell ref="A1:E1"/>
  </mergeCells>
  <pageMargins left="0.7" right="0.7" top="0.75" bottom="0.75" header="0.3" footer="0.3"/>
  <pageSetup paperSize="257" orientation="portrait" horizontalDpi="203" verticalDpi="20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23"/>
  <sheetViews>
    <sheetView rightToLeft="1" workbookViewId="0">
      <selection activeCell="E6" sqref="E6"/>
    </sheetView>
  </sheetViews>
  <sheetFormatPr defaultRowHeight="14" x14ac:dyDescent="0.3"/>
  <cols>
    <col min="2" max="2" width="16.58203125" customWidth="1"/>
    <col min="3" max="3" width="31.58203125" style="21" customWidth="1"/>
  </cols>
  <sheetData>
    <row r="1" spans="1:3" ht="39.65" customHeight="1" x14ac:dyDescent="0.3">
      <c r="A1" s="246" t="s">
        <v>496</v>
      </c>
      <c r="B1" s="246"/>
      <c r="C1" s="246"/>
    </row>
    <row r="2" spans="1:3" ht="22.75" customHeight="1" x14ac:dyDescent="0.3">
      <c r="A2" s="93" t="s">
        <v>0</v>
      </c>
      <c r="B2" s="93" t="s">
        <v>487</v>
      </c>
      <c r="C2" s="93" t="s">
        <v>489</v>
      </c>
    </row>
    <row r="3" spans="1:3" ht="22.75" customHeight="1" x14ac:dyDescent="0.3">
      <c r="A3" s="21">
        <v>1</v>
      </c>
      <c r="B3" s="70">
        <f>'الايراد الشهري'!B3</f>
        <v>0</v>
      </c>
      <c r="C3" s="21" t="s">
        <v>490</v>
      </c>
    </row>
    <row r="4" spans="1:3" ht="22.75" customHeight="1" x14ac:dyDescent="0.3">
      <c r="A4" s="21">
        <v>2</v>
      </c>
      <c r="B4" s="70">
        <f>'ملخص مشتريات'!B5</f>
        <v>1200</v>
      </c>
      <c r="C4" s="21" t="s">
        <v>491</v>
      </c>
    </row>
    <row r="5" spans="1:3" ht="22.75" customHeight="1" x14ac:dyDescent="0.3">
      <c r="A5" s="21"/>
      <c r="B5" s="70">
        <f>'المصروفات الثابتة'!J4</f>
        <v>46378.333333333328</v>
      </c>
      <c r="C5" s="21" t="s">
        <v>591</v>
      </c>
    </row>
    <row r="6" spans="1:3" ht="22.75" customHeight="1" x14ac:dyDescent="0.3">
      <c r="A6" s="21"/>
      <c r="B6" s="70">
        <f>'الايراد الشهري'!C3</f>
        <v>0</v>
      </c>
      <c r="C6" s="21" t="s">
        <v>598</v>
      </c>
    </row>
    <row r="7" spans="1:3" ht="22.75" customHeight="1" x14ac:dyDescent="0.3">
      <c r="A7" s="93"/>
      <c r="B7" s="158">
        <f>B3-B4-B5-B6</f>
        <v>-47578.333333333328</v>
      </c>
      <c r="C7" s="93" t="s">
        <v>563</v>
      </c>
    </row>
    <row r="8" spans="1:3" ht="22.75" customHeight="1" x14ac:dyDescent="0.3">
      <c r="A8" s="21">
        <v>4</v>
      </c>
      <c r="B8" s="70">
        <f>'الايراد الشهري'!F3</f>
        <v>0</v>
      </c>
      <c r="C8" s="21" t="s">
        <v>494</v>
      </c>
    </row>
    <row r="9" spans="1:3" ht="22.75" customHeight="1" x14ac:dyDescent="0.3">
      <c r="A9" s="21">
        <v>5</v>
      </c>
      <c r="B9" s="70">
        <f>'الايراد الشهري'!D3</f>
        <v>0</v>
      </c>
      <c r="C9" s="21" t="s">
        <v>492</v>
      </c>
    </row>
    <row r="10" spans="1:3" ht="22.75" customHeight="1" x14ac:dyDescent="0.3">
      <c r="A10" s="21">
        <v>6</v>
      </c>
      <c r="B10" s="70">
        <f>B7+B8-B9</f>
        <v>-47578.333333333328</v>
      </c>
      <c r="C10" s="92" t="s">
        <v>493</v>
      </c>
    </row>
    <row r="11" spans="1:3" ht="22.75" customHeight="1" x14ac:dyDescent="0.3"/>
    <row r="12" spans="1:3" ht="22.75" customHeight="1" x14ac:dyDescent="0.3"/>
    <row r="13" spans="1:3" ht="22.75" customHeight="1" x14ac:dyDescent="0.3"/>
    <row r="14" spans="1:3" ht="22.75" customHeight="1" x14ac:dyDescent="0.3"/>
    <row r="15" spans="1:3" ht="22.75" customHeight="1" x14ac:dyDescent="0.3"/>
    <row r="16" spans="1:3" ht="22.75" customHeight="1" x14ac:dyDescent="0.3"/>
    <row r="17" ht="22.75" customHeight="1" x14ac:dyDescent="0.3"/>
    <row r="18" ht="22.75" customHeight="1" x14ac:dyDescent="0.3"/>
    <row r="19" ht="22.75" customHeight="1" x14ac:dyDescent="0.3"/>
    <row r="20" ht="22.75" customHeight="1" x14ac:dyDescent="0.3"/>
    <row r="21" ht="22.75" customHeight="1" x14ac:dyDescent="0.3"/>
    <row r="22" ht="22.75" customHeight="1" x14ac:dyDescent="0.3"/>
    <row r="23" ht="22.75" customHeight="1" x14ac:dyDescent="0.3"/>
  </sheetData>
  <mergeCells count="1">
    <mergeCell ref="A1:C1"/>
  </mergeCells>
  <pageMargins left="0.7" right="0.7" top="0.75" bottom="0.75" header="0.3" footer="0.3"/>
  <pageSetup paperSize="257" orientation="portrait" horizontalDpi="203" verticalDpi="20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32"/>
  <sheetViews>
    <sheetView rightToLeft="1" workbookViewId="0">
      <selection activeCell="C9" sqref="C9"/>
    </sheetView>
  </sheetViews>
  <sheetFormatPr defaultColWidth="8.83203125" defaultRowHeight="14" x14ac:dyDescent="0.3"/>
  <cols>
    <col min="1" max="1" width="8.33203125" style="96" customWidth="1"/>
    <col min="2" max="2" width="25.58203125" style="94" customWidth="1"/>
    <col min="3" max="3" width="13.08203125" style="94" customWidth="1"/>
    <col min="4" max="4" width="25.58203125" style="94" customWidth="1"/>
    <col min="5" max="16384" width="8.83203125" style="94"/>
  </cols>
  <sheetData>
    <row r="1" spans="1:4" ht="41.4" customHeight="1" x14ac:dyDescent="0.3">
      <c r="A1" s="247" t="s">
        <v>515</v>
      </c>
      <c r="B1" s="247"/>
      <c r="C1" s="247"/>
      <c r="D1" s="247"/>
    </row>
    <row r="2" spans="1:4" ht="25.75" customHeight="1" x14ac:dyDescent="0.3">
      <c r="A2" s="95"/>
      <c r="B2" s="104" t="s">
        <v>516</v>
      </c>
      <c r="C2" s="105"/>
      <c r="D2" s="104" t="s">
        <v>517</v>
      </c>
    </row>
    <row r="3" spans="1:4" ht="16.75" customHeight="1" x14ac:dyDescent="0.3">
      <c r="A3" s="95"/>
      <c r="B3" s="95" t="s">
        <v>518</v>
      </c>
      <c r="C3" s="95"/>
      <c r="D3" s="95" t="s">
        <v>519</v>
      </c>
    </row>
    <row r="4" spans="1:4" ht="16.75" customHeight="1" x14ac:dyDescent="0.3">
      <c r="A4" s="95"/>
      <c r="B4" s="95" t="s">
        <v>520</v>
      </c>
      <c r="C4" s="95"/>
      <c r="D4" s="95" t="s">
        <v>521</v>
      </c>
    </row>
    <row r="5" spans="1:4" ht="16.75" customHeight="1" x14ac:dyDescent="0.3">
      <c r="C5" s="95"/>
      <c r="D5" s="95" t="s">
        <v>522</v>
      </c>
    </row>
    <row r="6" spans="1:4" ht="16.75" customHeight="1" x14ac:dyDescent="0.3">
      <c r="A6" s="95" t="s">
        <v>523</v>
      </c>
      <c r="B6" s="95" t="s">
        <v>524</v>
      </c>
      <c r="C6" s="95"/>
      <c r="D6" s="95"/>
    </row>
    <row r="7" spans="1:4" ht="16.75" customHeight="1" x14ac:dyDescent="0.3">
      <c r="A7" s="95"/>
      <c r="B7" s="95"/>
      <c r="C7" s="95" t="s">
        <v>523</v>
      </c>
      <c r="D7" s="95" t="s">
        <v>525</v>
      </c>
    </row>
    <row r="8" spans="1:4" ht="16.75" customHeight="1" x14ac:dyDescent="0.3">
      <c r="A8" s="95"/>
      <c r="B8" s="104" t="s">
        <v>526</v>
      </c>
      <c r="C8" s="95"/>
      <c r="D8" s="95"/>
    </row>
    <row r="9" spans="1:4" ht="16.75" customHeight="1" x14ac:dyDescent="0.3">
      <c r="A9" s="95"/>
      <c r="B9" s="95" t="s">
        <v>436</v>
      </c>
      <c r="C9" s="95"/>
      <c r="D9" s="104" t="s">
        <v>527</v>
      </c>
    </row>
    <row r="10" spans="1:4" ht="16.75" customHeight="1" x14ac:dyDescent="0.3">
      <c r="A10" s="95"/>
      <c r="B10" s="95" t="s">
        <v>529</v>
      </c>
      <c r="C10" s="95"/>
      <c r="D10" s="95" t="s">
        <v>528</v>
      </c>
    </row>
    <row r="11" spans="1:4" ht="16.75" customHeight="1" x14ac:dyDescent="0.3">
      <c r="A11" s="95"/>
      <c r="B11" s="95" t="s">
        <v>531</v>
      </c>
      <c r="C11" s="95"/>
      <c r="D11" s="95" t="s">
        <v>530</v>
      </c>
    </row>
    <row r="12" spans="1:4" ht="16.75" customHeight="1" x14ac:dyDescent="0.3">
      <c r="A12" s="95"/>
      <c r="B12" s="95" t="s">
        <v>467</v>
      </c>
      <c r="C12" s="95"/>
      <c r="D12" s="95"/>
    </row>
    <row r="13" spans="1:4" ht="16.75" customHeight="1" x14ac:dyDescent="0.3">
      <c r="A13" s="95"/>
      <c r="B13" s="95"/>
      <c r="C13" s="95" t="s">
        <v>523</v>
      </c>
      <c r="D13" s="95" t="s">
        <v>525</v>
      </c>
    </row>
    <row r="14" spans="1:4" ht="16.75" customHeight="1" x14ac:dyDescent="0.3">
      <c r="A14" s="95" t="s">
        <v>523</v>
      </c>
      <c r="B14" s="95" t="s">
        <v>533</v>
      </c>
      <c r="C14" s="95"/>
      <c r="D14" s="95"/>
    </row>
    <row r="15" spans="1:4" ht="16.75" customHeight="1" x14ac:dyDescent="0.3">
      <c r="A15" s="95"/>
      <c r="B15" s="95"/>
      <c r="C15" s="95"/>
      <c r="D15" s="104" t="s">
        <v>532</v>
      </c>
    </row>
    <row r="16" spans="1:4" ht="16.75" customHeight="1" x14ac:dyDescent="0.3">
      <c r="A16" s="95"/>
      <c r="B16" s="104" t="s">
        <v>536</v>
      </c>
      <c r="C16" s="95"/>
      <c r="D16" s="95" t="s">
        <v>534</v>
      </c>
    </row>
    <row r="17" spans="1:4" ht="16.75" customHeight="1" x14ac:dyDescent="0.3">
      <c r="A17" s="95"/>
      <c r="B17" s="95" t="s">
        <v>537</v>
      </c>
      <c r="C17" s="95"/>
      <c r="D17" s="95" t="s">
        <v>535</v>
      </c>
    </row>
    <row r="18" spans="1:4" ht="16.75" customHeight="1" x14ac:dyDescent="0.3">
      <c r="A18" s="95"/>
      <c r="B18" s="95" t="s">
        <v>538</v>
      </c>
      <c r="C18" s="95"/>
      <c r="D18" s="95"/>
    </row>
    <row r="19" spans="1:4" ht="16.75" customHeight="1" x14ac:dyDescent="0.3">
      <c r="C19" s="95"/>
      <c r="D19" s="95"/>
    </row>
    <row r="20" spans="1:4" ht="16.75" customHeight="1" x14ac:dyDescent="0.3">
      <c r="A20" s="95" t="s">
        <v>523</v>
      </c>
      <c r="B20" s="95" t="s">
        <v>540</v>
      </c>
      <c r="C20" s="95" t="s">
        <v>523</v>
      </c>
      <c r="D20" s="95" t="s">
        <v>539</v>
      </c>
    </row>
    <row r="21" spans="1:4" ht="16.75" customHeight="1" x14ac:dyDescent="0.3">
      <c r="A21" s="95"/>
      <c r="B21" s="95"/>
      <c r="C21" s="95"/>
      <c r="D21" s="95"/>
    </row>
    <row r="22" spans="1:4" ht="16.75" customHeight="1" x14ac:dyDescent="0.3">
      <c r="A22" s="95"/>
      <c r="B22" s="104" t="s">
        <v>542</v>
      </c>
      <c r="C22" s="95"/>
      <c r="D22" s="95"/>
    </row>
    <row r="23" spans="1:4" ht="16.75" customHeight="1" x14ac:dyDescent="0.3">
      <c r="A23" s="95"/>
      <c r="B23" s="95" t="s">
        <v>544</v>
      </c>
      <c r="C23" s="95"/>
      <c r="D23" s="104" t="s">
        <v>541</v>
      </c>
    </row>
    <row r="24" spans="1:4" ht="16.75" customHeight="1" x14ac:dyDescent="0.3">
      <c r="A24" s="95"/>
      <c r="B24" s="95" t="s">
        <v>546</v>
      </c>
      <c r="C24" s="95"/>
      <c r="D24" s="95" t="s">
        <v>543</v>
      </c>
    </row>
    <row r="25" spans="1:4" ht="16.75" customHeight="1" x14ac:dyDescent="0.3">
      <c r="A25" s="95"/>
      <c r="B25" s="95"/>
      <c r="C25" s="95"/>
      <c r="D25" s="95" t="s">
        <v>545</v>
      </c>
    </row>
    <row r="26" spans="1:4" ht="16.75" customHeight="1" x14ac:dyDescent="0.3">
      <c r="A26" s="95" t="s">
        <v>523</v>
      </c>
      <c r="B26" s="95" t="s">
        <v>549</v>
      </c>
      <c r="C26" s="95"/>
      <c r="D26" s="95" t="s">
        <v>547</v>
      </c>
    </row>
    <row r="27" spans="1:4" ht="16.75" customHeight="1" x14ac:dyDescent="0.3">
      <c r="A27" s="95"/>
      <c r="B27" s="95"/>
      <c r="C27" s="95"/>
      <c r="D27" s="95" t="s">
        <v>548</v>
      </c>
    </row>
    <row r="28" spans="1:4" ht="16.75" customHeight="1" x14ac:dyDescent="0.3">
      <c r="A28" s="95"/>
      <c r="B28" s="95"/>
      <c r="C28" s="95"/>
      <c r="D28" s="95"/>
    </row>
    <row r="29" spans="1:4" ht="16.75" customHeight="1" x14ac:dyDescent="0.3">
      <c r="A29" s="95"/>
      <c r="B29" s="95"/>
      <c r="C29" s="95" t="s">
        <v>523</v>
      </c>
      <c r="D29" s="95" t="s">
        <v>550</v>
      </c>
    </row>
    <row r="30" spans="1:4" ht="16.75" customHeight="1" x14ac:dyDescent="0.3">
      <c r="A30" s="95"/>
      <c r="B30" s="95"/>
      <c r="C30" s="95"/>
      <c r="D30" s="95"/>
    </row>
    <row r="31" spans="1:4" ht="16.75" customHeight="1" x14ac:dyDescent="0.3">
      <c r="A31" s="95" t="s">
        <v>551</v>
      </c>
      <c r="B31" s="95" t="s">
        <v>552</v>
      </c>
      <c r="C31" s="95" t="s">
        <v>551</v>
      </c>
      <c r="D31" s="95" t="s">
        <v>553</v>
      </c>
    </row>
    <row r="32" spans="1:4" ht="33.65" customHeight="1" x14ac:dyDescent="0.3">
      <c r="A32" s="248" t="s">
        <v>554</v>
      </c>
      <c r="B32" s="249"/>
      <c r="C32" s="249"/>
      <c r="D32" s="250"/>
    </row>
  </sheetData>
  <mergeCells count="2">
    <mergeCell ref="A1:D1"/>
    <mergeCell ref="A32:D32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AA1043"/>
  <sheetViews>
    <sheetView rightToLeft="1" tabSelected="1" zoomScaleNormal="100" workbookViewId="0">
      <pane xSplit="7" ySplit="2" topLeftCell="L954" activePane="bottomRight" state="frozen"/>
      <selection pane="topRight" activeCell="H1" sqref="H1"/>
      <selection pane="bottomLeft" activeCell="A3" sqref="A3"/>
      <selection pane="bottomRight" activeCell="G964" sqref="G964"/>
    </sheetView>
  </sheetViews>
  <sheetFormatPr defaultRowHeight="14" x14ac:dyDescent="0.3"/>
  <cols>
    <col min="1" max="1" width="5.1640625" customWidth="1"/>
    <col min="2" max="2" width="8.9140625" style="174" customWidth="1"/>
    <col min="3" max="3" width="13.9140625" customWidth="1"/>
    <col min="4" max="5" width="10.08203125" customWidth="1"/>
    <col min="6" max="6" width="28" customWidth="1"/>
    <col min="7" max="7" width="18.33203125" customWidth="1"/>
    <col min="8" max="8" width="18.4140625" customWidth="1"/>
    <col min="9" max="9" width="7" customWidth="1"/>
    <col min="10" max="10" width="9.33203125" style="26" customWidth="1"/>
    <col min="11" max="11" width="13.4140625" style="26" customWidth="1"/>
    <col min="12" max="14" width="13.4140625" customWidth="1"/>
    <col min="15" max="15" width="13.33203125" customWidth="1"/>
    <col min="16" max="16" width="4.6640625" customWidth="1"/>
    <col min="17" max="17" width="8.83203125" hidden="1" customWidth="1"/>
    <col min="23" max="24" width="8.83203125" customWidth="1"/>
    <col min="25" max="25" width="8.83203125" hidden="1" customWidth="1"/>
    <col min="26" max="26" width="10" hidden="1" customWidth="1"/>
    <col min="27" max="27" width="8.83203125" hidden="1" customWidth="1"/>
  </cols>
  <sheetData>
    <row r="1" spans="1:27" ht="42.65" customHeight="1" x14ac:dyDescent="0.3">
      <c r="A1" s="254" t="s">
        <v>578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</row>
    <row r="2" spans="1:27" ht="30.65" customHeight="1" x14ac:dyDescent="0.3">
      <c r="A2" s="19" t="s">
        <v>0</v>
      </c>
      <c r="B2" s="171" t="s">
        <v>497</v>
      </c>
      <c r="C2" s="19" t="s">
        <v>498</v>
      </c>
      <c r="D2" s="19" t="s">
        <v>511</v>
      </c>
      <c r="E2" s="19" t="s">
        <v>499</v>
      </c>
      <c r="F2" s="19" t="s">
        <v>488</v>
      </c>
      <c r="G2" s="19" t="s">
        <v>437</v>
      </c>
      <c r="H2" s="19" t="s">
        <v>704</v>
      </c>
      <c r="I2" s="19" t="s">
        <v>713</v>
      </c>
      <c r="J2" s="170" t="s">
        <v>50</v>
      </c>
      <c r="K2" s="170" t="s">
        <v>673</v>
      </c>
      <c r="L2" s="19" t="s">
        <v>707</v>
      </c>
      <c r="M2" s="19" t="s">
        <v>705</v>
      </c>
      <c r="N2" s="19" t="s">
        <v>47</v>
      </c>
      <c r="O2" s="19" t="s">
        <v>706</v>
      </c>
      <c r="R2" s="251" t="s">
        <v>585</v>
      </c>
      <c r="S2" s="251"/>
      <c r="T2" s="251"/>
      <c r="U2" s="251"/>
      <c r="Z2" s="259" t="s">
        <v>575</v>
      </c>
      <c r="AA2" s="259"/>
    </row>
    <row r="3" spans="1:27" ht="17.399999999999999" customHeight="1" x14ac:dyDescent="0.3">
      <c r="A3" s="22">
        <v>1</v>
      </c>
      <c r="B3" s="172">
        <v>1</v>
      </c>
      <c r="C3" s="160"/>
      <c r="D3" s="22" t="s">
        <v>509</v>
      </c>
      <c r="E3" s="22" t="s">
        <v>709</v>
      </c>
      <c r="F3" s="22" t="s">
        <v>711</v>
      </c>
      <c r="G3" s="22" t="s">
        <v>712</v>
      </c>
      <c r="H3" s="22">
        <v>310656428400003</v>
      </c>
      <c r="I3" s="22"/>
      <c r="J3" s="66">
        <v>1</v>
      </c>
      <c r="K3" s="66">
        <v>43.47</v>
      </c>
      <c r="L3" s="169">
        <f>K3*J3</f>
        <v>43.47</v>
      </c>
      <c r="M3" s="169">
        <f>IF(H3="",0,1)</f>
        <v>1</v>
      </c>
      <c r="N3" s="169">
        <f>M3*L3*15%</f>
        <v>6.5204999999999993</v>
      </c>
      <c r="O3" s="169">
        <f>N3+L3</f>
        <v>49.990499999999997</v>
      </c>
      <c r="R3" s="256" t="s">
        <v>590</v>
      </c>
      <c r="S3" s="257"/>
      <c r="T3" s="257"/>
      <c r="U3" s="258"/>
      <c r="Z3" s="219" t="s">
        <v>576</v>
      </c>
      <c r="AA3" s="219"/>
    </row>
    <row r="4" spans="1:27" ht="17.399999999999999" customHeight="1" x14ac:dyDescent="0.3">
      <c r="A4" s="88">
        <v>2</v>
      </c>
      <c r="B4" s="173">
        <v>2</v>
      </c>
      <c r="C4" s="160"/>
      <c r="D4" s="88" t="s">
        <v>509</v>
      </c>
      <c r="E4" s="88" t="s">
        <v>715</v>
      </c>
      <c r="F4" s="88" t="s">
        <v>716</v>
      </c>
      <c r="G4" s="88" t="s">
        <v>717</v>
      </c>
      <c r="H4" s="88">
        <v>302085161200003</v>
      </c>
      <c r="I4" s="88" t="s">
        <v>718</v>
      </c>
      <c r="J4" s="49">
        <v>1</v>
      </c>
      <c r="K4" s="49">
        <v>31.3</v>
      </c>
      <c r="L4" s="169">
        <f t="shared" ref="L4:L67" si="0">K4*J4</f>
        <v>31.3</v>
      </c>
      <c r="M4" s="169">
        <f t="shared" ref="M4:M67" si="1">IF(H4="",0,1)</f>
        <v>1</v>
      </c>
      <c r="N4" s="169">
        <f t="shared" ref="N4:N67" si="2">M4*L4*15%</f>
        <v>4.6950000000000003</v>
      </c>
      <c r="O4" s="169">
        <f t="shared" ref="O4:O67" si="3">N4+L4</f>
        <v>35.995000000000005</v>
      </c>
      <c r="R4" s="253" t="s">
        <v>513</v>
      </c>
      <c r="S4" s="253"/>
      <c r="T4" s="253" t="s">
        <v>1051</v>
      </c>
      <c r="U4" s="253"/>
      <c r="Z4" s="219" t="s">
        <v>577</v>
      </c>
      <c r="AA4" s="219"/>
    </row>
    <row r="5" spans="1:27" ht="17.399999999999999" customHeight="1" x14ac:dyDescent="0.3">
      <c r="A5" s="88">
        <v>3</v>
      </c>
      <c r="B5" s="172">
        <v>3</v>
      </c>
      <c r="C5" s="159"/>
      <c r="D5" s="88" t="s">
        <v>509</v>
      </c>
      <c r="E5" s="88" t="s">
        <v>715</v>
      </c>
      <c r="F5" s="88" t="s">
        <v>719</v>
      </c>
      <c r="G5" s="88" t="s">
        <v>717</v>
      </c>
      <c r="H5" s="88">
        <v>302085161200003</v>
      </c>
      <c r="I5" s="88"/>
      <c r="J5" s="49">
        <v>1</v>
      </c>
      <c r="K5" s="49">
        <v>4.3499999999999996</v>
      </c>
      <c r="L5" s="169">
        <f t="shared" si="0"/>
        <v>4.3499999999999996</v>
      </c>
      <c r="M5" s="169">
        <f t="shared" si="1"/>
        <v>1</v>
      </c>
      <c r="N5" s="169">
        <f t="shared" si="2"/>
        <v>0.65249999999999997</v>
      </c>
      <c r="O5" s="169">
        <f t="shared" si="3"/>
        <v>5.0024999999999995</v>
      </c>
      <c r="R5" s="253"/>
      <c r="S5" s="253"/>
      <c r="T5" s="253"/>
      <c r="U5" s="253"/>
      <c r="Z5" s="219"/>
      <c r="AA5" s="219"/>
    </row>
    <row r="6" spans="1:27" ht="17.399999999999999" customHeight="1" x14ac:dyDescent="0.3">
      <c r="A6" s="88">
        <v>4</v>
      </c>
      <c r="B6" s="173">
        <v>4</v>
      </c>
      <c r="C6" s="159"/>
      <c r="D6" s="88" t="s">
        <v>509</v>
      </c>
      <c r="E6" s="88" t="s">
        <v>715</v>
      </c>
      <c r="F6" s="88" t="s">
        <v>721</v>
      </c>
      <c r="G6" s="88" t="s">
        <v>720</v>
      </c>
      <c r="H6" s="88">
        <v>310082841900003</v>
      </c>
      <c r="I6" s="88" t="s">
        <v>718</v>
      </c>
      <c r="J6" s="49">
        <v>1</v>
      </c>
      <c r="K6" s="49">
        <v>44.35</v>
      </c>
      <c r="L6" s="169">
        <f t="shared" si="0"/>
        <v>44.35</v>
      </c>
      <c r="M6" s="169">
        <f t="shared" si="1"/>
        <v>1</v>
      </c>
      <c r="N6" s="169">
        <f t="shared" si="2"/>
        <v>6.6524999999999999</v>
      </c>
      <c r="O6" s="169">
        <f t="shared" si="3"/>
        <v>51.002499999999998</v>
      </c>
      <c r="Y6" t="s">
        <v>500</v>
      </c>
      <c r="Z6" s="219"/>
      <c r="AA6" s="219"/>
    </row>
    <row r="7" spans="1:27" ht="17.399999999999999" customHeight="1" x14ac:dyDescent="0.3">
      <c r="A7" s="88">
        <v>5</v>
      </c>
      <c r="B7" s="172">
        <v>5</v>
      </c>
      <c r="C7" s="159"/>
      <c r="D7" s="88" t="s">
        <v>509</v>
      </c>
      <c r="E7" s="88" t="s">
        <v>722</v>
      </c>
      <c r="F7" s="88" t="s">
        <v>723</v>
      </c>
      <c r="G7" s="88" t="s">
        <v>724</v>
      </c>
      <c r="H7" s="88">
        <v>302032461900003</v>
      </c>
      <c r="I7" s="88" t="s">
        <v>725</v>
      </c>
      <c r="J7" s="49">
        <v>5</v>
      </c>
      <c r="K7" s="49">
        <v>8.6999999999999993</v>
      </c>
      <c r="L7" s="169">
        <f t="shared" si="0"/>
        <v>43.5</v>
      </c>
      <c r="M7" s="169">
        <f t="shared" si="1"/>
        <v>1</v>
      </c>
      <c r="N7" s="169">
        <f t="shared" si="2"/>
        <v>6.5249999999999995</v>
      </c>
      <c r="O7" s="169">
        <f t="shared" si="3"/>
        <v>50.024999999999999</v>
      </c>
      <c r="R7" s="251" t="s">
        <v>585</v>
      </c>
      <c r="S7" s="251"/>
      <c r="T7" s="251"/>
      <c r="U7" s="251"/>
      <c r="Y7" t="s">
        <v>501</v>
      </c>
      <c r="Z7" s="219"/>
      <c r="AA7" s="219"/>
    </row>
    <row r="8" spans="1:27" ht="17.399999999999999" customHeight="1" x14ac:dyDescent="0.3">
      <c r="A8" s="88">
        <v>6</v>
      </c>
      <c r="B8" s="173">
        <v>6</v>
      </c>
      <c r="C8" s="159"/>
      <c r="D8" s="88" t="s">
        <v>509</v>
      </c>
      <c r="E8" s="88" t="s">
        <v>708</v>
      </c>
      <c r="F8" s="88" t="s">
        <v>726</v>
      </c>
      <c r="G8" s="88" t="s">
        <v>727</v>
      </c>
      <c r="H8" s="88">
        <v>310937441700003</v>
      </c>
      <c r="I8" s="88" t="s">
        <v>725</v>
      </c>
      <c r="J8" s="49">
        <v>1</v>
      </c>
      <c r="K8" s="49">
        <v>3.47</v>
      </c>
      <c r="L8" s="169">
        <f t="shared" si="0"/>
        <v>3.47</v>
      </c>
      <c r="M8" s="169">
        <f t="shared" si="1"/>
        <v>1</v>
      </c>
      <c r="N8" s="169">
        <f t="shared" si="2"/>
        <v>0.52049999999999996</v>
      </c>
      <c r="O8" s="169">
        <f t="shared" si="3"/>
        <v>3.9904999999999999</v>
      </c>
      <c r="R8" s="252" t="s">
        <v>514</v>
      </c>
      <c r="S8" s="252"/>
      <c r="T8" s="252" t="s">
        <v>509</v>
      </c>
      <c r="U8" s="252"/>
      <c r="Y8" t="s">
        <v>502</v>
      </c>
      <c r="Z8" s="219"/>
      <c r="AA8" s="219"/>
    </row>
    <row r="9" spans="1:27" ht="17.399999999999999" customHeight="1" x14ac:dyDescent="0.3">
      <c r="A9" s="88">
        <v>7</v>
      </c>
      <c r="B9" s="172">
        <v>6</v>
      </c>
      <c r="C9" s="159"/>
      <c r="D9" s="88" t="s">
        <v>509</v>
      </c>
      <c r="E9" s="88" t="s">
        <v>708</v>
      </c>
      <c r="F9" s="88" t="s">
        <v>728</v>
      </c>
      <c r="G9" s="88" t="s">
        <v>727</v>
      </c>
      <c r="H9" s="88">
        <v>310937441700003</v>
      </c>
      <c r="I9" s="88" t="s">
        <v>729</v>
      </c>
      <c r="J9" s="49">
        <v>2</v>
      </c>
      <c r="K9" s="49">
        <v>7.82</v>
      </c>
      <c r="L9" s="169">
        <f t="shared" si="0"/>
        <v>15.64</v>
      </c>
      <c r="M9" s="169">
        <f t="shared" si="1"/>
        <v>1</v>
      </c>
      <c r="N9" s="169">
        <f t="shared" si="2"/>
        <v>2.3460000000000001</v>
      </c>
      <c r="O9" s="169">
        <f t="shared" si="3"/>
        <v>17.986000000000001</v>
      </c>
      <c r="R9" s="253" t="s">
        <v>513</v>
      </c>
      <c r="S9" s="253"/>
      <c r="T9" s="253">
        <f>SUMIFS(F3:F22,D3:D22,T8)</f>
        <v>0</v>
      </c>
      <c r="U9" s="253"/>
      <c r="Y9" t="s">
        <v>503</v>
      </c>
      <c r="Z9" s="219"/>
      <c r="AA9" s="219"/>
    </row>
    <row r="10" spans="1:27" ht="17.399999999999999" customHeight="1" x14ac:dyDescent="0.3">
      <c r="A10" s="88">
        <v>8</v>
      </c>
      <c r="B10" s="173">
        <v>6</v>
      </c>
      <c r="C10" s="159"/>
      <c r="D10" s="88" t="s">
        <v>509</v>
      </c>
      <c r="E10" s="88" t="s">
        <v>708</v>
      </c>
      <c r="F10" s="88" t="s">
        <v>730</v>
      </c>
      <c r="G10" s="88" t="s">
        <v>727</v>
      </c>
      <c r="H10" s="88">
        <v>310937441700003</v>
      </c>
      <c r="I10" s="88" t="s">
        <v>729</v>
      </c>
      <c r="J10" s="49">
        <v>1</v>
      </c>
      <c r="K10" s="49">
        <v>8.69</v>
      </c>
      <c r="L10" s="169">
        <f t="shared" si="0"/>
        <v>8.69</v>
      </c>
      <c r="M10" s="169">
        <f t="shared" si="1"/>
        <v>1</v>
      </c>
      <c r="N10" s="169">
        <f t="shared" si="2"/>
        <v>1.3034999999999999</v>
      </c>
      <c r="O10" s="169">
        <f t="shared" si="3"/>
        <v>9.9934999999999992</v>
      </c>
      <c r="R10" s="253"/>
      <c r="S10" s="253"/>
      <c r="T10" s="253"/>
      <c r="U10" s="253"/>
      <c r="Y10" t="s">
        <v>504</v>
      </c>
      <c r="Z10" s="219"/>
      <c r="AA10" s="219"/>
    </row>
    <row r="11" spans="1:27" ht="17.399999999999999" customHeight="1" x14ac:dyDescent="0.3">
      <c r="A11" s="88">
        <v>9</v>
      </c>
      <c r="B11" s="173">
        <v>6</v>
      </c>
      <c r="C11" s="159"/>
      <c r="D11" s="88" t="s">
        <v>509</v>
      </c>
      <c r="E11" s="88" t="s">
        <v>708</v>
      </c>
      <c r="F11" s="88" t="s">
        <v>731</v>
      </c>
      <c r="G11" s="88" t="s">
        <v>727</v>
      </c>
      <c r="H11" s="88">
        <v>310937441700003</v>
      </c>
      <c r="I11" s="88" t="s">
        <v>725</v>
      </c>
      <c r="J11" s="49">
        <v>1</v>
      </c>
      <c r="K11" s="49">
        <v>6.95</v>
      </c>
      <c r="L11" s="169">
        <f t="shared" si="0"/>
        <v>6.95</v>
      </c>
      <c r="M11" s="169">
        <f t="shared" si="1"/>
        <v>1</v>
      </c>
      <c r="N11" s="169">
        <f t="shared" si="2"/>
        <v>1.0425</v>
      </c>
      <c r="O11" s="169">
        <f t="shared" si="3"/>
        <v>7.9924999999999997</v>
      </c>
      <c r="Y11" t="s">
        <v>512</v>
      </c>
      <c r="Z11" s="219"/>
      <c r="AA11" s="219"/>
    </row>
    <row r="12" spans="1:27" ht="17.399999999999999" customHeight="1" x14ac:dyDescent="0.3">
      <c r="A12" s="88">
        <v>10</v>
      </c>
      <c r="B12" s="173">
        <v>7</v>
      </c>
      <c r="C12" s="159"/>
      <c r="D12" s="88" t="s">
        <v>509</v>
      </c>
      <c r="E12" s="88" t="s">
        <v>715</v>
      </c>
      <c r="F12" s="88" t="s">
        <v>732</v>
      </c>
      <c r="G12" s="88" t="s">
        <v>733</v>
      </c>
      <c r="H12" s="88">
        <v>311172172500003</v>
      </c>
      <c r="I12" s="88" t="s">
        <v>718</v>
      </c>
      <c r="J12" s="49">
        <v>1</v>
      </c>
      <c r="K12" s="49">
        <v>10.07</v>
      </c>
      <c r="L12" s="169">
        <f t="shared" si="0"/>
        <v>10.07</v>
      </c>
      <c r="M12" s="169">
        <f t="shared" si="1"/>
        <v>1</v>
      </c>
      <c r="N12" s="169">
        <f t="shared" si="2"/>
        <v>1.5105</v>
      </c>
      <c r="O12" s="169">
        <f t="shared" si="3"/>
        <v>11.580500000000001</v>
      </c>
      <c r="R12" s="251" t="s">
        <v>586</v>
      </c>
      <c r="S12" s="251"/>
      <c r="T12" s="251"/>
      <c r="U12" s="251"/>
      <c r="Y12" t="s">
        <v>505</v>
      </c>
      <c r="Z12" s="219"/>
      <c r="AA12" s="219"/>
    </row>
    <row r="13" spans="1:27" ht="17.399999999999999" customHeight="1" x14ac:dyDescent="0.3">
      <c r="A13" s="88">
        <v>11</v>
      </c>
      <c r="B13" s="172">
        <v>8</v>
      </c>
      <c r="C13" s="159"/>
      <c r="D13" s="88" t="s">
        <v>509</v>
      </c>
      <c r="E13" s="88" t="s">
        <v>715</v>
      </c>
      <c r="F13" s="88" t="s">
        <v>734</v>
      </c>
      <c r="G13" s="88" t="s">
        <v>735</v>
      </c>
      <c r="H13" s="88">
        <v>310399810400003</v>
      </c>
      <c r="I13" s="88"/>
      <c r="J13" s="49">
        <v>2</v>
      </c>
      <c r="K13" s="49">
        <v>1.73</v>
      </c>
      <c r="L13" s="169">
        <f t="shared" si="0"/>
        <v>3.46</v>
      </c>
      <c r="M13" s="169">
        <f t="shared" si="1"/>
        <v>1</v>
      </c>
      <c r="N13" s="169">
        <f t="shared" si="2"/>
        <v>0.51900000000000002</v>
      </c>
      <c r="O13" s="169">
        <f t="shared" si="3"/>
        <v>3.9790000000000001</v>
      </c>
      <c r="R13" s="252" t="s">
        <v>583</v>
      </c>
      <c r="S13" s="252"/>
      <c r="T13" s="252" t="str">
        <f>T8</f>
        <v xml:space="preserve">نوفمبر </v>
      </c>
      <c r="U13" s="252"/>
      <c r="Y13" t="s">
        <v>506</v>
      </c>
      <c r="Z13" s="219"/>
      <c r="AA13" s="219"/>
    </row>
    <row r="14" spans="1:27" ht="17.399999999999999" customHeight="1" x14ac:dyDescent="0.3">
      <c r="A14" s="88">
        <v>12</v>
      </c>
      <c r="B14" s="173">
        <v>9</v>
      </c>
      <c r="C14" s="159"/>
      <c r="D14" s="88" t="s">
        <v>509</v>
      </c>
      <c r="E14" s="88" t="s">
        <v>736</v>
      </c>
      <c r="F14" s="88" t="s">
        <v>737</v>
      </c>
      <c r="G14" s="88" t="s">
        <v>738</v>
      </c>
      <c r="H14" s="88">
        <v>310283752400003</v>
      </c>
      <c r="I14" s="88" t="s">
        <v>739</v>
      </c>
      <c r="J14" s="49">
        <v>1</v>
      </c>
      <c r="K14" s="49">
        <v>26.09</v>
      </c>
      <c r="L14" s="169">
        <f t="shared" si="0"/>
        <v>26.09</v>
      </c>
      <c r="M14" s="169">
        <f t="shared" si="1"/>
        <v>1</v>
      </c>
      <c r="N14" s="169">
        <f t="shared" si="2"/>
        <v>3.9135</v>
      </c>
      <c r="O14" s="169">
        <f t="shared" si="3"/>
        <v>30.003499999999999</v>
      </c>
      <c r="R14" s="253" t="s">
        <v>513</v>
      </c>
      <c r="S14" s="253"/>
      <c r="T14" s="253">
        <f>SUMIFS('عهدة المصروفات'!B3:B11,'عهدة المصروفات'!E3:E11,T8)</f>
        <v>0</v>
      </c>
      <c r="U14" s="253"/>
      <c r="Y14" t="s">
        <v>507</v>
      </c>
      <c r="Z14" s="219"/>
      <c r="AA14" s="219"/>
    </row>
    <row r="15" spans="1:27" ht="17.399999999999999" customHeight="1" x14ac:dyDescent="0.3">
      <c r="A15" s="88">
        <v>13</v>
      </c>
      <c r="B15" s="172">
        <v>10</v>
      </c>
      <c r="C15" s="159"/>
      <c r="D15" s="88" t="s">
        <v>509</v>
      </c>
      <c r="E15" s="88" t="s">
        <v>740</v>
      </c>
      <c r="F15" s="88" t="s">
        <v>741</v>
      </c>
      <c r="G15" s="88" t="s">
        <v>742</v>
      </c>
      <c r="H15" s="88">
        <v>300498479600003</v>
      </c>
      <c r="I15" s="88" t="s">
        <v>725</v>
      </c>
      <c r="J15" s="49">
        <v>3</v>
      </c>
      <c r="K15" s="49">
        <v>1</v>
      </c>
      <c r="L15" s="169">
        <f t="shared" si="0"/>
        <v>3</v>
      </c>
      <c r="M15" s="169">
        <f t="shared" si="1"/>
        <v>1</v>
      </c>
      <c r="N15" s="169">
        <f t="shared" si="2"/>
        <v>0.44999999999999996</v>
      </c>
      <c r="O15" s="169">
        <f t="shared" si="3"/>
        <v>3.45</v>
      </c>
      <c r="R15" s="253"/>
      <c r="S15" s="253"/>
      <c r="T15" s="253"/>
      <c r="U15" s="253"/>
      <c r="Y15" t="s">
        <v>508</v>
      </c>
      <c r="Z15" s="219"/>
      <c r="AA15" s="219"/>
    </row>
    <row r="16" spans="1:27" ht="17.399999999999999" customHeight="1" x14ac:dyDescent="0.3">
      <c r="A16" s="88">
        <v>14</v>
      </c>
      <c r="B16" s="173">
        <v>11</v>
      </c>
      <c r="C16" s="159"/>
      <c r="D16" s="88" t="s">
        <v>509</v>
      </c>
      <c r="E16" s="88" t="s">
        <v>743</v>
      </c>
      <c r="F16" s="88" t="s">
        <v>744</v>
      </c>
      <c r="G16" s="88" t="s">
        <v>745</v>
      </c>
      <c r="H16" s="88">
        <v>310928505700003</v>
      </c>
      <c r="I16" s="88" t="s">
        <v>725</v>
      </c>
      <c r="J16" s="49">
        <v>1</v>
      </c>
      <c r="K16" s="49">
        <v>6.6</v>
      </c>
      <c r="L16" s="169">
        <f t="shared" si="0"/>
        <v>6.6</v>
      </c>
      <c r="M16" s="169">
        <f t="shared" si="1"/>
        <v>1</v>
      </c>
      <c r="N16" s="169">
        <f t="shared" si="2"/>
        <v>0.98999999999999988</v>
      </c>
      <c r="O16" s="169">
        <f t="shared" si="3"/>
        <v>7.59</v>
      </c>
      <c r="Y16" t="s">
        <v>509</v>
      </c>
      <c r="Z16" s="219"/>
      <c r="AA16" s="219"/>
    </row>
    <row r="17" spans="1:27" ht="17.399999999999999" customHeight="1" x14ac:dyDescent="0.3">
      <c r="A17" s="88">
        <v>15</v>
      </c>
      <c r="B17" s="173">
        <v>11</v>
      </c>
      <c r="C17" s="159"/>
      <c r="D17" s="88" t="s">
        <v>509</v>
      </c>
      <c r="E17" s="88" t="s">
        <v>709</v>
      </c>
      <c r="F17" s="88" t="s">
        <v>746</v>
      </c>
      <c r="G17" s="88" t="s">
        <v>745</v>
      </c>
      <c r="H17" s="88">
        <v>310928505700003</v>
      </c>
      <c r="I17" s="88" t="s">
        <v>725</v>
      </c>
      <c r="J17" s="49">
        <v>1</v>
      </c>
      <c r="K17" s="49">
        <v>11.3</v>
      </c>
      <c r="L17" s="169">
        <f t="shared" si="0"/>
        <v>11.3</v>
      </c>
      <c r="M17" s="169">
        <f t="shared" si="1"/>
        <v>1</v>
      </c>
      <c r="N17" s="169">
        <f t="shared" si="2"/>
        <v>1.6950000000000001</v>
      </c>
      <c r="O17" s="169">
        <f t="shared" si="3"/>
        <v>12.995000000000001</v>
      </c>
      <c r="R17" s="251" t="s">
        <v>587</v>
      </c>
      <c r="S17" s="251"/>
      <c r="T17" s="251"/>
      <c r="U17" s="251"/>
      <c r="Y17" t="s">
        <v>510</v>
      </c>
      <c r="Z17" s="219"/>
      <c r="AA17" s="219"/>
    </row>
    <row r="18" spans="1:27" ht="17.399999999999999" customHeight="1" x14ac:dyDescent="0.3">
      <c r="A18" s="88">
        <v>16</v>
      </c>
      <c r="B18" s="173">
        <v>11</v>
      </c>
      <c r="C18" s="159"/>
      <c r="D18" s="88" t="s">
        <v>509</v>
      </c>
      <c r="E18" s="88" t="s">
        <v>709</v>
      </c>
      <c r="F18" s="88" t="s">
        <v>747</v>
      </c>
      <c r="G18" s="88" t="s">
        <v>745</v>
      </c>
      <c r="H18" s="88">
        <v>310928505700003</v>
      </c>
      <c r="I18" s="88" t="s">
        <v>729</v>
      </c>
      <c r="J18" s="49">
        <v>2</v>
      </c>
      <c r="K18" s="49">
        <v>15.21</v>
      </c>
      <c r="L18" s="169">
        <f t="shared" si="0"/>
        <v>30.42</v>
      </c>
      <c r="M18" s="169">
        <f t="shared" si="1"/>
        <v>1</v>
      </c>
      <c r="N18" s="169">
        <f t="shared" si="2"/>
        <v>4.5629999999999997</v>
      </c>
      <c r="O18" s="169">
        <f t="shared" si="3"/>
        <v>34.983000000000004</v>
      </c>
      <c r="R18" s="252" t="s">
        <v>4</v>
      </c>
      <c r="S18" s="252"/>
      <c r="T18" s="252" t="str">
        <f>T8</f>
        <v xml:space="preserve">نوفمبر </v>
      </c>
      <c r="U18" s="252"/>
      <c r="Z18" s="219"/>
      <c r="AA18" s="219"/>
    </row>
    <row r="19" spans="1:27" ht="17.399999999999999" customHeight="1" x14ac:dyDescent="0.3">
      <c r="A19" s="88">
        <v>17</v>
      </c>
      <c r="B19" s="172">
        <v>12</v>
      </c>
      <c r="C19" s="159"/>
      <c r="D19" s="88" t="s">
        <v>509</v>
      </c>
      <c r="E19" s="88" t="s">
        <v>715</v>
      </c>
      <c r="F19" s="88" t="s">
        <v>748</v>
      </c>
      <c r="G19" s="88" t="s">
        <v>749</v>
      </c>
      <c r="H19" s="88">
        <v>3020851612200000</v>
      </c>
      <c r="I19" s="88" t="s">
        <v>725</v>
      </c>
      <c r="J19" s="49">
        <v>1</v>
      </c>
      <c r="K19" s="49">
        <v>12.17</v>
      </c>
      <c r="L19" s="169">
        <f t="shared" si="0"/>
        <v>12.17</v>
      </c>
      <c r="M19" s="169">
        <f t="shared" si="1"/>
        <v>1</v>
      </c>
      <c r="N19" s="169">
        <f t="shared" si="2"/>
        <v>1.8254999999999999</v>
      </c>
      <c r="O19" s="169">
        <f t="shared" si="3"/>
        <v>13.9955</v>
      </c>
      <c r="R19" s="253" t="s">
        <v>513</v>
      </c>
      <c r="S19" s="253"/>
      <c r="T19" s="253">
        <f>T14-T9</f>
        <v>0</v>
      </c>
      <c r="U19" s="253"/>
      <c r="Z19" s="219"/>
      <c r="AA19" s="219"/>
    </row>
    <row r="20" spans="1:27" ht="17.399999999999999" customHeight="1" x14ac:dyDescent="0.3">
      <c r="A20" s="88">
        <v>18</v>
      </c>
      <c r="B20" s="173">
        <v>12</v>
      </c>
      <c r="C20" s="159"/>
      <c r="D20" s="88" t="s">
        <v>509</v>
      </c>
      <c r="E20" s="88" t="s">
        <v>715</v>
      </c>
      <c r="F20" s="88" t="s">
        <v>750</v>
      </c>
      <c r="G20" s="88" t="s">
        <v>749</v>
      </c>
      <c r="H20" s="88">
        <v>3020851612200000</v>
      </c>
      <c r="I20" s="88" t="s">
        <v>725</v>
      </c>
      <c r="J20" s="49">
        <v>1</v>
      </c>
      <c r="K20" s="49">
        <v>6.09</v>
      </c>
      <c r="L20" s="169">
        <f t="shared" si="0"/>
        <v>6.09</v>
      </c>
      <c r="M20" s="169">
        <f t="shared" si="1"/>
        <v>1</v>
      </c>
      <c r="N20" s="169">
        <f t="shared" si="2"/>
        <v>0.91349999999999998</v>
      </c>
      <c r="O20" s="169">
        <f t="shared" si="3"/>
        <v>7.0034999999999998</v>
      </c>
      <c r="R20" s="253"/>
      <c r="S20" s="253"/>
      <c r="T20" s="253"/>
      <c r="U20" s="253"/>
      <c r="Z20" s="219"/>
      <c r="AA20" s="219"/>
    </row>
    <row r="21" spans="1:27" ht="17.399999999999999" customHeight="1" x14ac:dyDescent="0.3">
      <c r="A21" s="88">
        <v>19</v>
      </c>
      <c r="B21" s="173">
        <v>12</v>
      </c>
      <c r="C21" s="159"/>
      <c r="D21" s="88" t="s">
        <v>509</v>
      </c>
      <c r="E21" s="88" t="s">
        <v>715</v>
      </c>
      <c r="F21" s="88" t="s">
        <v>751</v>
      </c>
      <c r="G21" s="88" t="s">
        <v>749</v>
      </c>
      <c r="H21" s="88">
        <v>3020851612200000</v>
      </c>
      <c r="I21" s="88" t="s">
        <v>725</v>
      </c>
      <c r="J21" s="49">
        <v>1</v>
      </c>
      <c r="K21" s="49">
        <v>8.6999999999999993</v>
      </c>
      <c r="L21" s="169">
        <f t="shared" si="0"/>
        <v>8.6999999999999993</v>
      </c>
      <c r="M21" s="169">
        <f t="shared" si="1"/>
        <v>1</v>
      </c>
      <c r="N21" s="169">
        <f t="shared" si="2"/>
        <v>1.3049999999999999</v>
      </c>
      <c r="O21" s="169">
        <f t="shared" si="3"/>
        <v>10.004999999999999</v>
      </c>
      <c r="Z21" s="219"/>
      <c r="AA21" s="219"/>
    </row>
    <row r="22" spans="1:27" ht="17.399999999999999" customHeight="1" x14ac:dyDescent="0.3">
      <c r="A22" s="88">
        <v>20</v>
      </c>
      <c r="B22" s="173">
        <v>12</v>
      </c>
      <c r="C22" s="159"/>
      <c r="D22" s="88" t="s">
        <v>509</v>
      </c>
      <c r="E22" s="88" t="s">
        <v>715</v>
      </c>
      <c r="F22" s="88" t="s">
        <v>752</v>
      </c>
      <c r="G22" s="88" t="s">
        <v>749</v>
      </c>
      <c r="H22" s="88">
        <v>3020851612200000</v>
      </c>
      <c r="I22" s="88" t="s">
        <v>725</v>
      </c>
      <c r="J22" s="49">
        <v>1</v>
      </c>
      <c r="K22" s="49">
        <v>15.65</v>
      </c>
      <c r="L22" s="169">
        <f t="shared" si="0"/>
        <v>15.65</v>
      </c>
      <c r="M22" s="169">
        <f t="shared" si="1"/>
        <v>1</v>
      </c>
      <c r="N22" s="169">
        <f t="shared" si="2"/>
        <v>2.3475000000000001</v>
      </c>
      <c r="O22" s="169">
        <f t="shared" si="3"/>
        <v>17.997500000000002</v>
      </c>
      <c r="Z22" s="219"/>
      <c r="AA22" s="219"/>
    </row>
    <row r="23" spans="1:27" x14ac:dyDescent="0.3">
      <c r="A23" s="88">
        <v>21</v>
      </c>
      <c r="B23" s="172">
        <v>13</v>
      </c>
      <c r="C23" s="159"/>
      <c r="D23" s="88" t="s">
        <v>509</v>
      </c>
      <c r="E23" s="88" t="s">
        <v>740</v>
      </c>
      <c r="F23" s="88" t="s">
        <v>741</v>
      </c>
      <c r="G23" s="88" t="s">
        <v>742</v>
      </c>
      <c r="H23" s="88">
        <v>300498479600003</v>
      </c>
      <c r="I23" s="88" t="s">
        <v>725</v>
      </c>
      <c r="J23" s="49">
        <v>2</v>
      </c>
      <c r="K23" s="49">
        <v>1</v>
      </c>
      <c r="L23" s="169">
        <f t="shared" si="0"/>
        <v>2</v>
      </c>
      <c r="M23" s="169">
        <f t="shared" si="1"/>
        <v>1</v>
      </c>
      <c r="N23" s="169">
        <f t="shared" si="2"/>
        <v>0.3</v>
      </c>
      <c r="O23" s="169">
        <f t="shared" si="3"/>
        <v>2.2999999999999998</v>
      </c>
      <c r="Z23" s="219"/>
      <c r="AA23" s="219"/>
    </row>
    <row r="24" spans="1:27" x14ac:dyDescent="0.3">
      <c r="A24" s="88">
        <v>22</v>
      </c>
      <c r="B24" s="173">
        <v>14</v>
      </c>
      <c r="C24" s="159"/>
      <c r="D24" s="88" t="s">
        <v>509</v>
      </c>
      <c r="E24" s="88" t="s">
        <v>710</v>
      </c>
      <c r="F24" s="88" t="s">
        <v>711</v>
      </c>
      <c r="G24" s="88" t="s">
        <v>753</v>
      </c>
      <c r="H24" s="88">
        <v>302008755200003</v>
      </c>
      <c r="I24" s="88" t="s">
        <v>754</v>
      </c>
      <c r="J24" s="49">
        <v>1</v>
      </c>
      <c r="K24" s="49">
        <v>43.47</v>
      </c>
      <c r="L24" s="169">
        <f t="shared" si="0"/>
        <v>43.47</v>
      </c>
      <c r="M24" s="169">
        <f t="shared" si="1"/>
        <v>1</v>
      </c>
      <c r="N24" s="169">
        <f t="shared" si="2"/>
        <v>6.5204999999999993</v>
      </c>
      <c r="O24" s="169">
        <f t="shared" si="3"/>
        <v>49.990499999999997</v>
      </c>
      <c r="Z24" s="219"/>
      <c r="AA24" s="219"/>
    </row>
    <row r="25" spans="1:27" x14ac:dyDescent="0.3">
      <c r="A25" s="88">
        <v>23</v>
      </c>
      <c r="B25" s="172">
        <v>15</v>
      </c>
      <c r="C25" s="159"/>
      <c r="D25" s="88" t="s">
        <v>509</v>
      </c>
      <c r="E25" s="88" t="s">
        <v>722</v>
      </c>
      <c r="F25" s="88" t="s">
        <v>755</v>
      </c>
      <c r="G25" s="88" t="s">
        <v>756</v>
      </c>
      <c r="H25" s="88"/>
      <c r="I25" s="88"/>
      <c r="J25" s="49">
        <v>1</v>
      </c>
      <c r="K25" s="49">
        <v>10</v>
      </c>
      <c r="L25" s="169">
        <f t="shared" si="0"/>
        <v>10</v>
      </c>
      <c r="M25" s="169">
        <f t="shared" si="1"/>
        <v>0</v>
      </c>
      <c r="N25" s="169">
        <f t="shared" si="2"/>
        <v>0</v>
      </c>
      <c r="O25" s="169">
        <f t="shared" si="3"/>
        <v>10</v>
      </c>
      <c r="Z25" s="219"/>
      <c r="AA25" s="219"/>
    </row>
    <row r="26" spans="1:27" x14ac:dyDescent="0.3">
      <c r="A26" s="88">
        <v>24</v>
      </c>
      <c r="B26" s="173">
        <v>16</v>
      </c>
      <c r="C26" s="159"/>
      <c r="D26" s="88" t="s">
        <v>509</v>
      </c>
      <c r="E26" s="88" t="s">
        <v>757</v>
      </c>
      <c r="F26" s="88" t="s">
        <v>758</v>
      </c>
      <c r="G26" s="88" t="s">
        <v>759</v>
      </c>
      <c r="H26" s="88"/>
      <c r="I26" s="88"/>
      <c r="J26" s="49">
        <v>1</v>
      </c>
      <c r="K26" s="49">
        <v>2</v>
      </c>
      <c r="L26" s="169">
        <f t="shared" si="0"/>
        <v>2</v>
      </c>
      <c r="M26" s="169">
        <f t="shared" si="1"/>
        <v>0</v>
      </c>
      <c r="N26" s="169">
        <f t="shared" si="2"/>
        <v>0</v>
      </c>
      <c r="O26" s="169">
        <f t="shared" si="3"/>
        <v>2</v>
      </c>
      <c r="Z26" s="219"/>
      <c r="AA26" s="219"/>
    </row>
    <row r="27" spans="1:27" x14ac:dyDescent="0.3">
      <c r="A27" s="88">
        <v>25</v>
      </c>
      <c r="B27" s="172">
        <v>17</v>
      </c>
      <c r="C27" s="159"/>
      <c r="D27" s="88" t="s">
        <v>509</v>
      </c>
      <c r="E27" s="175" t="s">
        <v>760</v>
      </c>
      <c r="F27" s="88" t="s">
        <v>761</v>
      </c>
      <c r="G27" s="88" t="s">
        <v>762</v>
      </c>
      <c r="H27" s="88"/>
      <c r="I27" s="88"/>
      <c r="J27" s="49">
        <v>1</v>
      </c>
      <c r="K27" s="49">
        <v>60</v>
      </c>
      <c r="L27" s="169">
        <f t="shared" si="0"/>
        <v>60</v>
      </c>
      <c r="M27" s="169">
        <f t="shared" si="1"/>
        <v>0</v>
      </c>
      <c r="N27" s="169">
        <f t="shared" si="2"/>
        <v>0</v>
      </c>
      <c r="O27" s="169">
        <f t="shared" si="3"/>
        <v>60</v>
      </c>
      <c r="Z27" s="219"/>
      <c r="AA27" s="219"/>
    </row>
    <row r="28" spans="1:27" x14ac:dyDescent="0.3">
      <c r="A28" s="88">
        <v>26</v>
      </c>
      <c r="B28" s="173">
        <v>18</v>
      </c>
      <c r="C28" s="159"/>
      <c r="D28" s="88" t="s">
        <v>509</v>
      </c>
      <c r="E28" s="88" t="s">
        <v>763</v>
      </c>
      <c r="F28" s="88" t="s">
        <v>764</v>
      </c>
      <c r="G28" s="88" t="s">
        <v>766</v>
      </c>
      <c r="H28" s="88">
        <v>300053476600003</v>
      </c>
      <c r="I28" s="88" t="s">
        <v>725</v>
      </c>
      <c r="J28" s="49">
        <v>42</v>
      </c>
      <c r="K28" s="49">
        <v>3.6</v>
      </c>
      <c r="L28" s="169">
        <f t="shared" si="0"/>
        <v>151.20000000000002</v>
      </c>
      <c r="M28" s="169">
        <f t="shared" si="1"/>
        <v>1</v>
      </c>
      <c r="N28" s="169">
        <f t="shared" si="2"/>
        <v>22.680000000000003</v>
      </c>
      <c r="O28" s="169">
        <f t="shared" si="3"/>
        <v>173.88000000000002</v>
      </c>
      <c r="Z28" s="219"/>
      <c r="AA28" s="219"/>
    </row>
    <row r="29" spans="1:27" x14ac:dyDescent="0.3">
      <c r="A29" s="88">
        <v>27</v>
      </c>
      <c r="B29" s="172">
        <v>19</v>
      </c>
      <c r="C29" s="159"/>
      <c r="D29" s="88" t="s">
        <v>509</v>
      </c>
      <c r="E29" s="88" t="s">
        <v>763</v>
      </c>
      <c r="F29" s="88" t="s">
        <v>765</v>
      </c>
      <c r="G29" s="88" t="s">
        <v>766</v>
      </c>
      <c r="H29" s="88">
        <v>300053476600003</v>
      </c>
      <c r="I29" s="88" t="s">
        <v>725</v>
      </c>
      <c r="J29" s="49">
        <v>42</v>
      </c>
      <c r="K29" s="49">
        <v>-2.8</v>
      </c>
      <c r="L29" s="169">
        <f t="shared" si="0"/>
        <v>-117.6</v>
      </c>
      <c r="M29" s="169">
        <f t="shared" si="1"/>
        <v>1</v>
      </c>
      <c r="N29" s="169">
        <f t="shared" si="2"/>
        <v>-17.639999999999997</v>
      </c>
      <c r="O29" s="169">
        <f t="shared" si="3"/>
        <v>-135.23999999999998</v>
      </c>
      <c r="Z29" s="219"/>
      <c r="AA29" s="219"/>
    </row>
    <row r="30" spans="1:27" x14ac:dyDescent="0.3">
      <c r="A30" s="88">
        <v>28</v>
      </c>
      <c r="B30" s="173">
        <v>20</v>
      </c>
      <c r="C30" s="159"/>
      <c r="D30" s="88" t="s">
        <v>509</v>
      </c>
      <c r="E30" s="88" t="s">
        <v>763</v>
      </c>
      <c r="F30" s="88" t="s">
        <v>767</v>
      </c>
      <c r="G30" s="88" t="s">
        <v>766</v>
      </c>
      <c r="H30" s="88">
        <v>300053476600003</v>
      </c>
      <c r="I30" s="88" t="s">
        <v>725</v>
      </c>
      <c r="J30" s="49">
        <v>50</v>
      </c>
      <c r="K30" s="49">
        <v>3</v>
      </c>
      <c r="L30" s="169">
        <f t="shared" si="0"/>
        <v>150</v>
      </c>
      <c r="M30" s="169">
        <f t="shared" si="1"/>
        <v>1</v>
      </c>
      <c r="N30" s="169">
        <f t="shared" si="2"/>
        <v>22.5</v>
      </c>
      <c r="O30" s="169">
        <f t="shared" si="3"/>
        <v>172.5</v>
      </c>
      <c r="Z30" s="219"/>
      <c r="AA30" s="219"/>
    </row>
    <row r="31" spans="1:27" x14ac:dyDescent="0.3">
      <c r="A31" s="88">
        <v>29</v>
      </c>
      <c r="B31" s="173">
        <v>20</v>
      </c>
      <c r="C31" s="159"/>
      <c r="D31" s="88" t="s">
        <v>509</v>
      </c>
      <c r="E31" s="88" t="s">
        <v>763</v>
      </c>
      <c r="F31" s="88" t="s">
        <v>768</v>
      </c>
      <c r="G31" s="88" t="s">
        <v>766</v>
      </c>
      <c r="H31" s="88">
        <v>300053476600003</v>
      </c>
      <c r="I31" s="88" t="s">
        <v>725</v>
      </c>
      <c r="J31" s="49">
        <v>50</v>
      </c>
      <c r="K31" s="49">
        <v>2.8</v>
      </c>
      <c r="L31" s="169">
        <f t="shared" si="0"/>
        <v>140</v>
      </c>
      <c r="M31" s="169">
        <f t="shared" si="1"/>
        <v>1</v>
      </c>
      <c r="N31" s="169">
        <f t="shared" si="2"/>
        <v>21</v>
      </c>
      <c r="O31" s="169">
        <f t="shared" si="3"/>
        <v>161</v>
      </c>
      <c r="Z31" s="219"/>
      <c r="AA31" s="219"/>
    </row>
    <row r="32" spans="1:27" x14ac:dyDescent="0.3">
      <c r="A32" s="88">
        <v>30</v>
      </c>
      <c r="B32" s="173">
        <v>20</v>
      </c>
      <c r="C32" s="159"/>
      <c r="D32" s="88" t="s">
        <v>509</v>
      </c>
      <c r="E32" s="88" t="s">
        <v>763</v>
      </c>
      <c r="F32" s="88" t="s">
        <v>769</v>
      </c>
      <c r="G32" s="88" t="s">
        <v>766</v>
      </c>
      <c r="H32" s="88">
        <v>300053476600003</v>
      </c>
      <c r="I32" s="88" t="s">
        <v>725</v>
      </c>
      <c r="J32" s="49">
        <v>1</v>
      </c>
      <c r="K32" s="49">
        <v>191.31</v>
      </c>
      <c r="L32" s="169">
        <f t="shared" si="0"/>
        <v>191.31</v>
      </c>
      <c r="M32" s="169">
        <f t="shared" si="1"/>
        <v>1</v>
      </c>
      <c r="N32" s="169">
        <f t="shared" si="2"/>
        <v>28.6965</v>
      </c>
      <c r="O32" s="169">
        <f t="shared" si="3"/>
        <v>220.00650000000002</v>
      </c>
      <c r="Z32" s="219"/>
      <c r="AA32" s="219"/>
    </row>
    <row r="33" spans="1:27" x14ac:dyDescent="0.3">
      <c r="A33" s="88">
        <v>31</v>
      </c>
      <c r="B33" s="172">
        <v>21</v>
      </c>
      <c r="C33" s="159"/>
      <c r="D33" s="88" t="s">
        <v>509</v>
      </c>
      <c r="E33" s="88" t="s">
        <v>763</v>
      </c>
      <c r="F33" s="88" t="s">
        <v>770</v>
      </c>
      <c r="G33" s="88" t="s">
        <v>766</v>
      </c>
      <c r="H33" s="88">
        <v>300053476600003</v>
      </c>
      <c r="I33" s="88" t="s">
        <v>725</v>
      </c>
      <c r="J33" s="49">
        <v>2</v>
      </c>
      <c r="K33" s="49">
        <v>66</v>
      </c>
      <c r="L33" s="169">
        <f t="shared" si="0"/>
        <v>132</v>
      </c>
      <c r="M33" s="169">
        <f t="shared" si="1"/>
        <v>1</v>
      </c>
      <c r="N33" s="169">
        <f t="shared" si="2"/>
        <v>19.8</v>
      </c>
      <c r="O33" s="169">
        <f t="shared" si="3"/>
        <v>151.80000000000001</v>
      </c>
      <c r="Z33" s="219"/>
      <c r="AA33" s="219"/>
    </row>
    <row r="34" spans="1:27" x14ac:dyDescent="0.3">
      <c r="A34" s="88">
        <v>32</v>
      </c>
      <c r="B34" s="173">
        <v>22</v>
      </c>
      <c r="C34" s="159"/>
      <c r="D34" s="88" t="s">
        <v>509</v>
      </c>
      <c r="E34" s="88" t="s">
        <v>771</v>
      </c>
      <c r="F34" s="88" t="s">
        <v>772</v>
      </c>
      <c r="G34" s="88" t="s">
        <v>773</v>
      </c>
      <c r="H34" s="88">
        <v>302003472300003</v>
      </c>
      <c r="I34" s="88"/>
      <c r="J34" s="49">
        <v>1</v>
      </c>
      <c r="K34" s="49">
        <v>61</v>
      </c>
      <c r="L34" s="169">
        <f t="shared" si="0"/>
        <v>61</v>
      </c>
      <c r="M34" s="169">
        <f t="shared" si="1"/>
        <v>1</v>
      </c>
      <c r="N34" s="169">
        <f t="shared" si="2"/>
        <v>9.15</v>
      </c>
      <c r="O34" s="169">
        <f t="shared" si="3"/>
        <v>70.150000000000006</v>
      </c>
      <c r="Z34" s="219"/>
      <c r="AA34" s="219"/>
    </row>
    <row r="35" spans="1:27" x14ac:dyDescent="0.3">
      <c r="A35" s="88">
        <v>33</v>
      </c>
      <c r="B35" s="172">
        <v>23</v>
      </c>
      <c r="C35" s="159"/>
      <c r="D35" s="88" t="s">
        <v>509</v>
      </c>
      <c r="E35" s="88" t="s">
        <v>736</v>
      </c>
      <c r="F35" s="88" t="s">
        <v>774</v>
      </c>
      <c r="G35" s="88" t="s">
        <v>775</v>
      </c>
      <c r="H35" s="88">
        <v>310933804300003</v>
      </c>
      <c r="I35" s="88" t="s">
        <v>776</v>
      </c>
      <c r="J35" s="49">
        <v>10</v>
      </c>
      <c r="K35" s="49">
        <v>78.260000000000005</v>
      </c>
      <c r="L35" s="169">
        <f t="shared" si="0"/>
        <v>782.6</v>
      </c>
      <c r="M35" s="169">
        <f t="shared" si="1"/>
        <v>1</v>
      </c>
      <c r="N35" s="169">
        <f t="shared" si="2"/>
        <v>117.39</v>
      </c>
      <c r="O35" s="169">
        <f t="shared" si="3"/>
        <v>899.99</v>
      </c>
      <c r="Z35" s="219"/>
      <c r="AA35" s="219"/>
    </row>
    <row r="36" spans="1:27" x14ac:dyDescent="0.3">
      <c r="A36" s="88">
        <v>34</v>
      </c>
      <c r="B36" s="173">
        <v>24</v>
      </c>
      <c r="C36" s="159"/>
      <c r="D36" s="88" t="s">
        <v>509</v>
      </c>
      <c r="E36" s="88" t="s">
        <v>757</v>
      </c>
      <c r="F36" s="88" t="s">
        <v>777</v>
      </c>
      <c r="G36" s="88" t="s">
        <v>759</v>
      </c>
      <c r="H36" s="88">
        <v>311438314800003</v>
      </c>
      <c r="I36" s="88"/>
      <c r="J36" s="49">
        <v>1</v>
      </c>
      <c r="K36" s="49">
        <v>47</v>
      </c>
      <c r="L36" s="169">
        <f t="shared" si="0"/>
        <v>47</v>
      </c>
      <c r="M36" s="169">
        <f t="shared" si="1"/>
        <v>1</v>
      </c>
      <c r="N36" s="169">
        <f t="shared" si="2"/>
        <v>7.05</v>
      </c>
      <c r="O36" s="169">
        <f t="shared" si="3"/>
        <v>54.05</v>
      </c>
      <c r="Z36" s="219"/>
      <c r="AA36" s="219"/>
    </row>
    <row r="37" spans="1:27" x14ac:dyDescent="0.3">
      <c r="A37" s="88">
        <v>35</v>
      </c>
      <c r="B37" s="172">
        <v>25</v>
      </c>
      <c r="C37" s="159"/>
      <c r="D37" s="88" t="s">
        <v>509</v>
      </c>
      <c r="E37" s="88" t="s">
        <v>763</v>
      </c>
      <c r="F37" s="88" t="s">
        <v>778</v>
      </c>
      <c r="G37" s="88" t="s">
        <v>779</v>
      </c>
      <c r="H37" s="88">
        <v>311438314800003</v>
      </c>
      <c r="I37" s="88"/>
      <c r="J37" s="49">
        <v>1</v>
      </c>
      <c r="K37" s="49">
        <v>310</v>
      </c>
      <c r="L37" s="169">
        <f t="shared" si="0"/>
        <v>310</v>
      </c>
      <c r="M37" s="169">
        <f t="shared" si="1"/>
        <v>1</v>
      </c>
      <c r="N37" s="169">
        <f t="shared" si="2"/>
        <v>46.5</v>
      </c>
      <c r="O37" s="169">
        <f t="shared" si="3"/>
        <v>356.5</v>
      </c>
      <c r="Z37" s="219"/>
      <c r="AA37" s="219"/>
    </row>
    <row r="38" spans="1:27" x14ac:dyDescent="0.3">
      <c r="A38" s="88">
        <v>36</v>
      </c>
      <c r="B38" s="172">
        <v>25</v>
      </c>
      <c r="C38" s="159"/>
      <c r="D38" s="88" t="s">
        <v>509</v>
      </c>
      <c r="E38" s="88" t="s">
        <v>763</v>
      </c>
      <c r="F38" s="88" t="s">
        <v>780</v>
      </c>
      <c r="G38" s="88" t="s">
        <v>779</v>
      </c>
      <c r="H38" s="88">
        <v>311438314800003</v>
      </c>
      <c r="I38" s="88"/>
      <c r="J38" s="49">
        <v>2</v>
      </c>
      <c r="K38" s="49">
        <v>10</v>
      </c>
      <c r="L38" s="169">
        <f t="shared" si="0"/>
        <v>20</v>
      </c>
      <c r="M38" s="169">
        <f t="shared" si="1"/>
        <v>1</v>
      </c>
      <c r="N38" s="169">
        <f t="shared" si="2"/>
        <v>3</v>
      </c>
      <c r="O38" s="169">
        <f t="shared" si="3"/>
        <v>23</v>
      </c>
      <c r="Z38" s="219"/>
      <c r="AA38" s="219"/>
    </row>
    <row r="39" spans="1:27" x14ac:dyDescent="0.3">
      <c r="A39" s="88">
        <v>37</v>
      </c>
      <c r="B39" s="172">
        <v>26</v>
      </c>
      <c r="C39" s="159"/>
      <c r="D39" s="88" t="s">
        <v>509</v>
      </c>
      <c r="E39" s="88" t="s">
        <v>771</v>
      </c>
      <c r="F39" s="88" t="s">
        <v>781</v>
      </c>
      <c r="G39" s="88" t="s">
        <v>782</v>
      </c>
      <c r="H39" s="88">
        <v>302133645800003</v>
      </c>
      <c r="I39" s="88"/>
      <c r="J39" s="49">
        <v>1</v>
      </c>
      <c r="K39" s="49">
        <v>521.74</v>
      </c>
      <c r="L39" s="169">
        <f t="shared" si="0"/>
        <v>521.74</v>
      </c>
      <c r="M39" s="169">
        <f t="shared" si="1"/>
        <v>1</v>
      </c>
      <c r="N39" s="169">
        <f t="shared" si="2"/>
        <v>78.260999999999996</v>
      </c>
      <c r="O39" s="169">
        <f t="shared" si="3"/>
        <v>600.00099999999998</v>
      </c>
      <c r="Z39" s="219"/>
      <c r="AA39" s="219"/>
    </row>
    <row r="40" spans="1:27" x14ac:dyDescent="0.3">
      <c r="A40" s="88">
        <v>38</v>
      </c>
      <c r="B40" s="173">
        <v>27</v>
      </c>
      <c r="C40" s="159"/>
      <c r="D40" s="88" t="s">
        <v>509</v>
      </c>
      <c r="E40" s="88" t="s">
        <v>757</v>
      </c>
      <c r="F40" s="88" t="s">
        <v>783</v>
      </c>
      <c r="G40" s="88" t="s">
        <v>759</v>
      </c>
      <c r="H40" s="88">
        <v>311438314800003</v>
      </c>
      <c r="I40" s="88"/>
      <c r="J40" s="49">
        <v>1</v>
      </c>
      <c r="K40" s="49">
        <v>30</v>
      </c>
      <c r="L40" s="169">
        <f t="shared" si="0"/>
        <v>30</v>
      </c>
      <c r="M40" s="169">
        <f t="shared" si="1"/>
        <v>1</v>
      </c>
      <c r="N40" s="169">
        <f t="shared" si="2"/>
        <v>4.5</v>
      </c>
      <c r="O40" s="169">
        <f t="shared" si="3"/>
        <v>34.5</v>
      </c>
      <c r="Z40" s="219"/>
      <c r="AA40" s="219"/>
    </row>
    <row r="41" spans="1:27" x14ac:dyDescent="0.3">
      <c r="A41" s="88">
        <v>39</v>
      </c>
      <c r="B41" s="173">
        <v>27</v>
      </c>
      <c r="C41" s="159"/>
      <c r="D41" s="88" t="s">
        <v>509</v>
      </c>
      <c r="E41" s="88" t="s">
        <v>757</v>
      </c>
      <c r="F41" s="88" t="s">
        <v>784</v>
      </c>
      <c r="G41" s="88" t="s">
        <v>759</v>
      </c>
      <c r="H41" s="88">
        <v>311438314800003</v>
      </c>
      <c r="I41" s="88"/>
      <c r="J41" s="49">
        <v>1</v>
      </c>
      <c r="K41" s="49">
        <v>5</v>
      </c>
      <c r="L41" s="169">
        <f t="shared" si="0"/>
        <v>5</v>
      </c>
      <c r="M41" s="169">
        <f t="shared" si="1"/>
        <v>1</v>
      </c>
      <c r="N41" s="169">
        <f t="shared" si="2"/>
        <v>0.75</v>
      </c>
      <c r="O41" s="169">
        <f t="shared" si="3"/>
        <v>5.75</v>
      </c>
      <c r="Z41" s="219"/>
      <c r="AA41" s="219"/>
    </row>
    <row r="42" spans="1:27" x14ac:dyDescent="0.3">
      <c r="A42" s="88">
        <v>40</v>
      </c>
      <c r="B42" s="173">
        <v>27</v>
      </c>
      <c r="C42" s="159"/>
      <c r="D42" s="88" t="s">
        <v>509</v>
      </c>
      <c r="E42" s="88" t="s">
        <v>757</v>
      </c>
      <c r="F42" s="88" t="s">
        <v>785</v>
      </c>
      <c r="G42" s="88" t="s">
        <v>759</v>
      </c>
      <c r="H42" s="88">
        <v>311438314800003</v>
      </c>
      <c r="I42" s="88"/>
      <c r="J42" s="49">
        <v>1</v>
      </c>
      <c r="K42" s="49">
        <v>10</v>
      </c>
      <c r="L42" s="169">
        <f t="shared" si="0"/>
        <v>10</v>
      </c>
      <c r="M42" s="169">
        <f t="shared" si="1"/>
        <v>1</v>
      </c>
      <c r="N42" s="169">
        <f t="shared" si="2"/>
        <v>1.5</v>
      </c>
      <c r="O42" s="169">
        <f t="shared" si="3"/>
        <v>11.5</v>
      </c>
      <c r="Z42" s="219"/>
      <c r="AA42" s="219"/>
    </row>
    <row r="43" spans="1:27" x14ac:dyDescent="0.3">
      <c r="A43" s="88">
        <v>41</v>
      </c>
      <c r="B43" s="173">
        <v>28</v>
      </c>
      <c r="C43" s="159"/>
      <c r="D43" s="88" t="s">
        <v>509</v>
      </c>
      <c r="E43" s="88" t="s">
        <v>757</v>
      </c>
      <c r="F43" s="88" t="s">
        <v>786</v>
      </c>
      <c r="G43" s="88" t="s">
        <v>759</v>
      </c>
      <c r="H43" s="88">
        <v>311438314800003</v>
      </c>
      <c r="I43" s="88"/>
      <c r="J43" s="49">
        <v>3</v>
      </c>
      <c r="K43" s="49">
        <v>10</v>
      </c>
      <c r="L43" s="169">
        <f t="shared" si="0"/>
        <v>30</v>
      </c>
      <c r="M43" s="169">
        <f t="shared" si="1"/>
        <v>1</v>
      </c>
      <c r="N43" s="169">
        <f t="shared" si="2"/>
        <v>4.5</v>
      </c>
      <c r="O43" s="169">
        <f t="shared" si="3"/>
        <v>34.5</v>
      </c>
      <c r="Z43" s="219"/>
      <c r="AA43" s="219"/>
    </row>
    <row r="44" spans="1:27" x14ac:dyDescent="0.3">
      <c r="A44" s="88">
        <v>42</v>
      </c>
      <c r="B44" s="173">
        <v>28</v>
      </c>
      <c r="C44" s="159"/>
      <c r="D44" s="88" t="s">
        <v>509</v>
      </c>
      <c r="E44" s="88" t="s">
        <v>757</v>
      </c>
      <c r="F44" s="88" t="s">
        <v>787</v>
      </c>
      <c r="G44" s="88" t="s">
        <v>759</v>
      </c>
      <c r="H44" s="88">
        <v>311438314800003</v>
      </c>
      <c r="I44" s="88"/>
      <c r="J44" s="49">
        <v>3</v>
      </c>
      <c r="K44" s="49">
        <v>2</v>
      </c>
      <c r="L44" s="169">
        <f t="shared" si="0"/>
        <v>6</v>
      </c>
      <c r="M44" s="169">
        <f t="shared" si="1"/>
        <v>1</v>
      </c>
      <c r="N44" s="169">
        <f t="shared" si="2"/>
        <v>0.89999999999999991</v>
      </c>
      <c r="O44" s="169">
        <f t="shared" si="3"/>
        <v>6.9</v>
      </c>
      <c r="Z44" s="219"/>
      <c r="AA44" s="219"/>
    </row>
    <row r="45" spans="1:27" x14ac:dyDescent="0.3">
      <c r="A45" s="88">
        <v>43</v>
      </c>
      <c r="B45" s="173">
        <v>28</v>
      </c>
      <c r="C45" s="159"/>
      <c r="D45" s="88" t="s">
        <v>509</v>
      </c>
      <c r="E45" s="88" t="s">
        <v>757</v>
      </c>
      <c r="F45" s="88" t="s">
        <v>788</v>
      </c>
      <c r="G45" s="88" t="s">
        <v>759</v>
      </c>
      <c r="H45" s="88">
        <v>311438314800003</v>
      </c>
      <c r="I45" s="88"/>
      <c r="J45" s="49">
        <v>2</v>
      </c>
      <c r="K45" s="49">
        <v>5</v>
      </c>
      <c r="L45" s="169">
        <f t="shared" si="0"/>
        <v>10</v>
      </c>
      <c r="M45" s="169">
        <f t="shared" si="1"/>
        <v>1</v>
      </c>
      <c r="N45" s="169">
        <f t="shared" si="2"/>
        <v>1.5</v>
      </c>
      <c r="O45" s="169">
        <f t="shared" si="3"/>
        <v>11.5</v>
      </c>
      <c r="Z45" s="219"/>
      <c r="AA45" s="219"/>
    </row>
    <row r="46" spans="1:27" x14ac:dyDescent="0.3">
      <c r="A46" s="88">
        <v>44</v>
      </c>
      <c r="B46" s="173">
        <v>29</v>
      </c>
      <c r="C46" s="159"/>
      <c r="D46" s="88" t="s">
        <v>509</v>
      </c>
      <c r="E46" s="88" t="s">
        <v>789</v>
      </c>
      <c r="F46" s="88" t="s">
        <v>790</v>
      </c>
      <c r="G46" s="88" t="s">
        <v>791</v>
      </c>
      <c r="H46" s="88">
        <v>300053476600003</v>
      </c>
      <c r="I46" s="88" t="s">
        <v>739</v>
      </c>
      <c r="J46" s="49">
        <v>975</v>
      </c>
      <c r="K46" s="49">
        <v>14</v>
      </c>
      <c r="L46" s="169">
        <f t="shared" si="0"/>
        <v>13650</v>
      </c>
      <c r="M46" s="169">
        <f t="shared" si="1"/>
        <v>1</v>
      </c>
      <c r="N46" s="169">
        <f t="shared" si="2"/>
        <v>2047.5</v>
      </c>
      <c r="O46" s="169">
        <f t="shared" si="3"/>
        <v>15697.5</v>
      </c>
      <c r="Z46" s="219"/>
      <c r="AA46" s="219"/>
    </row>
    <row r="47" spans="1:27" x14ac:dyDescent="0.3">
      <c r="A47" s="88">
        <v>45</v>
      </c>
      <c r="B47" s="173">
        <v>29</v>
      </c>
      <c r="C47" s="159"/>
      <c r="D47" s="88" t="s">
        <v>509</v>
      </c>
      <c r="E47" s="88" t="s">
        <v>789</v>
      </c>
      <c r="F47" s="88" t="s">
        <v>792</v>
      </c>
      <c r="G47" s="88" t="s">
        <v>791</v>
      </c>
      <c r="H47" s="88">
        <v>300053476600003</v>
      </c>
      <c r="I47" s="88" t="s">
        <v>718</v>
      </c>
      <c r="J47" s="49">
        <v>1</v>
      </c>
      <c r="K47" s="49">
        <v>659.02</v>
      </c>
      <c r="L47" s="169">
        <f t="shared" si="0"/>
        <v>659.02</v>
      </c>
      <c r="M47" s="169">
        <f t="shared" si="1"/>
        <v>1</v>
      </c>
      <c r="N47" s="169">
        <f t="shared" si="2"/>
        <v>98.852999999999994</v>
      </c>
      <c r="O47" s="169">
        <f t="shared" si="3"/>
        <v>757.87299999999993</v>
      </c>
      <c r="Z47" s="219"/>
      <c r="AA47" s="219"/>
    </row>
    <row r="48" spans="1:27" x14ac:dyDescent="0.3">
      <c r="A48" s="88">
        <v>46</v>
      </c>
      <c r="B48" s="173">
        <v>30</v>
      </c>
      <c r="C48" s="159"/>
      <c r="D48" s="88" t="s">
        <v>509</v>
      </c>
      <c r="E48" s="88" t="s">
        <v>740</v>
      </c>
      <c r="F48" s="88" t="s">
        <v>793</v>
      </c>
      <c r="G48" s="88" t="s">
        <v>742</v>
      </c>
      <c r="H48" s="88">
        <v>300498479600003</v>
      </c>
      <c r="I48" s="88"/>
      <c r="J48" s="49">
        <v>1</v>
      </c>
      <c r="K48" s="49">
        <v>5</v>
      </c>
      <c r="L48" s="169">
        <f t="shared" si="0"/>
        <v>5</v>
      </c>
      <c r="M48" s="169">
        <f t="shared" si="1"/>
        <v>1</v>
      </c>
      <c r="N48" s="169">
        <f t="shared" si="2"/>
        <v>0.75</v>
      </c>
      <c r="O48" s="169">
        <f t="shared" si="3"/>
        <v>5.75</v>
      </c>
      <c r="Z48" s="219"/>
      <c r="AA48" s="219"/>
    </row>
    <row r="49" spans="1:27" x14ac:dyDescent="0.3">
      <c r="A49" s="88">
        <v>47</v>
      </c>
      <c r="B49" s="173">
        <v>31</v>
      </c>
      <c r="C49" s="159"/>
      <c r="D49" s="88" t="s">
        <v>509</v>
      </c>
      <c r="E49" s="88" t="s">
        <v>715</v>
      </c>
      <c r="F49" s="88" t="s">
        <v>794</v>
      </c>
      <c r="G49" s="88" t="s">
        <v>797</v>
      </c>
      <c r="H49" s="88">
        <v>300483706400003</v>
      </c>
      <c r="I49" s="88"/>
      <c r="J49" s="49">
        <v>1</v>
      </c>
      <c r="K49" s="49">
        <v>33.04</v>
      </c>
      <c r="L49" s="169">
        <f t="shared" si="0"/>
        <v>33.04</v>
      </c>
      <c r="M49" s="169">
        <f t="shared" si="1"/>
        <v>1</v>
      </c>
      <c r="N49" s="169">
        <f t="shared" si="2"/>
        <v>4.9559999999999995</v>
      </c>
      <c r="O49" s="169">
        <f t="shared" si="3"/>
        <v>37.995999999999995</v>
      </c>
      <c r="Z49" s="219"/>
      <c r="AA49" s="219"/>
    </row>
    <row r="50" spans="1:27" x14ac:dyDescent="0.3">
      <c r="A50" s="88">
        <v>48</v>
      </c>
      <c r="B50" s="173">
        <v>31</v>
      </c>
      <c r="C50" s="159"/>
      <c r="D50" s="88" t="s">
        <v>509</v>
      </c>
      <c r="E50" s="88" t="s">
        <v>715</v>
      </c>
      <c r="F50" s="88" t="s">
        <v>795</v>
      </c>
      <c r="G50" s="88" t="s">
        <v>797</v>
      </c>
      <c r="H50" s="88">
        <v>300483706400003</v>
      </c>
      <c r="I50" s="88"/>
      <c r="J50" s="49">
        <v>1</v>
      </c>
      <c r="K50" s="49">
        <v>16.52</v>
      </c>
      <c r="L50" s="169">
        <f t="shared" si="0"/>
        <v>16.52</v>
      </c>
      <c r="M50" s="169">
        <f t="shared" si="1"/>
        <v>1</v>
      </c>
      <c r="N50" s="169">
        <f t="shared" si="2"/>
        <v>2.4779999999999998</v>
      </c>
      <c r="O50" s="169">
        <f t="shared" si="3"/>
        <v>18.997999999999998</v>
      </c>
      <c r="Z50" s="219"/>
      <c r="AA50" s="219"/>
    </row>
    <row r="51" spans="1:27" x14ac:dyDescent="0.3">
      <c r="A51" s="88">
        <v>49</v>
      </c>
      <c r="B51" s="173">
        <v>31</v>
      </c>
      <c r="C51" s="159"/>
      <c r="D51" s="88" t="s">
        <v>509</v>
      </c>
      <c r="E51" s="88" t="s">
        <v>715</v>
      </c>
      <c r="F51" s="88" t="s">
        <v>796</v>
      </c>
      <c r="G51" s="88" t="s">
        <v>797</v>
      </c>
      <c r="H51" s="88">
        <v>300483706400003</v>
      </c>
      <c r="I51" s="88"/>
      <c r="J51" s="49">
        <v>1</v>
      </c>
      <c r="K51" s="49">
        <v>4.34</v>
      </c>
      <c r="L51" s="169">
        <f t="shared" si="0"/>
        <v>4.34</v>
      </c>
      <c r="M51" s="169">
        <f t="shared" si="1"/>
        <v>1</v>
      </c>
      <c r="N51" s="169">
        <f t="shared" si="2"/>
        <v>0.65099999999999991</v>
      </c>
      <c r="O51" s="169">
        <f t="shared" si="3"/>
        <v>4.9909999999999997</v>
      </c>
      <c r="Z51" s="219"/>
      <c r="AA51" s="219"/>
    </row>
    <row r="52" spans="1:27" x14ac:dyDescent="0.3">
      <c r="A52" s="88">
        <v>50</v>
      </c>
      <c r="B52" s="173">
        <v>32</v>
      </c>
      <c r="C52" s="159"/>
      <c r="D52" s="88" t="s">
        <v>509</v>
      </c>
      <c r="E52" s="88" t="s">
        <v>715</v>
      </c>
      <c r="F52" s="88" t="s">
        <v>18</v>
      </c>
      <c r="G52" s="88" t="s">
        <v>735</v>
      </c>
      <c r="H52" s="88">
        <v>310399810400003</v>
      </c>
      <c r="I52" s="88"/>
      <c r="J52" s="49">
        <v>1</v>
      </c>
      <c r="K52" s="49">
        <v>8.6999999999999993</v>
      </c>
      <c r="L52" s="169">
        <f t="shared" si="0"/>
        <v>8.6999999999999993</v>
      </c>
      <c r="M52" s="169">
        <f t="shared" si="1"/>
        <v>1</v>
      </c>
      <c r="N52" s="169">
        <f t="shared" si="2"/>
        <v>1.3049999999999999</v>
      </c>
      <c r="O52" s="169">
        <f t="shared" si="3"/>
        <v>10.004999999999999</v>
      </c>
      <c r="Z52" s="219"/>
      <c r="AA52" s="219"/>
    </row>
    <row r="53" spans="1:27" x14ac:dyDescent="0.3">
      <c r="A53" s="88">
        <v>51</v>
      </c>
      <c r="B53" s="173">
        <v>33</v>
      </c>
      <c r="C53" s="159"/>
      <c r="D53" s="88" t="s">
        <v>509</v>
      </c>
      <c r="E53" s="88" t="s">
        <v>715</v>
      </c>
      <c r="F53" s="88" t="s">
        <v>732</v>
      </c>
      <c r="G53" s="88" t="s">
        <v>733</v>
      </c>
      <c r="H53" s="88">
        <v>311172172500003</v>
      </c>
      <c r="I53" s="88"/>
      <c r="J53" s="49">
        <v>1</v>
      </c>
      <c r="K53" s="49">
        <v>17.37</v>
      </c>
      <c r="L53" s="169">
        <f t="shared" si="0"/>
        <v>17.37</v>
      </c>
      <c r="M53" s="169">
        <f t="shared" si="1"/>
        <v>1</v>
      </c>
      <c r="N53" s="169">
        <f t="shared" si="2"/>
        <v>2.6055000000000001</v>
      </c>
      <c r="O53" s="169">
        <f t="shared" si="3"/>
        <v>19.9755</v>
      </c>
      <c r="Z53" s="219"/>
      <c r="AA53" s="219"/>
    </row>
    <row r="54" spans="1:27" x14ac:dyDescent="0.3">
      <c r="A54" s="88">
        <v>52</v>
      </c>
      <c r="B54" s="173">
        <v>34</v>
      </c>
      <c r="C54" s="159"/>
      <c r="D54" s="88" t="s">
        <v>509</v>
      </c>
      <c r="E54" s="88" t="s">
        <v>715</v>
      </c>
      <c r="F54" s="88" t="s">
        <v>798</v>
      </c>
      <c r="G54" s="88" t="s">
        <v>799</v>
      </c>
      <c r="H54" s="88">
        <v>302058761100003</v>
      </c>
      <c r="I54" s="88"/>
      <c r="J54" s="49">
        <v>1</v>
      </c>
      <c r="K54" s="49">
        <v>6.96</v>
      </c>
      <c r="L54" s="169">
        <f t="shared" si="0"/>
        <v>6.96</v>
      </c>
      <c r="M54" s="169">
        <f t="shared" si="1"/>
        <v>1</v>
      </c>
      <c r="N54" s="169">
        <f t="shared" si="2"/>
        <v>1.044</v>
      </c>
      <c r="O54" s="169">
        <f t="shared" si="3"/>
        <v>8.0039999999999996</v>
      </c>
      <c r="Z54" s="219"/>
      <c r="AA54" s="219"/>
    </row>
    <row r="55" spans="1:27" x14ac:dyDescent="0.3">
      <c r="A55" s="88">
        <v>53</v>
      </c>
      <c r="B55" s="173">
        <v>35</v>
      </c>
      <c r="C55" s="159"/>
      <c r="D55" s="88" t="s">
        <v>509</v>
      </c>
      <c r="E55" s="88" t="s">
        <v>740</v>
      </c>
      <c r="F55" s="88" t="s">
        <v>741</v>
      </c>
      <c r="G55" s="88" t="s">
        <v>742</v>
      </c>
      <c r="H55" s="88">
        <v>300498479600003</v>
      </c>
      <c r="I55" s="88"/>
      <c r="J55" s="49">
        <v>1</v>
      </c>
      <c r="K55" s="49">
        <v>4</v>
      </c>
      <c r="L55" s="169">
        <f t="shared" si="0"/>
        <v>4</v>
      </c>
      <c r="M55" s="169">
        <f t="shared" si="1"/>
        <v>1</v>
      </c>
      <c r="N55" s="169">
        <f t="shared" si="2"/>
        <v>0.6</v>
      </c>
      <c r="O55" s="169">
        <f t="shared" si="3"/>
        <v>4.5999999999999996</v>
      </c>
      <c r="Z55" s="219"/>
      <c r="AA55" s="219"/>
    </row>
    <row r="56" spans="1:27" x14ac:dyDescent="0.3">
      <c r="A56" s="88">
        <v>54</v>
      </c>
      <c r="B56" s="173">
        <v>36</v>
      </c>
      <c r="C56" s="159"/>
      <c r="D56" s="88" t="s">
        <v>509</v>
      </c>
      <c r="E56" s="88" t="s">
        <v>715</v>
      </c>
      <c r="F56" s="88" t="s">
        <v>800</v>
      </c>
      <c r="G56" s="88" t="s">
        <v>801</v>
      </c>
      <c r="H56" s="88">
        <v>300272021500003</v>
      </c>
      <c r="I56" s="88"/>
      <c r="J56" s="49">
        <v>1</v>
      </c>
      <c r="K56" s="49">
        <v>5.2169999999999996</v>
      </c>
      <c r="L56" s="169">
        <f t="shared" si="0"/>
        <v>5.2169999999999996</v>
      </c>
      <c r="M56" s="169">
        <f t="shared" si="1"/>
        <v>1</v>
      </c>
      <c r="N56" s="169">
        <f t="shared" si="2"/>
        <v>0.78254999999999997</v>
      </c>
      <c r="O56" s="169">
        <f t="shared" si="3"/>
        <v>5.9995499999999993</v>
      </c>
      <c r="Z56" s="219"/>
      <c r="AA56" s="219"/>
    </row>
    <row r="57" spans="1:27" x14ac:dyDescent="0.3">
      <c r="A57" s="88">
        <v>55</v>
      </c>
      <c r="B57" s="173">
        <v>37</v>
      </c>
      <c r="C57" s="159"/>
      <c r="D57" s="88" t="s">
        <v>509</v>
      </c>
      <c r="E57" s="88" t="s">
        <v>740</v>
      </c>
      <c r="F57" s="88" t="s">
        <v>741</v>
      </c>
      <c r="G57" s="88" t="s">
        <v>742</v>
      </c>
      <c r="H57" s="88">
        <v>300498479600003</v>
      </c>
      <c r="I57" s="88"/>
      <c r="J57" s="49">
        <v>2</v>
      </c>
      <c r="K57" s="49">
        <v>1</v>
      </c>
      <c r="L57" s="169">
        <f t="shared" si="0"/>
        <v>2</v>
      </c>
      <c r="M57" s="169">
        <f t="shared" si="1"/>
        <v>1</v>
      </c>
      <c r="N57" s="169">
        <f t="shared" si="2"/>
        <v>0.3</v>
      </c>
      <c r="O57" s="169">
        <f t="shared" si="3"/>
        <v>2.2999999999999998</v>
      </c>
      <c r="Z57" s="219"/>
      <c r="AA57" s="219"/>
    </row>
    <row r="58" spans="1:27" x14ac:dyDescent="0.3">
      <c r="A58" s="88">
        <v>56</v>
      </c>
      <c r="B58" s="173">
        <v>38</v>
      </c>
      <c r="C58" s="159"/>
      <c r="D58" s="88" t="s">
        <v>509</v>
      </c>
      <c r="E58" s="88" t="s">
        <v>740</v>
      </c>
      <c r="F58" s="88" t="s">
        <v>802</v>
      </c>
      <c r="G58" s="88" t="s">
        <v>742</v>
      </c>
      <c r="H58" s="88">
        <v>300498479600003</v>
      </c>
      <c r="I58" s="88"/>
      <c r="J58" s="49">
        <v>1</v>
      </c>
      <c r="K58" s="49">
        <v>3.5</v>
      </c>
      <c r="L58" s="169">
        <f t="shared" si="0"/>
        <v>3.5</v>
      </c>
      <c r="M58" s="169">
        <f t="shared" si="1"/>
        <v>1</v>
      </c>
      <c r="N58" s="169">
        <f t="shared" si="2"/>
        <v>0.52500000000000002</v>
      </c>
      <c r="O58" s="169">
        <f t="shared" si="3"/>
        <v>4.0250000000000004</v>
      </c>
      <c r="Z58" s="219"/>
      <c r="AA58" s="219"/>
    </row>
    <row r="59" spans="1:27" x14ac:dyDescent="0.3">
      <c r="A59" s="88">
        <v>57</v>
      </c>
      <c r="B59" s="173">
        <v>38</v>
      </c>
      <c r="C59" s="159"/>
      <c r="D59" s="88" t="s">
        <v>509</v>
      </c>
      <c r="E59" s="88" t="s">
        <v>740</v>
      </c>
      <c r="F59" s="88" t="s">
        <v>741</v>
      </c>
      <c r="G59" s="88" t="s">
        <v>742</v>
      </c>
      <c r="H59" s="88">
        <v>300498479600003</v>
      </c>
      <c r="I59" s="88"/>
      <c r="J59" s="49">
        <v>4</v>
      </c>
      <c r="K59" s="49">
        <v>1</v>
      </c>
      <c r="L59" s="169">
        <f t="shared" si="0"/>
        <v>4</v>
      </c>
      <c r="M59" s="169">
        <f t="shared" si="1"/>
        <v>1</v>
      </c>
      <c r="N59" s="169">
        <f t="shared" si="2"/>
        <v>0.6</v>
      </c>
      <c r="O59" s="169">
        <f t="shared" si="3"/>
        <v>4.5999999999999996</v>
      </c>
      <c r="Z59" s="219"/>
      <c r="AA59" s="219"/>
    </row>
    <row r="60" spans="1:27" x14ac:dyDescent="0.3">
      <c r="A60" s="88">
        <v>58</v>
      </c>
      <c r="B60" s="173">
        <v>39</v>
      </c>
      <c r="C60" s="159"/>
      <c r="D60" s="88" t="s">
        <v>509</v>
      </c>
      <c r="E60" s="88" t="s">
        <v>740</v>
      </c>
      <c r="F60" s="88" t="s">
        <v>741</v>
      </c>
      <c r="G60" s="88" t="s">
        <v>742</v>
      </c>
      <c r="H60" s="88">
        <v>300498479600003</v>
      </c>
      <c r="I60" s="88"/>
      <c r="J60" s="49">
        <v>2</v>
      </c>
      <c r="K60" s="49">
        <v>1</v>
      </c>
      <c r="L60" s="169">
        <f t="shared" si="0"/>
        <v>2</v>
      </c>
      <c r="M60" s="169">
        <f t="shared" si="1"/>
        <v>1</v>
      </c>
      <c r="N60" s="169">
        <f t="shared" si="2"/>
        <v>0.3</v>
      </c>
      <c r="O60" s="169">
        <f t="shared" si="3"/>
        <v>2.2999999999999998</v>
      </c>
      <c r="Z60" s="219"/>
      <c r="AA60" s="219"/>
    </row>
    <row r="61" spans="1:27" x14ac:dyDescent="0.3">
      <c r="A61" s="88">
        <v>59</v>
      </c>
      <c r="B61" s="173">
        <v>40</v>
      </c>
      <c r="C61" s="159"/>
      <c r="D61" s="88" t="s">
        <v>509</v>
      </c>
      <c r="E61" s="88" t="s">
        <v>740</v>
      </c>
      <c r="F61" s="88" t="s">
        <v>741</v>
      </c>
      <c r="G61" s="88" t="s">
        <v>742</v>
      </c>
      <c r="H61" s="88">
        <v>300498479600003</v>
      </c>
      <c r="I61" s="88"/>
      <c r="J61" s="49">
        <v>2</v>
      </c>
      <c r="K61" s="49">
        <v>1</v>
      </c>
      <c r="L61" s="169">
        <f t="shared" si="0"/>
        <v>2</v>
      </c>
      <c r="M61" s="169">
        <f t="shared" si="1"/>
        <v>1</v>
      </c>
      <c r="N61" s="169">
        <f t="shared" si="2"/>
        <v>0.3</v>
      </c>
      <c r="O61" s="169">
        <f t="shared" si="3"/>
        <v>2.2999999999999998</v>
      </c>
      <c r="Z61" s="219"/>
      <c r="AA61" s="219"/>
    </row>
    <row r="62" spans="1:27" x14ac:dyDescent="0.3">
      <c r="A62" s="88">
        <v>60</v>
      </c>
      <c r="B62" s="173">
        <v>41</v>
      </c>
      <c r="C62" s="159"/>
      <c r="D62" s="88" t="s">
        <v>509</v>
      </c>
      <c r="E62" s="88" t="s">
        <v>740</v>
      </c>
      <c r="F62" s="88" t="s">
        <v>741</v>
      </c>
      <c r="G62" s="88" t="s">
        <v>742</v>
      </c>
      <c r="H62" s="88">
        <v>300498479600003</v>
      </c>
      <c r="I62" s="88"/>
      <c r="J62" s="49">
        <v>2</v>
      </c>
      <c r="K62" s="49">
        <v>1</v>
      </c>
      <c r="L62" s="169">
        <f t="shared" si="0"/>
        <v>2</v>
      </c>
      <c r="M62" s="169">
        <f t="shared" si="1"/>
        <v>1</v>
      </c>
      <c r="N62" s="169">
        <f t="shared" si="2"/>
        <v>0.3</v>
      </c>
      <c r="O62" s="169">
        <f t="shared" si="3"/>
        <v>2.2999999999999998</v>
      </c>
      <c r="Z62" s="219"/>
      <c r="AA62" s="219"/>
    </row>
    <row r="63" spans="1:27" x14ac:dyDescent="0.3">
      <c r="A63" s="88">
        <v>61</v>
      </c>
      <c r="B63" s="173">
        <v>42</v>
      </c>
      <c r="C63" s="159"/>
      <c r="D63" s="88" t="s">
        <v>509</v>
      </c>
      <c r="E63" s="88" t="s">
        <v>715</v>
      </c>
      <c r="F63" s="88" t="s">
        <v>803</v>
      </c>
      <c r="G63" s="88" t="s">
        <v>801</v>
      </c>
      <c r="H63" s="88">
        <v>300272021500003</v>
      </c>
      <c r="I63" s="88"/>
      <c r="J63" s="49">
        <v>1</v>
      </c>
      <c r="K63" s="49">
        <v>5.2169999999999996</v>
      </c>
      <c r="L63" s="169">
        <f t="shared" si="0"/>
        <v>5.2169999999999996</v>
      </c>
      <c r="M63" s="169">
        <f t="shared" si="1"/>
        <v>1</v>
      </c>
      <c r="N63" s="169">
        <f t="shared" si="2"/>
        <v>0.78254999999999997</v>
      </c>
      <c r="O63" s="169">
        <f t="shared" si="3"/>
        <v>5.9995499999999993</v>
      </c>
      <c r="Z63" s="219"/>
      <c r="AA63" s="219"/>
    </row>
    <row r="64" spans="1:27" x14ac:dyDescent="0.3">
      <c r="A64" s="88">
        <v>62</v>
      </c>
      <c r="B64" s="173">
        <v>43</v>
      </c>
      <c r="C64" s="159"/>
      <c r="D64" s="88" t="s">
        <v>509</v>
      </c>
      <c r="E64" s="88" t="s">
        <v>722</v>
      </c>
      <c r="F64" s="88" t="s">
        <v>804</v>
      </c>
      <c r="G64" s="88" t="s">
        <v>801</v>
      </c>
      <c r="H64" s="88">
        <v>300272021500003</v>
      </c>
      <c r="I64" s="88"/>
      <c r="J64" s="49">
        <v>1</v>
      </c>
      <c r="K64" s="49">
        <v>20.8</v>
      </c>
      <c r="L64" s="169">
        <f t="shared" si="0"/>
        <v>20.8</v>
      </c>
      <c r="M64" s="169">
        <f t="shared" si="1"/>
        <v>1</v>
      </c>
      <c r="N64" s="169">
        <f t="shared" si="2"/>
        <v>3.12</v>
      </c>
      <c r="O64" s="169">
        <f t="shared" si="3"/>
        <v>23.92</v>
      </c>
      <c r="Z64" s="219"/>
      <c r="AA64" s="219"/>
    </row>
    <row r="65" spans="1:27" x14ac:dyDescent="0.3">
      <c r="A65" s="88">
        <v>63</v>
      </c>
      <c r="B65" s="173">
        <v>43</v>
      </c>
      <c r="C65" s="159"/>
      <c r="D65" s="88" t="s">
        <v>509</v>
      </c>
      <c r="E65" s="88" t="s">
        <v>722</v>
      </c>
      <c r="F65" s="88" t="s">
        <v>805</v>
      </c>
      <c r="G65" s="88" t="s">
        <v>801</v>
      </c>
      <c r="H65" s="88">
        <v>300272021500003</v>
      </c>
      <c r="I65" s="88"/>
      <c r="J65" s="49">
        <v>1</v>
      </c>
      <c r="K65" s="49">
        <v>18.260999999999999</v>
      </c>
      <c r="L65" s="169">
        <f t="shared" si="0"/>
        <v>18.260999999999999</v>
      </c>
      <c r="M65" s="169">
        <f t="shared" si="1"/>
        <v>1</v>
      </c>
      <c r="N65" s="169">
        <f t="shared" si="2"/>
        <v>2.73915</v>
      </c>
      <c r="O65" s="169">
        <f t="shared" si="3"/>
        <v>21.000149999999998</v>
      </c>
      <c r="Z65" s="219"/>
      <c r="AA65" s="219"/>
    </row>
    <row r="66" spans="1:27" x14ac:dyDescent="0.3">
      <c r="A66" s="88">
        <v>64</v>
      </c>
      <c r="B66" s="173">
        <v>44</v>
      </c>
      <c r="C66" s="159"/>
      <c r="D66" s="88" t="s">
        <v>509</v>
      </c>
      <c r="E66" s="88" t="s">
        <v>789</v>
      </c>
      <c r="F66" s="88" t="s">
        <v>806</v>
      </c>
      <c r="G66" s="88" t="s">
        <v>801</v>
      </c>
      <c r="H66" s="88">
        <v>300272021500003</v>
      </c>
      <c r="I66" s="88"/>
      <c r="J66" s="49">
        <v>1</v>
      </c>
      <c r="K66" s="49">
        <v>6.9569999999999999</v>
      </c>
      <c r="L66" s="169">
        <f t="shared" si="0"/>
        <v>6.9569999999999999</v>
      </c>
      <c r="M66" s="169">
        <f t="shared" si="1"/>
        <v>1</v>
      </c>
      <c r="N66" s="169">
        <f t="shared" si="2"/>
        <v>1.04355</v>
      </c>
      <c r="O66" s="169">
        <f t="shared" si="3"/>
        <v>8.0005500000000005</v>
      </c>
      <c r="Z66" s="219"/>
      <c r="AA66" s="219"/>
    </row>
    <row r="67" spans="1:27" x14ac:dyDescent="0.3">
      <c r="A67" s="88">
        <v>65</v>
      </c>
      <c r="B67" s="173">
        <v>45</v>
      </c>
      <c r="C67" s="159"/>
      <c r="D67" s="88" t="s">
        <v>509</v>
      </c>
      <c r="E67" s="88" t="s">
        <v>763</v>
      </c>
      <c r="F67" s="88" t="s">
        <v>807</v>
      </c>
      <c r="G67" s="88" t="s">
        <v>808</v>
      </c>
      <c r="H67" s="88">
        <v>300062206400003</v>
      </c>
      <c r="I67" s="88"/>
      <c r="J67" s="49">
        <v>1</v>
      </c>
      <c r="K67" s="49">
        <v>86.95</v>
      </c>
      <c r="L67" s="169">
        <f t="shared" si="0"/>
        <v>86.95</v>
      </c>
      <c r="M67" s="169">
        <f t="shared" si="1"/>
        <v>1</v>
      </c>
      <c r="N67" s="169">
        <f t="shared" si="2"/>
        <v>13.0425</v>
      </c>
      <c r="O67" s="169">
        <f t="shared" si="3"/>
        <v>99.992500000000007</v>
      </c>
      <c r="Z67" s="219"/>
      <c r="AA67" s="219"/>
    </row>
    <row r="68" spans="1:27" x14ac:dyDescent="0.3">
      <c r="A68" s="88">
        <v>66</v>
      </c>
      <c r="B68" s="173">
        <v>46</v>
      </c>
      <c r="C68" s="159"/>
      <c r="D68" s="88" t="s">
        <v>509</v>
      </c>
      <c r="E68" s="88" t="s">
        <v>715</v>
      </c>
      <c r="F68" s="88" t="s">
        <v>809</v>
      </c>
      <c r="G68" s="88" t="s">
        <v>733</v>
      </c>
      <c r="H68" s="88">
        <v>311172172500003</v>
      </c>
      <c r="I68" s="88"/>
      <c r="J68" s="49">
        <v>1</v>
      </c>
      <c r="K68" s="49">
        <v>8.48</v>
      </c>
      <c r="L68" s="169">
        <f t="shared" ref="L68:L131" si="4">K68*J68</f>
        <v>8.48</v>
      </c>
      <c r="M68" s="169">
        <f t="shared" ref="M68:M131" si="5">IF(H68="",0,1)</f>
        <v>1</v>
      </c>
      <c r="N68" s="169">
        <f t="shared" ref="N68:N131" si="6">M68*L68*15%</f>
        <v>1.272</v>
      </c>
      <c r="O68" s="169">
        <f t="shared" ref="O68:O131" si="7">N68+L68</f>
        <v>9.7520000000000007</v>
      </c>
      <c r="Z68" s="219"/>
      <c r="AA68" s="219"/>
    </row>
    <row r="69" spans="1:27" x14ac:dyDescent="0.3">
      <c r="A69" s="88">
        <v>67</v>
      </c>
      <c r="B69" s="173">
        <v>47</v>
      </c>
      <c r="C69" s="159"/>
      <c r="D69" s="88" t="s">
        <v>509</v>
      </c>
      <c r="E69" s="88" t="s">
        <v>715</v>
      </c>
      <c r="F69" s="88" t="s">
        <v>810</v>
      </c>
      <c r="G69" s="88" t="s">
        <v>735</v>
      </c>
      <c r="H69" s="88">
        <v>310399810400003</v>
      </c>
      <c r="I69" s="88"/>
      <c r="J69" s="49">
        <v>1</v>
      </c>
      <c r="K69" s="49">
        <v>4.53</v>
      </c>
      <c r="L69" s="169">
        <f t="shared" si="4"/>
        <v>4.53</v>
      </c>
      <c r="M69" s="169">
        <f t="shared" si="5"/>
        <v>1</v>
      </c>
      <c r="N69" s="169">
        <f t="shared" si="6"/>
        <v>0.67949999999999999</v>
      </c>
      <c r="O69" s="169">
        <f t="shared" si="7"/>
        <v>5.2095000000000002</v>
      </c>
      <c r="Z69" s="219"/>
      <c r="AA69" s="219"/>
    </row>
    <row r="70" spans="1:27" x14ac:dyDescent="0.3">
      <c r="A70" s="88">
        <v>68</v>
      </c>
      <c r="B70" s="173">
        <v>48</v>
      </c>
      <c r="C70" s="159"/>
      <c r="D70" s="88" t="s">
        <v>509</v>
      </c>
      <c r="E70" s="88" t="s">
        <v>715</v>
      </c>
      <c r="F70" s="88" t="s">
        <v>811</v>
      </c>
      <c r="G70" s="88" t="s">
        <v>735</v>
      </c>
      <c r="H70" s="88">
        <v>310399810400003</v>
      </c>
      <c r="I70" s="88"/>
      <c r="J70" s="49">
        <v>1</v>
      </c>
      <c r="K70" s="49">
        <v>5.22</v>
      </c>
      <c r="L70" s="169">
        <f t="shared" si="4"/>
        <v>5.22</v>
      </c>
      <c r="M70" s="169">
        <f t="shared" si="5"/>
        <v>1</v>
      </c>
      <c r="N70" s="169">
        <f t="shared" si="6"/>
        <v>0.78299999999999992</v>
      </c>
      <c r="O70" s="169">
        <f t="shared" si="7"/>
        <v>6.0030000000000001</v>
      </c>
      <c r="Z70" s="219"/>
      <c r="AA70" s="219"/>
    </row>
    <row r="71" spans="1:27" x14ac:dyDescent="0.3">
      <c r="A71" s="88">
        <v>69</v>
      </c>
      <c r="B71" s="173">
        <v>49</v>
      </c>
      <c r="C71" s="159"/>
      <c r="D71" s="88" t="s">
        <v>509</v>
      </c>
      <c r="E71" s="88" t="s">
        <v>715</v>
      </c>
      <c r="F71" s="88" t="s">
        <v>732</v>
      </c>
      <c r="G71" s="88" t="s">
        <v>733</v>
      </c>
      <c r="H71" s="88">
        <v>311172172500003</v>
      </c>
      <c r="I71" s="88"/>
      <c r="J71" s="49">
        <v>1</v>
      </c>
      <c r="K71" s="49">
        <v>11.58</v>
      </c>
      <c r="L71" s="169">
        <f t="shared" si="4"/>
        <v>11.58</v>
      </c>
      <c r="M71" s="169">
        <f t="shared" si="5"/>
        <v>1</v>
      </c>
      <c r="N71" s="169">
        <f t="shared" si="6"/>
        <v>1.7369999999999999</v>
      </c>
      <c r="O71" s="169">
        <f t="shared" si="7"/>
        <v>13.317</v>
      </c>
      <c r="Z71" s="219"/>
      <c r="AA71" s="219"/>
    </row>
    <row r="72" spans="1:27" x14ac:dyDescent="0.3">
      <c r="A72" s="88">
        <v>70</v>
      </c>
      <c r="B72" s="173">
        <v>50</v>
      </c>
      <c r="C72" s="159"/>
      <c r="D72" s="88" t="s">
        <v>509</v>
      </c>
      <c r="E72" s="88" t="s">
        <v>709</v>
      </c>
      <c r="F72" s="88" t="s">
        <v>746</v>
      </c>
      <c r="G72" s="88" t="s">
        <v>745</v>
      </c>
      <c r="H72" s="88">
        <v>310928505700003</v>
      </c>
      <c r="I72" s="88"/>
      <c r="J72" s="49">
        <v>1</v>
      </c>
      <c r="K72" s="49">
        <v>11.3</v>
      </c>
      <c r="L72" s="169">
        <f t="shared" si="4"/>
        <v>11.3</v>
      </c>
      <c r="M72" s="169">
        <f t="shared" si="5"/>
        <v>1</v>
      </c>
      <c r="N72" s="169">
        <f t="shared" si="6"/>
        <v>1.6950000000000001</v>
      </c>
      <c r="O72" s="169">
        <f t="shared" si="7"/>
        <v>12.995000000000001</v>
      </c>
      <c r="Z72" s="219"/>
      <c r="AA72" s="219"/>
    </row>
    <row r="73" spans="1:27" x14ac:dyDescent="0.3">
      <c r="A73" s="88">
        <v>71</v>
      </c>
      <c r="B73" s="173">
        <v>50</v>
      </c>
      <c r="C73" s="159"/>
      <c r="D73" s="88" t="s">
        <v>509</v>
      </c>
      <c r="E73" s="88" t="s">
        <v>709</v>
      </c>
      <c r="F73" s="88" t="s">
        <v>812</v>
      </c>
      <c r="G73" s="88" t="s">
        <v>745</v>
      </c>
      <c r="H73" s="88">
        <v>310928505700003</v>
      </c>
      <c r="I73" s="88" t="s">
        <v>718</v>
      </c>
      <c r="J73" s="49">
        <v>1</v>
      </c>
      <c r="K73" s="49">
        <v>10.43</v>
      </c>
      <c r="L73" s="169">
        <f t="shared" si="4"/>
        <v>10.43</v>
      </c>
      <c r="M73" s="169">
        <f t="shared" si="5"/>
        <v>1</v>
      </c>
      <c r="N73" s="169">
        <f t="shared" si="6"/>
        <v>1.5645</v>
      </c>
      <c r="O73" s="169">
        <f t="shared" si="7"/>
        <v>11.9945</v>
      </c>
      <c r="Z73" s="219"/>
      <c r="AA73" s="219"/>
    </row>
    <row r="74" spans="1:27" x14ac:dyDescent="0.3">
      <c r="A74" s="88">
        <v>72</v>
      </c>
      <c r="B74" s="173">
        <v>50</v>
      </c>
      <c r="C74" s="159"/>
      <c r="D74" s="88" t="s">
        <v>509</v>
      </c>
      <c r="E74" s="88" t="s">
        <v>709</v>
      </c>
      <c r="F74" s="88" t="s">
        <v>813</v>
      </c>
      <c r="G74" s="88" t="s">
        <v>745</v>
      </c>
      <c r="H74" s="88">
        <v>310928505700003</v>
      </c>
      <c r="I74" s="88" t="s">
        <v>729</v>
      </c>
      <c r="J74" s="49">
        <v>1</v>
      </c>
      <c r="K74" s="49">
        <v>6</v>
      </c>
      <c r="L74" s="169">
        <f t="shared" si="4"/>
        <v>6</v>
      </c>
      <c r="M74" s="169">
        <f t="shared" si="5"/>
        <v>1</v>
      </c>
      <c r="N74" s="169">
        <f t="shared" si="6"/>
        <v>0.89999999999999991</v>
      </c>
      <c r="O74" s="169">
        <f t="shared" si="7"/>
        <v>6.9</v>
      </c>
      <c r="Z74" s="219"/>
      <c r="AA74" s="219"/>
    </row>
    <row r="75" spans="1:27" x14ac:dyDescent="0.3">
      <c r="A75" s="88">
        <v>73</v>
      </c>
      <c r="B75" s="173">
        <v>51</v>
      </c>
      <c r="C75" s="159"/>
      <c r="D75" s="88" t="s">
        <v>509</v>
      </c>
      <c r="E75" s="88" t="s">
        <v>763</v>
      </c>
      <c r="F75" s="88" t="s">
        <v>814</v>
      </c>
      <c r="G75" s="88" t="s">
        <v>745</v>
      </c>
      <c r="H75" s="88">
        <v>310928505700003</v>
      </c>
      <c r="I75" s="88" t="s">
        <v>729</v>
      </c>
      <c r="J75" s="49">
        <v>2</v>
      </c>
      <c r="K75" s="49">
        <v>0.5</v>
      </c>
      <c r="L75" s="169">
        <f t="shared" si="4"/>
        <v>1</v>
      </c>
      <c r="M75" s="169">
        <f t="shared" si="5"/>
        <v>1</v>
      </c>
      <c r="N75" s="169">
        <f t="shared" si="6"/>
        <v>0.15</v>
      </c>
      <c r="O75" s="169">
        <f t="shared" si="7"/>
        <v>1.1499999999999999</v>
      </c>
      <c r="Z75" s="219"/>
      <c r="AA75" s="219"/>
    </row>
    <row r="76" spans="1:27" x14ac:dyDescent="0.3">
      <c r="A76" s="88">
        <v>74</v>
      </c>
      <c r="B76" s="173">
        <v>51</v>
      </c>
      <c r="C76" s="159"/>
      <c r="D76" s="88" t="s">
        <v>509</v>
      </c>
      <c r="E76" s="88" t="s">
        <v>709</v>
      </c>
      <c r="F76" s="88" t="s">
        <v>815</v>
      </c>
      <c r="G76" s="88" t="s">
        <v>745</v>
      </c>
      <c r="H76" s="88">
        <v>310928505700003</v>
      </c>
      <c r="I76" s="88" t="s">
        <v>729</v>
      </c>
      <c r="J76" s="49">
        <v>1</v>
      </c>
      <c r="K76" s="49">
        <v>19.13</v>
      </c>
      <c r="L76" s="169">
        <f t="shared" si="4"/>
        <v>19.13</v>
      </c>
      <c r="M76" s="169">
        <f t="shared" si="5"/>
        <v>1</v>
      </c>
      <c r="N76" s="169">
        <f t="shared" si="6"/>
        <v>2.8694999999999999</v>
      </c>
      <c r="O76" s="169">
        <f t="shared" si="7"/>
        <v>21.999499999999998</v>
      </c>
      <c r="Z76" s="219"/>
      <c r="AA76" s="219"/>
    </row>
    <row r="77" spans="1:27" x14ac:dyDescent="0.3">
      <c r="A77" s="88">
        <v>75</v>
      </c>
      <c r="B77" s="173">
        <v>52</v>
      </c>
      <c r="C77" s="159"/>
      <c r="D77" s="88" t="s">
        <v>509</v>
      </c>
      <c r="E77" s="88" t="s">
        <v>708</v>
      </c>
      <c r="F77" s="88" t="s">
        <v>728</v>
      </c>
      <c r="G77" s="88" t="s">
        <v>727</v>
      </c>
      <c r="H77" s="88">
        <v>310937441700003</v>
      </c>
      <c r="I77" s="88" t="s">
        <v>729</v>
      </c>
      <c r="J77" s="49">
        <v>1</v>
      </c>
      <c r="K77" s="49">
        <v>3</v>
      </c>
      <c r="L77" s="169">
        <f t="shared" si="4"/>
        <v>3</v>
      </c>
      <c r="M77" s="169">
        <f t="shared" si="5"/>
        <v>1</v>
      </c>
      <c r="N77" s="169">
        <f t="shared" si="6"/>
        <v>0.44999999999999996</v>
      </c>
      <c r="O77" s="169">
        <f t="shared" si="7"/>
        <v>3.45</v>
      </c>
      <c r="Z77" s="219"/>
      <c r="AA77" s="219"/>
    </row>
    <row r="78" spans="1:27" x14ac:dyDescent="0.3">
      <c r="A78" s="88">
        <v>76</v>
      </c>
      <c r="B78" s="173">
        <v>52</v>
      </c>
      <c r="C78" s="159"/>
      <c r="D78" s="88" t="s">
        <v>509</v>
      </c>
      <c r="E78" s="88" t="s">
        <v>708</v>
      </c>
      <c r="F78" s="88" t="s">
        <v>139</v>
      </c>
      <c r="G78" s="88" t="s">
        <v>727</v>
      </c>
      <c r="H78" s="88">
        <v>310937441700003</v>
      </c>
      <c r="I78" s="88" t="s">
        <v>729</v>
      </c>
      <c r="J78" s="49">
        <v>1</v>
      </c>
      <c r="K78" s="49">
        <v>1</v>
      </c>
      <c r="L78" s="169">
        <f t="shared" si="4"/>
        <v>1</v>
      </c>
      <c r="M78" s="169">
        <f t="shared" si="5"/>
        <v>1</v>
      </c>
      <c r="N78" s="169">
        <f t="shared" si="6"/>
        <v>0.15</v>
      </c>
      <c r="O78" s="169">
        <f t="shared" si="7"/>
        <v>1.1499999999999999</v>
      </c>
      <c r="Z78" s="219"/>
      <c r="AA78" s="219"/>
    </row>
    <row r="79" spans="1:27" x14ac:dyDescent="0.3">
      <c r="A79" s="88">
        <v>77</v>
      </c>
      <c r="B79" s="173">
        <v>52</v>
      </c>
      <c r="C79" s="159"/>
      <c r="D79" s="88" t="s">
        <v>509</v>
      </c>
      <c r="E79" s="88" t="s">
        <v>708</v>
      </c>
      <c r="F79" s="88" t="s">
        <v>816</v>
      </c>
      <c r="G79" s="88" t="s">
        <v>727</v>
      </c>
      <c r="H79" s="88">
        <v>310937441700003</v>
      </c>
      <c r="I79" s="88" t="s">
        <v>776</v>
      </c>
      <c r="J79" s="49">
        <v>1</v>
      </c>
      <c r="K79" s="49">
        <v>1</v>
      </c>
      <c r="L79" s="169">
        <f t="shared" si="4"/>
        <v>1</v>
      </c>
      <c r="M79" s="169">
        <f t="shared" si="5"/>
        <v>1</v>
      </c>
      <c r="N79" s="169">
        <f t="shared" si="6"/>
        <v>0.15</v>
      </c>
      <c r="O79" s="169">
        <f t="shared" si="7"/>
        <v>1.1499999999999999</v>
      </c>
      <c r="Z79" s="219"/>
      <c r="AA79" s="219"/>
    </row>
    <row r="80" spans="1:27" x14ac:dyDescent="0.3">
      <c r="A80" s="88">
        <v>78</v>
      </c>
      <c r="B80" s="173">
        <v>52</v>
      </c>
      <c r="C80" s="159"/>
      <c r="D80" s="88" t="s">
        <v>509</v>
      </c>
      <c r="E80" s="88" t="s">
        <v>708</v>
      </c>
      <c r="F80" s="88" t="s">
        <v>817</v>
      </c>
      <c r="G80" s="88" t="s">
        <v>727</v>
      </c>
      <c r="H80" s="88">
        <v>310937441700003</v>
      </c>
      <c r="I80" s="88" t="s">
        <v>729</v>
      </c>
      <c r="J80" s="49">
        <v>1</v>
      </c>
      <c r="K80" s="49">
        <v>1</v>
      </c>
      <c r="L80" s="169">
        <f t="shared" si="4"/>
        <v>1</v>
      </c>
      <c r="M80" s="169">
        <f t="shared" si="5"/>
        <v>1</v>
      </c>
      <c r="N80" s="169">
        <f t="shared" si="6"/>
        <v>0.15</v>
      </c>
      <c r="O80" s="169">
        <f t="shared" si="7"/>
        <v>1.1499999999999999</v>
      </c>
      <c r="Z80" s="219"/>
      <c r="AA80" s="219"/>
    </row>
    <row r="81" spans="1:27" x14ac:dyDescent="0.3">
      <c r="A81" s="88">
        <v>79</v>
      </c>
      <c r="B81" s="173">
        <v>53</v>
      </c>
      <c r="C81" s="159"/>
      <c r="D81" s="88" t="s">
        <v>509</v>
      </c>
      <c r="E81" s="88" t="s">
        <v>760</v>
      </c>
      <c r="F81" s="88" t="s">
        <v>818</v>
      </c>
      <c r="G81" s="88" t="s">
        <v>819</v>
      </c>
      <c r="H81" s="88"/>
      <c r="I81" s="88"/>
      <c r="J81" s="49">
        <v>1</v>
      </c>
      <c r="K81" s="49">
        <v>35</v>
      </c>
      <c r="L81" s="169">
        <f t="shared" si="4"/>
        <v>35</v>
      </c>
      <c r="M81" s="169">
        <f t="shared" si="5"/>
        <v>0</v>
      </c>
      <c r="N81" s="169">
        <f t="shared" si="6"/>
        <v>0</v>
      </c>
      <c r="O81" s="169">
        <f t="shared" si="7"/>
        <v>35</v>
      </c>
      <c r="Z81" s="219"/>
      <c r="AA81" s="219"/>
    </row>
    <row r="82" spans="1:27" x14ac:dyDescent="0.3">
      <c r="A82" s="88">
        <v>80</v>
      </c>
      <c r="B82" s="173">
        <v>54</v>
      </c>
      <c r="C82" s="159"/>
      <c r="D82" s="88" t="s">
        <v>509</v>
      </c>
      <c r="E82" s="88" t="s">
        <v>820</v>
      </c>
      <c r="F82" s="88" t="s">
        <v>821</v>
      </c>
      <c r="G82" s="88" t="s">
        <v>822</v>
      </c>
      <c r="H82" s="88"/>
      <c r="I82" s="88" t="s">
        <v>739</v>
      </c>
      <c r="J82" s="49">
        <v>0.5</v>
      </c>
      <c r="K82" s="49">
        <v>30</v>
      </c>
      <c r="L82" s="169">
        <f t="shared" si="4"/>
        <v>15</v>
      </c>
      <c r="M82" s="169">
        <f t="shared" si="5"/>
        <v>0</v>
      </c>
      <c r="N82" s="169">
        <f t="shared" si="6"/>
        <v>0</v>
      </c>
      <c r="O82" s="169">
        <f t="shared" si="7"/>
        <v>15</v>
      </c>
      <c r="Z82" s="219"/>
      <c r="AA82" s="219"/>
    </row>
    <row r="83" spans="1:27" x14ac:dyDescent="0.3">
      <c r="A83" s="88">
        <v>81</v>
      </c>
      <c r="B83" s="173">
        <v>55</v>
      </c>
      <c r="C83" s="159"/>
      <c r="D83" s="88" t="s">
        <v>509</v>
      </c>
      <c r="E83" s="88" t="s">
        <v>760</v>
      </c>
      <c r="F83" s="88" t="s">
        <v>823</v>
      </c>
      <c r="G83" s="88" t="s">
        <v>824</v>
      </c>
      <c r="H83" s="88"/>
      <c r="I83" s="88"/>
      <c r="J83" s="49">
        <v>1</v>
      </c>
      <c r="K83" s="49">
        <v>8</v>
      </c>
      <c r="L83" s="169">
        <f t="shared" si="4"/>
        <v>8</v>
      </c>
      <c r="M83" s="169">
        <f t="shared" si="5"/>
        <v>0</v>
      </c>
      <c r="N83" s="169">
        <f t="shared" si="6"/>
        <v>0</v>
      </c>
      <c r="O83" s="169">
        <f t="shared" si="7"/>
        <v>8</v>
      </c>
      <c r="Z83" s="219"/>
      <c r="AA83" s="219"/>
    </row>
    <row r="84" spans="1:27" x14ac:dyDescent="0.3">
      <c r="A84" s="88">
        <v>82</v>
      </c>
      <c r="B84" s="173">
        <v>56</v>
      </c>
      <c r="C84" s="159"/>
      <c r="D84" s="88" t="s">
        <v>509</v>
      </c>
      <c r="E84" s="88" t="s">
        <v>757</v>
      </c>
      <c r="F84" s="88" t="s">
        <v>825</v>
      </c>
      <c r="G84" s="88" t="s">
        <v>759</v>
      </c>
      <c r="H84" s="88">
        <v>311438314800003</v>
      </c>
      <c r="I84" s="88"/>
      <c r="J84" s="49">
        <v>4</v>
      </c>
      <c r="K84" s="49">
        <v>20</v>
      </c>
      <c r="L84" s="169">
        <f t="shared" si="4"/>
        <v>80</v>
      </c>
      <c r="M84" s="169">
        <f t="shared" si="5"/>
        <v>1</v>
      </c>
      <c r="N84" s="169">
        <f t="shared" si="6"/>
        <v>12</v>
      </c>
      <c r="O84" s="169">
        <f t="shared" si="7"/>
        <v>92</v>
      </c>
      <c r="Z84" s="219"/>
      <c r="AA84" s="219"/>
    </row>
    <row r="85" spans="1:27" x14ac:dyDescent="0.3">
      <c r="A85" s="88">
        <v>83</v>
      </c>
      <c r="B85" s="173">
        <v>57</v>
      </c>
      <c r="C85" s="159"/>
      <c r="D85" s="88" t="s">
        <v>509</v>
      </c>
      <c r="E85" s="88" t="s">
        <v>757</v>
      </c>
      <c r="F85" s="88" t="s">
        <v>826</v>
      </c>
      <c r="G85" s="88" t="s">
        <v>759</v>
      </c>
      <c r="H85" s="88">
        <v>311438314800003</v>
      </c>
      <c r="I85" s="88"/>
      <c r="J85" s="49">
        <v>4</v>
      </c>
      <c r="K85" s="49">
        <v>2</v>
      </c>
      <c r="L85" s="169">
        <f t="shared" si="4"/>
        <v>8</v>
      </c>
      <c r="M85" s="169">
        <f t="shared" si="5"/>
        <v>1</v>
      </c>
      <c r="N85" s="169">
        <f t="shared" si="6"/>
        <v>1.2</v>
      </c>
      <c r="O85" s="169">
        <f t="shared" si="7"/>
        <v>9.1999999999999993</v>
      </c>
      <c r="Z85" s="219"/>
      <c r="AA85" s="219"/>
    </row>
    <row r="86" spans="1:27" x14ac:dyDescent="0.3">
      <c r="A86" s="88">
        <v>84</v>
      </c>
      <c r="B86" s="173">
        <v>57</v>
      </c>
      <c r="C86" s="159"/>
      <c r="D86" s="88" t="s">
        <v>509</v>
      </c>
      <c r="E86" s="88" t="s">
        <v>757</v>
      </c>
      <c r="F86" s="88" t="s">
        <v>827</v>
      </c>
      <c r="G86" s="88" t="s">
        <v>759</v>
      </c>
      <c r="H86" s="88">
        <v>311438314800003</v>
      </c>
      <c r="I86" s="88"/>
      <c r="J86" s="49">
        <v>3</v>
      </c>
      <c r="K86" s="49">
        <v>5</v>
      </c>
      <c r="L86" s="169">
        <f t="shared" si="4"/>
        <v>15</v>
      </c>
      <c r="M86" s="169">
        <f t="shared" si="5"/>
        <v>1</v>
      </c>
      <c r="N86" s="169">
        <f t="shared" si="6"/>
        <v>2.25</v>
      </c>
      <c r="O86" s="169">
        <f t="shared" si="7"/>
        <v>17.25</v>
      </c>
      <c r="Z86" s="219"/>
      <c r="AA86" s="219"/>
    </row>
    <row r="87" spans="1:27" x14ac:dyDescent="0.3">
      <c r="A87" s="88">
        <v>85</v>
      </c>
      <c r="B87" s="173">
        <v>58</v>
      </c>
      <c r="C87" s="159"/>
      <c r="D87" s="88" t="s">
        <v>509</v>
      </c>
      <c r="E87" s="88" t="s">
        <v>757</v>
      </c>
      <c r="F87" s="88" t="s">
        <v>828</v>
      </c>
      <c r="G87" s="88" t="s">
        <v>759</v>
      </c>
      <c r="H87" s="88">
        <v>311438314800003</v>
      </c>
      <c r="I87" s="88"/>
      <c r="J87" s="49">
        <v>3</v>
      </c>
      <c r="K87" s="49">
        <v>5</v>
      </c>
      <c r="L87" s="169">
        <f t="shared" si="4"/>
        <v>15</v>
      </c>
      <c r="M87" s="169">
        <f t="shared" si="5"/>
        <v>1</v>
      </c>
      <c r="N87" s="169">
        <f t="shared" si="6"/>
        <v>2.25</v>
      </c>
      <c r="O87" s="169">
        <f t="shared" si="7"/>
        <v>17.25</v>
      </c>
      <c r="Z87" s="219"/>
      <c r="AA87" s="219"/>
    </row>
    <row r="88" spans="1:27" x14ac:dyDescent="0.3">
      <c r="A88" s="88">
        <v>86</v>
      </c>
      <c r="B88" s="173">
        <v>58</v>
      </c>
      <c r="C88" s="159"/>
      <c r="D88" s="88" t="s">
        <v>509</v>
      </c>
      <c r="E88" s="88" t="s">
        <v>757</v>
      </c>
      <c r="F88" s="88" t="s">
        <v>829</v>
      </c>
      <c r="G88" s="88" t="s">
        <v>759</v>
      </c>
      <c r="H88" s="88">
        <v>311438314800003</v>
      </c>
      <c r="I88" s="88"/>
      <c r="J88" s="49">
        <v>1</v>
      </c>
      <c r="K88" s="49">
        <v>5</v>
      </c>
      <c r="L88" s="169">
        <f t="shared" si="4"/>
        <v>5</v>
      </c>
      <c r="M88" s="169">
        <f t="shared" si="5"/>
        <v>1</v>
      </c>
      <c r="N88" s="169">
        <f t="shared" si="6"/>
        <v>0.75</v>
      </c>
      <c r="O88" s="169">
        <f t="shared" si="7"/>
        <v>5.75</v>
      </c>
      <c r="Z88" s="219"/>
      <c r="AA88" s="219"/>
    </row>
    <row r="89" spans="1:27" x14ac:dyDescent="0.3">
      <c r="A89" s="88">
        <v>87</v>
      </c>
      <c r="B89" s="173">
        <v>58</v>
      </c>
      <c r="C89" s="159"/>
      <c r="D89" s="88" t="s">
        <v>509</v>
      </c>
      <c r="E89" s="88" t="s">
        <v>757</v>
      </c>
      <c r="F89" s="88" t="s">
        <v>830</v>
      </c>
      <c r="G89" s="88" t="s">
        <v>759</v>
      </c>
      <c r="H89" s="88">
        <v>311438314800003</v>
      </c>
      <c r="I89" s="88"/>
      <c r="J89" s="49">
        <v>1</v>
      </c>
      <c r="K89" s="49">
        <v>3</v>
      </c>
      <c r="L89" s="169">
        <f t="shared" si="4"/>
        <v>3</v>
      </c>
      <c r="M89" s="169">
        <f t="shared" si="5"/>
        <v>1</v>
      </c>
      <c r="N89" s="169">
        <f t="shared" si="6"/>
        <v>0.44999999999999996</v>
      </c>
      <c r="O89" s="169">
        <f t="shared" si="7"/>
        <v>3.45</v>
      </c>
      <c r="Z89" s="219"/>
      <c r="AA89" s="219"/>
    </row>
    <row r="90" spans="1:27" x14ac:dyDescent="0.3">
      <c r="A90" s="88">
        <v>88</v>
      </c>
      <c r="B90" s="173">
        <v>58</v>
      </c>
      <c r="C90" s="159"/>
      <c r="D90" s="88" t="s">
        <v>509</v>
      </c>
      <c r="E90" s="88" t="s">
        <v>757</v>
      </c>
      <c r="F90" s="88" t="s">
        <v>831</v>
      </c>
      <c r="G90" s="88" t="s">
        <v>759</v>
      </c>
      <c r="H90" s="88">
        <v>311438314800003</v>
      </c>
      <c r="I90" s="88"/>
      <c r="J90" s="49">
        <v>2</v>
      </c>
      <c r="K90" s="49">
        <v>15</v>
      </c>
      <c r="L90" s="169">
        <f t="shared" si="4"/>
        <v>30</v>
      </c>
      <c r="M90" s="169">
        <f t="shared" si="5"/>
        <v>1</v>
      </c>
      <c r="N90" s="169">
        <f t="shared" si="6"/>
        <v>4.5</v>
      </c>
      <c r="O90" s="169">
        <f t="shared" si="7"/>
        <v>34.5</v>
      </c>
      <c r="Z90" s="219"/>
      <c r="AA90" s="219"/>
    </row>
    <row r="91" spans="1:27" x14ac:dyDescent="0.3">
      <c r="A91" s="88">
        <v>89</v>
      </c>
      <c r="B91" s="173">
        <v>58</v>
      </c>
      <c r="C91" s="159"/>
      <c r="D91" s="88" t="s">
        <v>509</v>
      </c>
      <c r="E91" s="88" t="s">
        <v>757</v>
      </c>
      <c r="F91" s="88" t="s">
        <v>832</v>
      </c>
      <c r="G91" s="88" t="s">
        <v>759</v>
      </c>
      <c r="H91" s="88">
        <v>311438314800003</v>
      </c>
      <c r="I91" s="88"/>
      <c r="J91" s="49">
        <v>2</v>
      </c>
      <c r="K91" s="49">
        <v>3</v>
      </c>
      <c r="L91" s="169">
        <f t="shared" si="4"/>
        <v>6</v>
      </c>
      <c r="M91" s="169">
        <f t="shared" si="5"/>
        <v>1</v>
      </c>
      <c r="N91" s="169">
        <f t="shared" si="6"/>
        <v>0.89999999999999991</v>
      </c>
      <c r="O91" s="169">
        <f t="shared" si="7"/>
        <v>6.9</v>
      </c>
      <c r="Z91" s="219"/>
      <c r="AA91" s="219"/>
    </row>
    <row r="92" spans="1:27" x14ac:dyDescent="0.3">
      <c r="A92" s="88">
        <v>90</v>
      </c>
      <c r="B92" s="173">
        <v>58</v>
      </c>
      <c r="C92" s="159"/>
      <c r="D92" s="88" t="s">
        <v>509</v>
      </c>
      <c r="E92" s="88" t="s">
        <v>757</v>
      </c>
      <c r="F92" s="88" t="s">
        <v>833</v>
      </c>
      <c r="G92" s="88" t="s">
        <v>759</v>
      </c>
      <c r="H92" s="88">
        <v>311438314800003</v>
      </c>
      <c r="I92" s="88"/>
      <c r="J92" s="49">
        <v>1</v>
      </c>
      <c r="K92" s="49">
        <v>65</v>
      </c>
      <c r="L92" s="169">
        <f t="shared" si="4"/>
        <v>65</v>
      </c>
      <c r="M92" s="169">
        <f t="shared" si="5"/>
        <v>1</v>
      </c>
      <c r="N92" s="169">
        <f t="shared" si="6"/>
        <v>9.75</v>
      </c>
      <c r="O92" s="169">
        <f t="shared" si="7"/>
        <v>74.75</v>
      </c>
      <c r="Z92" s="219"/>
      <c r="AA92" s="219"/>
    </row>
    <row r="93" spans="1:27" x14ac:dyDescent="0.3">
      <c r="A93" s="88">
        <v>91</v>
      </c>
      <c r="B93" s="173">
        <v>58</v>
      </c>
      <c r="C93" s="159"/>
      <c r="D93" s="88" t="s">
        <v>509</v>
      </c>
      <c r="E93" s="88" t="s">
        <v>757</v>
      </c>
      <c r="F93" s="88" t="s">
        <v>834</v>
      </c>
      <c r="G93" s="88" t="s">
        <v>759</v>
      </c>
      <c r="H93" s="88">
        <v>311438314800003</v>
      </c>
      <c r="I93" s="88"/>
      <c r="J93" s="49">
        <v>1</v>
      </c>
      <c r="K93" s="49">
        <v>20</v>
      </c>
      <c r="L93" s="169">
        <f t="shared" si="4"/>
        <v>20</v>
      </c>
      <c r="M93" s="169">
        <f t="shared" si="5"/>
        <v>1</v>
      </c>
      <c r="N93" s="169">
        <f t="shared" si="6"/>
        <v>3</v>
      </c>
      <c r="O93" s="169">
        <f t="shared" si="7"/>
        <v>23</v>
      </c>
      <c r="Z93" s="219"/>
      <c r="AA93" s="219"/>
    </row>
    <row r="94" spans="1:27" x14ac:dyDescent="0.3">
      <c r="A94" s="88">
        <v>92</v>
      </c>
      <c r="B94" s="173">
        <v>59</v>
      </c>
      <c r="C94" s="159"/>
      <c r="D94" s="88" t="s">
        <v>509</v>
      </c>
      <c r="E94" s="88" t="s">
        <v>757</v>
      </c>
      <c r="F94" s="88" t="s">
        <v>835</v>
      </c>
      <c r="G94" s="88" t="s">
        <v>759</v>
      </c>
      <c r="H94" s="88">
        <v>311438314800003</v>
      </c>
      <c r="I94" s="88"/>
      <c r="J94" s="49">
        <v>1</v>
      </c>
      <c r="K94" s="49">
        <v>8</v>
      </c>
      <c r="L94" s="169">
        <f t="shared" si="4"/>
        <v>8</v>
      </c>
      <c r="M94" s="169">
        <f>IF(H95="",0,1)</f>
        <v>1</v>
      </c>
      <c r="N94" s="169">
        <f t="shared" si="6"/>
        <v>1.2</v>
      </c>
      <c r="O94" s="169">
        <f t="shared" si="7"/>
        <v>9.1999999999999993</v>
      </c>
      <c r="Z94" s="219"/>
      <c r="AA94" s="219"/>
    </row>
    <row r="95" spans="1:27" x14ac:dyDescent="0.3">
      <c r="A95" s="88"/>
      <c r="B95" s="173">
        <v>60</v>
      </c>
      <c r="C95" s="159"/>
      <c r="D95" s="88" t="s">
        <v>509</v>
      </c>
      <c r="E95" s="88" t="s">
        <v>757</v>
      </c>
      <c r="F95" s="88" t="s">
        <v>836</v>
      </c>
      <c r="G95" s="88" t="s">
        <v>759</v>
      </c>
      <c r="H95" s="88">
        <v>311438314800003</v>
      </c>
      <c r="I95" s="88"/>
      <c r="J95" s="49">
        <v>1</v>
      </c>
      <c r="K95" s="49">
        <v>5</v>
      </c>
      <c r="L95" s="169">
        <f t="shared" si="4"/>
        <v>5</v>
      </c>
      <c r="M95" s="169">
        <v>1</v>
      </c>
      <c r="N95" s="169">
        <v>0.75</v>
      </c>
      <c r="O95" s="169">
        <v>5.57</v>
      </c>
      <c r="Z95" s="219"/>
      <c r="AA95" s="219"/>
    </row>
    <row r="96" spans="1:27" x14ac:dyDescent="0.3">
      <c r="A96" s="88">
        <v>94</v>
      </c>
      <c r="B96" s="173">
        <v>61</v>
      </c>
      <c r="C96" s="159"/>
      <c r="D96" s="88" t="s">
        <v>509</v>
      </c>
      <c r="E96" s="88" t="s">
        <v>757</v>
      </c>
      <c r="F96" s="88" t="s">
        <v>837</v>
      </c>
      <c r="G96" s="88" t="s">
        <v>759</v>
      </c>
      <c r="H96" s="88">
        <v>311438314800003</v>
      </c>
      <c r="I96" s="88"/>
      <c r="J96" s="49">
        <v>1</v>
      </c>
      <c r="K96" s="49">
        <v>10</v>
      </c>
      <c r="L96" s="169">
        <f t="shared" si="4"/>
        <v>10</v>
      </c>
      <c r="M96" s="169">
        <f t="shared" si="5"/>
        <v>1</v>
      </c>
      <c r="N96" s="169">
        <f t="shared" si="6"/>
        <v>1.5</v>
      </c>
      <c r="O96" s="169">
        <f t="shared" si="7"/>
        <v>11.5</v>
      </c>
      <c r="Z96" s="219"/>
      <c r="AA96" s="219"/>
    </row>
    <row r="97" spans="1:27" x14ac:dyDescent="0.3">
      <c r="A97" s="88">
        <v>95</v>
      </c>
      <c r="B97" s="173">
        <v>62</v>
      </c>
      <c r="C97" s="159"/>
      <c r="D97" s="88" t="s">
        <v>509</v>
      </c>
      <c r="E97" s="88" t="s">
        <v>757</v>
      </c>
      <c r="F97" s="88" t="s">
        <v>838</v>
      </c>
      <c r="G97" s="88" t="s">
        <v>759</v>
      </c>
      <c r="H97" s="88">
        <v>311438314800003</v>
      </c>
      <c r="I97" s="88"/>
      <c r="J97" s="49">
        <v>1</v>
      </c>
      <c r="K97" s="49">
        <v>10</v>
      </c>
      <c r="L97" s="169">
        <f t="shared" si="4"/>
        <v>10</v>
      </c>
      <c r="M97" s="169">
        <f t="shared" si="5"/>
        <v>1</v>
      </c>
      <c r="N97" s="169">
        <f t="shared" si="6"/>
        <v>1.5</v>
      </c>
      <c r="O97" s="169">
        <f t="shared" si="7"/>
        <v>11.5</v>
      </c>
      <c r="Z97" s="219"/>
      <c r="AA97" s="219"/>
    </row>
    <row r="98" spans="1:27" x14ac:dyDescent="0.3">
      <c r="A98" s="88">
        <v>96</v>
      </c>
      <c r="B98" s="173">
        <v>63</v>
      </c>
      <c r="C98" s="159"/>
      <c r="D98" s="88" t="s">
        <v>509</v>
      </c>
      <c r="E98" s="88" t="s">
        <v>757</v>
      </c>
      <c r="F98" s="88" t="s">
        <v>839</v>
      </c>
      <c r="G98" s="88" t="s">
        <v>759</v>
      </c>
      <c r="H98" s="88">
        <v>311438314800003</v>
      </c>
      <c r="I98" s="88"/>
      <c r="J98" s="49">
        <v>10</v>
      </c>
      <c r="K98" s="49">
        <v>4</v>
      </c>
      <c r="L98" s="169">
        <f t="shared" si="4"/>
        <v>40</v>
      </c>
      <c r="M98" s="169">
        <f t="shared" si="5"/>
        <v>1</v>
      </c>
      <c r="N98" s="169">
        <f t="shared" si="6"/>
        <v>6</v>
      </c>
      <c r="O98" s="169">
        <f t="shared" si="7"/>
        <v>46</v>
      </c>
      <c r="Z98" s="219"/>
      <c r="AA98" s="219"/>
    </row>
    <row r="99" spans="1:27" x14ac:dyDescent="0.3">
      <c r="A99" s="88">
        <v>97</v>
      </c>
      <c r="B99" s="173">
        <v>63</v>
      </c>
      <c r="C99" s="159"/>
      <c r="D99" s="88" t="s">
        <v>509</v>
      </c>
      <c r="E99" s="88" t="s">
        <v>757</v>
      </c>
      <c r="F99" s="88" t="s">
        <v>840</v>
      </c>
      <c r="G99" s="88" t="s">
        <v>759</v>
      </c>
      <c r="H99" s="88">
        <v>311438314800003</v>
      </c>
      <c r="I99" s="88"/>
      <c r="J99" s="49">
        <v>1</v>
      </c>
      <c r="K99" s="49">
        <v>13</v>
      </c>
      <c r="L99" s="169">
        <f t="shared" si="4"/>
        <v>13</v>
      </c>
      <c r="M99" s="169">
        <f t="shared" si="5"/>
        <v>1</v>
      </c>
      <c r="N99" s="169">
        <f t="shared" si="6"/>
        <v>1.95</v>
      </c>
      <c r="O99" s="169">
        <f t="shared" si="7"/>
        <v>14.95</v>
      </c>
      <c r="Z99" s="219"/>
      <c r="AA99" s="219"/>
    </row>
    <row r="100" spans="1:27" x14ac:dyDescent="0.3">
      <c r="A100" s="88">
        <v>98</v>
      </c>
      <c r="B100" s="173">
        <v>63</v>
      </c>
      <c r="C100" s="159"/>
      <c r="D100" s="88" t="s">
        <v>509</v>
      </c>
      <c r="E100" s="88" t="s">
        <v>757</v>
      </c>
      <c r="F100" s="88" t="s">
        <v>841</v>
      </c>
      <c r="G100" s="88" t="s">
        <v>759</v>
      </c>
      <c r="H100" s="88">
        <v>311438314800003</v>
      </c>
      <c r="I100" s="88"/>
      <c r="J100" s="49">
        <v>1</v>
      </c>
      <c r="K100" s="49">
        <v>6</v>
      </c>
      <c r="L100" s="169">
        <f t="shared" si="4"/>
        <v>6</v>
      </c>
      <c r="M100" s="169">
        <f t="shared" si="5"/>
        <v>1</v>
      </c>
      <c r="N100" s="169">
        <f t="shared" si="6"/>
        <v>0.89999999999999991</v>
      </c>
      <c r="O100" s="169">
        <f t="shared" si="7"/>
        <v>6.9</v>
      </c>
      <c r="Z100" s="219"/>
      <c r="AA100" s="219"/>
    </row>
    <row r="101" spans="1:27" x14ac:dyDescent="0.3">
      <c r="A101" s="88">
        <v>99</v>
      </c>
      <c r="B101" s="173">
        <v>64</v>
      </c>
      <c r="C101" s="159"/>
      <c r="D101" s="88" t="s">
        <v>509</v>
      </c>
      <c r="E101" s="88" t="s">
        <v>757</v>
      </c>
      <c r="F101" s="88" t="s">
        <v>842</v>
      </c>
      <c r="G101" s="88" t="s">
        <v>759</v>
      </c>
      <c r="H101" s="88">
        <v>311438314800003</v>
      </c>
      <c r="I101" s="88"/>
      <c r="J101" s="49">
        <v>1</v>
      </c>
      <c r="K101" s="49">
        <v>25</v>
      </c>
      <c r="L101" s="169">
        <f t="shared" si="4"/>
        <v>25</v>
      </c>
      <c r="M101" s="169">
        <f t="shared" si="5"/>
        <v>1</v>
      </c>
      <c r="N101" s="169">
        <f t="shared" si="6"/>
        <v>3.75</v>
      </c>
      <c r="O101" s="169">
        <f t="shared" si="7"/>
        <v>28.75</v>
      </c>
      <c r="Z101" s="219"/>
      <c r="AA101" s="219"/>
    </row>
    <row r="102" spans="1:27" x14ac:dyDescent="0.3">
      <c r="A102" s="88">
        <v>100</v>
      </c>
      <c r="B102" s="173">
        <v>65</v>
      </c>
      <c r="C102" s="159"/>
      <c r="D102" s="88" t="s">
        <v>509</v>
      </c>
      <c r="E102" s="88" t="s">
        <v>757</v>
      </c>
      <c r="F102" s="88" t="s">
        <v>825</v>
      </c>
      <c r="G102" s="88" t="s">
        <v>759</v>
      </c>
      <c r="H102" s="88">
        <v>311438314800003</v>
      </c>
      <c r="I102" s="88"/>
      <c r="J102" s="49">
        <v>2</v>
      </c>
      <c r="K102" s="49">
        <v>20</v>
      </c>
      <c r="L102" s="169">
        <f t="shared" si="4"/>
        <v>40</v>
      </c>
      <c r="M102" s="169">
        <f t="shared" si="5"/>
        <v>1</v>
      </c>
      <c r="N102" s="169">
        <f t="shared" si="6"/>
        <v>6</v>
      </c>
      <c r="O102" s="169">
        <f t="shared" si="7"/>
        <v>46</v>
      </c>
      <c r="Z102" s="219"/>
      <c r="AA102" s="219"/>
    </row>
    <row r="103" spans="1:27" x14ac:dyDescent="0.3">
      <c r="A103" s="88">
        <v>101</v>
      </c>
      <c r="B103" s="173">
        <v>66</v>
      </c>
      <c r="C103" s="159"/>
      <c r="D103" s="88" t="s">
        <v>509</v>
      </c>
      <c r="E103" s="88" t="s">
        <v>757</v>
      </c>
      <c r="F103" s="88" t="s">
        <v>843</v>
      </c>
      <c r="G103" s="88" t="s">
        <v>759</v>
      </c>
      <c r="H103" s="88">
        <v>311438314800003</v>
      </c>
      <c r="I103" s="88"/>
      <c r="J103" s="49">
        <v>1</v>
      </c>
      <c r="K103" s="49">
        <v>10</v>
      </c>
      <c r="L103" s="169">
        <f t="shared" si="4"/>
        <v>10</v>
      </c>
      <c r="M103" s="169">
        <f t="shared" si="5"/>
        <v>1</v>
      </c>
      <c r="N103" s="169">
        <f t="shared" si="6"/>
        <v>1.5</v>
      </c>
      <c r="O103" s="169">
        <f t="shared" si="7"/>
        <v>11.5</v>
      </c>
      <c r="Z103" s="219"/>
      <c r="AA103" s="219"/>
    </row>
    <row r="104" spans="1:27" x14ac:dyDescent="0.3">
      <c r="A104" s="88">
        <v>102</v>
      </c>
      <c r="B104" s="173">
        <v>66</v>
      </c>
      <c r="C104" s="159"/>
      <c r="D104" s="88" t="s">
        <v>509</v>
      </c>
      <c r="E104" s="88" t="s">
        <v>757</v>
      </c>
      <c r="F104" s="88" t="s">
        <v>844</v>
      </c>
      <c r="G104" s="88" t="s">
        <v>759</v>
      </c>
      <c r="H104" s="88">
        <v>311438314800003</v>
      </c>
      <c r="I104" s="88"/>
      <c r="J104" s="49">
        <v>1</v>
      </c>
      <c r="K104" s="49">
        <v>3</v>
      </c>
      <c r="L104" s="169">
        <f t="shared" si="4"/>
        <v>3</v>
      </c>
      <c r="M104" s="169">
        <f t="shared" si="5"/>
        <v>1</v>
      </c>
      <c r="N104" s="169">
        <f t="shared" si="6"/>
        <v>0.44999999999999996</v>
      </c>
      <c r="O104" s="169">
        <f t="shared" si="7"/>
        <v>3.45</v>
      </c>
      <c r="Z104" s="219"/>
      <c r="AA104" s="219"/>
    </row>
    <row r="105" spans="1:27" x14ac:dyDescent="0.3">
      <c r="A105" s="88">
        <v>103</v>
      </c>
      <c r="B105" s="173">
        <v>67</v>
      </c>
      <c r="C105" s="159"/>
      <c r="D105" s="88" t="s">
        <v>509</v>
      </c>
      <c r="E105" s="88" t="s">
        <v>757</v>
      </c>
      <c r="F105" s="88" t="s">
        <v>845</v>
      </c>
      <c r="G105" s="88" t="s">
        <v>759</v>
      </c>
      <c r="H105" s="88">
        <v>311438314800003</v>
      </c>
      <c r="I105" s="88"/>
      <c r="J105" s="49">
        <v>1</v>
      </c>
      <c r="K105" s="49">
        <v>5</v>
      </c>
      <c r="L105" s="169">
        <f t="shared" si="4"/>
        <v>5</v>
      </c>
      <c r="M105" s="169">
        <f t="shared" si="5"/>
        <v>1</v>
      </c>
      <c r="N105" s="169">
        <f t="shared" si="6"/>
        <v>0.75</v>
      </c>
      <c r="O105" s="169">
        <f t="shared" si="7"/>
        <v>5.75</v>
      </c>
      <c r="Z105" s="219"/>
      <c r="AA105" s="219"/>
    </row>
    <row r="106" spans="1:27" x14ac:dyDescent="0.3">
      <c r="A106" s="88">
        <v>104</v>
      </c>
      <c r="B106" s="173">
        <v>68</v>
      </c>
      <c r="C106" s="159"/>
      <c r="D106" s="88" t="s">
        <v>509</v>
      </c>
      <c r="E106" s="88" t="s">
        <v>763</v>
      </c>
      <c r="F106" s="88" t="s">
        <v>846</v>
      </c>
      <c r="G106" s="88" t="s">
        <v>847</v>
      </c>
      <c r="H106" s="88">
        <v>311286150800003</v>
      </c>
      <c r="I106" s="88" t="s">
        <v>848</v>
      </c>
      <c r="J106" s="49">
        <v>1</v>
      </c>
      <c r="K106" s="49">
        <v>130.44</v>
      </c>
      <c r="L106" s="169">
        <f t="shared" si="4"/>
        <v>130.44</v>
      </c>
      <c r="M106" s="169">
        <f t="shared" si="5"/>
        <v>1</v>
      </c>
      <c r="N106" s="169">
        <f t="shared" si="6"/>
        <v>19.565999999999999</v>
      </c>
      <c r="O106" s="169">
        <f t="shared" si="7"/>
        <v>150.006</v>
      </c>
      <c r="Z106" s="219"/>
      <c r="AA106" s="219"/>
    </row>
    <row r="107" spans="1:27" x14ac:dyDescent="0.3">
      <c r="A107" s="88">
        <v>105</v>
      </c>
      <c r="B107" s="173">
        <v>69</v>
      </c>
      <c r="C107" s="159"/>
      <c r="D107" s="88" t="s">
        <v>509</v>
      </c>
      <c r="E107" s="88" t="s">
        <v>709</v>
      </c>
      <c r="F107" s="88" t="s">
        <v>849</v>
      </c>
      <c r="G107" s="88" t="s">
        <v>860</v>
      </c>
      <c r="H107" s="88">
        <v>300698075900003</v>
      </c>
      <c r="I107" s="88" t="s">
        <v>861</v>
      </c>
      <c r="J107" s="49">
        <v>1</v>
      </c>
      <c r="K107" s="49">
        <v>28</v>
      </c>
      <c r="L107" s="169">
        <f t="shared" si="4"/>
        <v>28</v>
      </c>
      <c r="M107" s="169">
        <f t="shared" si="5"/>
        <v>1</v>
      </c>
      <c r="N107" s="169">
        <f t="shared" si="6"/>
        <v>4.2</v>
      </c>
      <c r="O107" s="169">
        <f t="shared" si="7"/>
        <v>32.200000000000003</v>
      </c>
      <c r="Z107" s="219"/>
      <c r="AA107" s="219"/>
    </row>
    <row r="108" spans="1:27" x14ac:dyDescent="0.3">
      <c r="A108" s="88">
        <v>106</v>
      </c>
      <c r="B108" s="173">
        <v>69</v>
      </c>
      <c r="C108" s="159"/>
      <c r="D108" s="88" t="s">
        <v>509</v>
      </c>
      <c r="E108" s="88" t="s">
        <v>709</v>
      </c>
      <c r="F108" s="88" t="s">
        <v>850</v>
      </c>
      <c r="G108" s="88" t="s">
        <v>860</v>
      </c>
      <c r="H108" s="88">
        <v>300698075900003</v>
      </c>
      <c r="I108" s="88" t="s">
        <v>861</v>
      </c>
      <c r="J108" s="49">
        <v>1</v>
      </c>
      <c r="K108" s="49">
        <v>9</v>
      </c>
      <c r="L108" s="169">
        <f t="shared" si="4"/>
        <v>9</v>
      </c>
      <c r="M108" s="169">
        <f t="shared" si="5"/>
        <v>1</v>
      </c>
      <c r="N108" s="169">
        <f t="shared" si="6"/>
        <v>1.3499999999999999</v>
      </c>
      <c r="O108" s="169">
        <f t="shared" si="7"/>
        <v>10.35</v>
      </c>
      <c r="Z108" s="219"/>
      <c r="AA108" s="219"/>
    </row>
    <row r="109" spans="1:27" x14ac:dyDescent="0.3">
      <c r="A109" s="88">
        <v>107</v>
      </c>
      <c r="B109" s="173">
        <v>69</v>
      </c>
      <c r="C109" s="159"/>
      <c r="D109" s="88" t="s">
        <v>509</v>
      </c>
      <c r="E109" s="88" t="s">
        <v>709</v>
      </c>
      <c r="F109" s="88" t="s">
        <v>851</v>
      </c>
      <c r="G109" s="88" t="s">
        <v>860</v>
      </c>
      <c r="H109" s="88">
        <v>300698075900003</v>
      </c>
      <c r="I109" s="88" t="s">
        <v>861</v>
      </c>
      <c r="J109" s="49">
        <v>1</v>
      </c>
      <c r="K109" s="49">
        <v>13</v>
      </c>
      <c r="L109" s="169">
        <f t="shared" si="4"/>
        <v>13</v>
      </c>
      <c r="M109" s="169">
        <f t="shared" si="5"/>
        <v>1</v>
      </c>
      <c r="N109" s="169">
        <f t="shared" si="6"/>
        <v>1.95</v>
      </c>
      <c r="O109" s="169">
        <f t="shared" si="7"/>
        <v>14.95</v>
      </c>
      <c r="Z109" s="219"/>
      <c r="AA109" s="219"/>
    </row>
    <row r="110" spans="1:27" x14ac:dyDescent="0.3">
      <c r="A110" s="88">
        <v>108</v>
      </c>
      <c r="B110" s="173">
        <v>69</v>
      </c>
      <c r="C110" s="159"/>
      <c r="D110" s="88" t="s">
        <v>509</v>
      </c>
      <c r="E110" s="88" t="s">
        <v>709</v>
      </c>
      <c r="F110" s="88" t="s">
        <v>852</v>
      </c>
      <c r="G110" s="88" t="s">
        <v>860</v>
      </c>
      <c r="H110" s="88">
        <v>300698075900003</v>
      </c>
      <c r="I110" s="88" t="s">
        <v>861</v>
      </c>
      <c r="J110" s="49">
        <v>1</v>
      </c>
      <c r="K110" s="49">
        <v>15</v>
      </c>
      <c r="L110" s="169">
        <f t="shared" si="4"/>
        <v>15</v>
      </c>
      <c r="M110" s="169">
        <f t="shared" si="5"/>
        <v>1</v>
      </c>
      <c r="N110" s="169">
        <f t="shared" si="6"/>
        <v>2.25</v>
      </c>
      <c r="O110" s="169">
        <f t="shared" si="7"/>
        <v>17.25</v>
      </c>
      <c r="Z110" s="219"/>
      <c r="AA110" s="219"/>
    </row>
    <row r="111" spans="1:27" x14ac:dyDescent="0.3">
      <c r="A111" s="88">
        <v>109</v>
      </c>
      <c r="B111" s="173">
        <v>69</v>
      </c>
      <c r="C111" s="159"/>
      <c r="D111" s="88" t="s">
        <v>509</v>
      </c>
      <c r="E111" s="88" t="s">
        <v>709</v>
      </c>
      <c r="F111" s="88" t="s">
        <v>853</v>
      </c>
      <c r="G111" s="88" t="s">
        <v>860</v>
      </c>
      <c r="H111" s="88">
        <v>300698075900003</v>
      </c>
      <c r="I111" s="88" t="s">
        <v>861</v>
      </c>
      <c r="J111" s="49">
        <v>1</v>
      </c>
      <c r="K111" s="49">
        <v>15</v>
      </c>
      <c r="L111" s="169">
        <f t="shared" si="4"/>
        <v>15</v>
      </c>
      <c r="M111" s="169">
        <f t="shared" si="5"/>
        <v>1</v>
      </c>
      <c r="N111" s="169">
        <f t="shared" si="6"/>
        <v>2.25</v>
      </c>
      <c r="O111" s="169">
        <f t="shared" si="7"/>
        <v>17.25</v>
      </c>
      <c r="Z111" s="219"/>
      <c r="AA111" s="219"/>
    </row>
    <row r="112" spans="1:27" x14ac:dyDescent="0.3">
      <c r="A112" s="88">
        <v>110</v>
      </c>
      <c r="B112" s="173">
        <v>69</v>
      </c>
      <c r="C112" s="159"/>
      <c r="D112" s="88" t="s">
        <v>509</v>
      </c>
      <c r="E112" s="88" t="s">
        <v>709</v>
      </c>
      <c r="F112" s="88" t="s">
        <v>854</v>
      </c>
      <c r="G112" s="88" t="s">
        <v>860</v>
      </c>
      <c r="H112" s="88">
        <v>300698075900003</v>
      </c>
      <c r="I112" s="88" t="s">
        <v>861</v>
      </c>
      <c r="J112" s="49">
        <v>1</v>
      </c>
      <c r="K112" s="49">
        <v>60</v>
      </c>
      <c r="L112" s="169">
        <f t="shared" si="4"/>
        <v>60</v>
      </c>
      <c r="M112" s="169">
        <f t="shared" si="5"/>
        <v>1</v>
      </c>
      <c r="N112" s="169">
        <f t="shared" si="6"/>
        <v>9</v>
      </c>
      <c r="O112" s="169">
        <f t="shared" si="7"/>
        <v>69</v>
      </c>
      <c r="Z112" s="219"/>
      <c r="AA112" s="219"/>
    </row>
    <row r="113" spans="1:27" x14ac:dyDescent="0.3">
      <c r="A113" s="88">
        <v>111</v>
      </c>
      <c r="B113" s="173">
        <v>69</v>
      </c>
      <c r="C113" s="159"/>
      <c r="D113" s="88" t="s">
        <v>509</v>
      </c>
      <c r="E113" s="88" t="s">
        <v>709</v>
      </c>
      <c r="F113" s="88" t="s">
        <v>855</v>
      </c>
      <c r="G113" s="88" t="s">
        <v>860</v>
      </c>
      <c r="H113" s="88">
        <v>300698075900003</v>
      </c>
      <c r="I113" s="88" t="s">
        <v>861</v>
      </c>
      <c r="J113" s="49">
        <v>1</v>
      </c>
      <c r="K113" s="49">
        <v>56</v>
      </c>
      <c r="L113" s="169">
        <f t="shared" si="4"/>
        <v>56</v>
      </c>
      <c r="M113" s="169">
        <f t="shared" si="5"/>
        <v>1</v>
      </c>
      <c r="N113" s="169">
        <f t="shared" si="6"/>
        <v>8.4</v>
      </c>
      <c r="O113" s="169">
        <f t="shared" si="7"/>
        <v>64.400000000000006</v>
      </c>
      <c r="Z113" s="219"/>
      <c r="AA113" s="219"/>
    </row>
    <row r="114" spans="1:27" x14ac:dyDescent="0.3">
      <c r="A114" s="88">
        <v>112</v>
      </c>
      <c r="B114" s="173">
        <v>69</v>
      </c>
      <c r="C114" s="159"/>
      <c r="D114" s="88" t="s">
        <v>509</v>
      </c>
      <c r="E114" s="88" t="s">
        <v>709</v>
      </c>
      <c r="F114" s="88" t="s">
        <v>856</v>
      </c>
      <c r="G114" s="88" t="s">
        <v>860</v>
      </c>
      <c r="H114" s="88">
        <v>300698075900003</v>
      </c>
      <c r="I114" s="88" t="s">
        <v>861</v>
      </c>
      <c r="J114" s="49">
        <v>1</v>
      </c>
      <c r="K114" s="49">
        <v>15</v>
      </c>
      <c r="L114" s="169">
        <f t="shared" si="4"/>
        <v>15</v>
      </c>
      <c r="M114" s="169">
        <f t="shared" si="5"/>
        <v>1</v>
      </c>
      <c r="N114" s="169">
        <f t="shared" si="6"/>
        <v>2.25</v>
      </c>
      <c r="O114" s="169">
        <f t="shared" si="7"/>
        <v>17.25</v>
      </c>
      <c r="Z114" s="219"/>
      <c r="AA114" s="219"/>
    </row>
    <row r="115" spans="1:27" x14ac:dyDescent="0.3">
      <c r="A115" s="88">
        <v>113</v>
      </c>
      <c r="B115" s="173">
        <v>69</v>
      </c>
      <c r="C115" s="159"/>
      <c r="D115" s="88" t="s">
        <v>509</v>
      </c>
      <c r="E115" s="88" t="s">
        <v>709</v>
      </c>
      <c r="F115" s="88" t="s">
        <v>857</v>
      </c>
      <c r="G115" s="88" t="s">
        <v>860</v>
      </c>
      <c r="H115" s="88">
        <v>300698075900003</v>
      </c>
      <c r="I115" s="88" t="s">
        <v>861</v>
      </c>
      <c r="J115" s="49">
        <v>1</v>
      </c>
      <c r="K115" s="49">
        <v>9</v>
      </c>
      <c r="L115" s="169">
        <f t="shared" si="4"/>
        <v>9</v>
      </c>
      <c r="M115" s="169">
        <f t="shared" si="5"/>
        <v>1</v>
      </c>
      <c r="N115" s="169">
        <f t="shared" si="6"/>
        <v>1.3499999999999999</v>
      </c>
      <c r="O115" s="169">
        <f t="shared" si="7"/>
        <v>10.35</v>
      </c>
      <c r="Z115" s="219"/>
      <c r="AA115" s="219"/>
    </row>
    <row r="116" spans="1:27" x14ac:dyDescent="0.3">
      <c r="A116" s="88">
        <v>114</v>
      </c>
      <c r="B116" s="173">
        <v>69</v>
      </c>
      <c r="C116" s="159"/>
      <c r="D116" s="88" t="s">
        <v>509</v>
      </c>
      <c r="E116" s="88" t="s">
        <v>709</v>
      </c>
      <c r="F116" s="88" t="s">
        <v>858</v>
      </c>
      <c r="G116" s="88" t="s">
        <v>860</v>
      </c>
      <c r="H116" s="88">
        <v>300698075900003</v>
      </c>
      <c r="I116" s="88" t="s">
        <v>861</v>
      </c>
      <c r="J116" s="49">
        <v>1</v>
      </c>
      <c r="K116" s="49">
        <v>35</v>
      </c>
      <c r="L116" s="169">
        <f t="shared" si="4"/>
        <v>35</v>
      </c>
      <c r="M116" s="169">
        <f t="shared" si="5"/>
        <v>1</v>
      </c>
      <c r="N116" s="169">
        <f t="shared" si="6"/>
        <v>5.25</v>
      </c>
      <c r="O116" s="169">
        <f t="shared" si="7"/>
        <v>40.25</v>
      </c>
      <c r="Z116" s="219"/>
      <c r="AA116" s="219"/>
    </row>
    <row r="117" spans="1:27" x14ac:dyDescent="0.3">
      <c r="A117" s="88">
        <v>115</v>
      </c>
      <c r="B117" s="173">
        <v>69</v>
      </c>
      <c r="C117" s="159"/>
      <c r="D117" s="88" t="s">
        <v>509</v>
      </c>
      <c r="E117" s="88" t="s">
        <v>709</v>
      </c>
      <c r="F117" s="88" t="s">
        <v>859</v>
      </c>
      <c r="G117" s="88" t="s">
        <v>860</v>
      </c>
      <c r="H117" s="88">
        <v>300698075900003</v>
      </c>
      <c r="I117" s="88" t="s">
        <v>862</v>
      </c>
      <c r="J117" s="49">
        <v>1</v>
      </c>
      <c r="K117" s="49">
        <v>94</v>
      </c>
      <c r="L117" s="169">
        <f t="shared" si="4"/>
        <v>94</v>
      </c>
      <c r="M117" s="169">
        <f t="shared" si="5"/>
        <v>1</v>
      </c>
      <c r="N117" s="169">
        <f t="shared" si="6"/>
        <v>14.1</v>
      </c>
      <c r="O117" s="169">
        <f t="shared" si="7"/>
        <v>108.1</v>
      </c>
      <c r="Z117" s="219"/>
      <c r="AA117" s="219"/>
    </row>
    <row r="118" spans="1:27" x14ac:dyDescent="0.3">
      <c r="A118" s="88"/>
      <c r="B118" s="173">
        <v>70</v>
      </c>
      <c r="C118" s="159"/>
      <c r="D118" s="88" t="s">
        <v>509</v>
      </c>
      <c r="E118" s="88" t="s">
        <v>763</v>
      </c>
      <c r="F118" s="88" t="s">
        <v>863</v>
      </c>
      <c r="G118" s="88" t="s">
        <v>864</v>
      </c>
      <c r="H118" s="88">
        <v>300210279300003</v>
      </c>
      <c r="I118" s="88" t="s">
        <v>848</v>
      </c>
      <c r="J118" s="49">
        <v>1</v>
      </c>
      <c r="K118" s="49">
        <v>192</v>
      </c>
      <c r="L118" s="169">
        <f t="shared" si="4"/>
        <v>192</v>
      </c>
      <c r="M118" s="169">
        <f t="shared" si="5"/>
        <v>1</v>
      </c>
      <c r="N118" s="169">
        <f t="shared" si="6"/>
        <v>28.799999999999997</v>
      </c>
      <c r="O118" s="169">
        <f t="shared" si="7"/>
        <v>220.8</v>
      </c>
      <c r="Z118" s="219"/>
      <c r="AA118" s="219"/>
    </row>
    <row r="119" spans="1:27" x14ac:dyDescent="0.3">
      <c r="A119" s="88"/>
      <c r="B119" s="173">
        <v>71</v>
      </c>
      <c r="C119" s="159"/>
      <c r="D119" s="88" t="s">
        <v>509</v>
      </c>
      <c r="E119" s="175" t="s">
        <v>789</v>
      </c>
      <c r="F119" s="88" t="s">
        <v>867</v>
      </c>
      <c r="G119" s="88" t="s">
        <v>865</v>
      </c>
      <c r="H119" s="88">
        <v>310959741900003</v>
      </c>
      <c r="I119" s="88" t="s">
        <v>866</v>
      </c>
      <c r="J119" s="49">
        <v>1</v>
      </c>
      <c r="K119" s="49">
        <v>15</v>
      </c>
      <c r="L119" s="169">
        <f t="shared" si="4"/>
        <v>15</v>
      </c>
      <c r="M119" s="169">
        <f t="shared" si="5"/>
        <v>1</v>
      </c>
      <c r="N119" s="169">
        <f t="shared" si="6"/>
        <v>2.25</v>
      </c>
      <c r="O119" s="169">
        <f t="shared" si="7"/>
        <v>17.25</v>
      </c>
      <c r="Z119" s="219"/>
      <c r="AA119" s="219"/>
    </row>
    <row r="120" spans="1:27" x14ac:dyDescent="0.3">
      <c r="A120" s="88">
        <v>118</v>
      </c>
      <c r="B120" s="173">
        <v>71</v>
      </c>
      <c r="C120" s="159"/>
      <c r="D120" s="88" t="s">
        <v>509</v>
      </c>
      <c r="E120" s="88" t="s">
        <v>789</v>
      </c>
      <c r="F120" s="88" t="s">
        <v>868</v>
      </c>
      <c r="G120" s="88" t="s">
        <v>865</v>
      </c>
      <c r="H120" s="88">
        <v>310959741900003</v>
      </c>
      <c r="I120" s="88" t="s">
        <v>866</v>
      </c>
      <c r="J120" s="49">
        <v>1</v>
      </c>
      <c r="K120" s="49">
        <v>15</v>
      </c>
      <c r="L120" s="169">
        <f t="shared" si="4"/>
        <v>15</v>
      </c>
      <c r="M120" s="169">
        <f t="shared" si="5"/>
        <v>1</v>
      </c>
      <c r="N120" s="169">
        <f t="shared" si="6"/>
        <v>2.25</v>
      </c>
      <c r="O120" s="169">
        <f t="shared" si="7"/>
        <v>17.25</v>
      </c>
      <c r="Z120" s="219"/>
      <c r="AA120" s="219"/>
    </row>
    <row r="121" spans="1:27" x14ac:dyDescent="0.3">
      <c r="A121" s="88">
        <v>119</v>
      </c>
      <c r="B121" s="173">
        <v>71</v>
      </c>
      <c r="C121" s="159"/>
      <c r="D121" s="88" t="s">
        <v>509</v>
      </c>
      <c r="E121" s="88" t="s">
        <v>789</v>
      </c>
      <c r="F121" s="88" t="s">
        <v>869</v>
      </c>
      <c r="G121" s="88" t="s">
        <v>865</v>
      </c>
      <c r="H121" s="88">
        <v>310959741900003</v>
      </c>
      <c r="I121" s="88" t="s">
        <v>866</v>
      </c>
      <c r="J121" s="49">
        <v>1</v>
      </c>
      <c r="K121" s="49">
        <v>20</v>
      </c>
      <c r="L121" s="169">
        <f t="shared" si="4"/>
        <v>20</v>
      </c>
      <c r="M121" s="169">
        <f t="shared" si="5"/>
        <v>1</v>
      </c>
      <c r="N121" s="169">
        <f t="shared" si="6"/>
        <v>3</v>
      </c>
      <c r="O121" s="169">
        <f t="shared" si="7"/>
        <v>23</v>
      </c>
      <c r="Z121" s="219"/>
      <c r="AA121" s="219"/>
    </row>
    <row r="122" spans="1:27" x14ac:dyDescent="0.3">
      <c r="A122" s="88">
        <v>120</v>
      </c>
      <c r="B122" s="173">
        <v>71</v>
      </c>
      <c r="C122" s="159"/>
      <c r="D122" s="88" t="s">
        <v>509</v>
      </c>
      <c r="E122" s="88" t="s">
        <v>789</v>
      </c>
      <c r="F122" s="88" t="s">
        <v>870</v>
      </c>
      <c r="G122" s="88" t="s">
        <v>865</v>
      </c>
      <c r="H122" s="88">
        <v>310959741900003</v>
      </c>
      <c r="I122" s="88" t="s">
        <v>866</v>
      </c>
      <c r="J122" s="49">
        <v>1</v>
      </c>
      <c r="K122" s="49">
        <v>18</v>
      </c>
      <c r="L122" s="169">
        <f t="shared" si="4"/>
        <v>18</v>
      </c>
      <c r="M122" s="169">
        <f t="shared" si="5"/>
        <v>1</v>
      </c>
      <c r="N122" s="169">
        <f t="shared" si="6"/>
        <v>2.6999999999999997</v>
      </c>
      <c r="O122" s="169">
        <f t="shared" si="7"/>
        <v>20.7</v>
      </c>
      <c r="Z122" s="219"/>
      <c r="AA122" s="219"/>
    </row>
    <row r="123" spans="1:27" x14ac:dyDescent="0.3">
      <c r="A123" s="88">
        <v>121</v>
      </c>
      <c r="B123" s="173">
        <v>72</v>
      </c>
      <c r="C123" s="159"/>
      <c r="D123" s="88" t="s">
        <v>509</v>
      </c>
      <c r="E123" s="88" t="s">
        <v>789</v>
      </c>
      <c r="F123" s="88" t="s">
        <v>871</v>
      </c>
      <c r="G123" s="88" t="s">
        <v>872</v>
      </c>
      <c r="H123" s="88">
        <v>311372878600003</v>
      </c>
      <c r="I123" s="88" t="s">
        <v>866</v>
      </c>
      <c r="J123" s="49">
        <v>1</v>
      </c>
      <c r="K123" s="49">
        <v>47.83</v>
      </c>
      <c r="L123" s="169">
        <f t="shared" si="4"/>
        <v>47.83</v>
      </c>
      <c r="M123" s="169">
        <f t="shared" si="5"/>
        <v>1</v>
      </c>
      <c r="N123" s="169">
        <f t="shared" si="6"/>
        <v>7.1744999999999992</v>
      </c>
      <c r="O123" s="169">
        <f t="shared" si="7"/>
        <v>55.0045</v>
      </c>
      <c r="Z123" s="219"/>
      <c r="AA123" s="219"/>
    </row>
    <row r="124" spans="1:27" x14ac:dyDescent="0.3">
      <c r="A124" s="88">
        <v>122</v>
      </c>
      <c r="B124" s="173">
        <v>73</v>
      </c>
      <c r="C124" s="159"/>
      <c r="D124" s="88" t="s">
        <v>509</v>
      </c>
      <c r="E124" s="88" t="s">
        <v>763</v>
      </c>
      <c r="F124" s="88" t="s">
        <v>873</v>
      </c>
      <c r="G124" s="88" t="s">
        <v>874</v>
      </c>
      <c r="H124" s="88">
        <v>302239375600003</v>
      </c>
      <c r="I124" s="88" t="s">
        <v>718</v>
      </c>
      <c r="J124" s="49">
        <v>1</v>
      </c>
      <c r="K124" s="49">
        <v>130.44</v>
      </c>
      <c r="L124" s="169">
        <f t="shared" si="4"/>
        <v>130.44</v>
      </c>
      <c r="M124" s="169">
        <f t="shared" si="5"/>
        <v>1</v>
      </c>
      <c r="N124" s="169">
        <f t="shared" si="6"/>
        <v>19.565999999999999</v>
      </c>
      <c r="O124" s="169">
        <f t="shared" si="7"/>
        <v>150.006</v>
      </c>
      <c r="Z124" s="219"/>
      <c r="AA124" s="219"/>
    </row>
    <row r="125" spans="1:27" x14ac:dyDescent="0.3">
      <c r="A125" s="88">
        <v>123</v>
      </c>
      <c r="B125" s="173">
        <v>74</v>
      </c>
      <c r="C125" s="159"/>
      <c r="D125" s="88" t="s">
        <v>509</v>
      </c>
      <c r="E125" s="88" t="s">
        <v>763</v>
      </c>
      <c r="F125" s="88" t="s">
        <v>875</v>
      </c>
      <c r="G125" s="88" t="s">
        <v>876</v>
      </c>
      <c r="H125" s="88">
        <v>3003948584100000</v>
      </c>
      <c r="I125" s="88" t="s">
        <v>718</v>
      </c>
      <c r="J125" s="49">
        <v>1</v>
      </c>
      <c r="K125" s="49">
        <v>80</v>
      </c>
      <c r="L125" s="169">
        <f t="shared" si="4"/>
        <v>80</v>
      </c>
      <c r="M125" s="169">
        <f t="shared" si="5"/>
        <v>1</v>
      </c>
      <c r="N125" s="169">
        <f t="shared" si="6"/>
        <v>12</v>
      </c>
      <c r="O125" s="169">
        <f t="shared" si="7"/>
        <v>92</v>
      </c>
      <c r="Z125" s="219"/>
      <c r="AA125" s="219"/>
    </row>
    <row r="126" spans="1:27" x14ac:dyDescent="0.3">
      <c r="A126" s="88">
        <v>124</v>
      </c>
      <c r="B126" s="173">
        <v>74</v>
      </c>
      <c r="C126" s="159"/>
      <c r="D126" s="88" t="s">
        <v>509</v>
      </c>
      <c r="E126" s="88" t="s">
        <v>763</v>
      </c>
      <c r="F126" s="88" t="s">
        <v>877</v>
      </c>
      <c r="G126" s="88" t="s">
        <v>876</v>
      </c>
      <c r="H126" s="88">
        <v>3003948584100000</v>
      </c>
      <c r="I126" s="88" t="s">
        <v>718</v>
      </c>
      <c r="J126" s="49">
        <v>2</v>
      </c>
      <c r="K126" s="49">
        <v>100</v>
      </c>
      <c r="L126" s="169">
        <f t="shared" si="4"/>
        <v>200</v>
      </c>
      <c r="M126" s="169">
        <f t="shared" si="5"/>
        <v>1</v>
      </c>
      <c r="N126" s="169">
        <f t="shared" si="6"/>
        <v>30</v>
      </c>
      <c r="O126" s="169">
        <f t="shared" si="7"/>
        <v>230</v>
      </c>
      <c r="Z126" s="219"/>
      <c r="AA126" s="219"/>
    </row>
    <row r="127" spans="1:27" x14ac:dyDescent="0.3">
      <c r="A127" s="88">
        <v>125</v>
      </c>
      <c r="B127" s="173">
        <v>75</v>
      </c>
      <c r="C127" s="159"/>
      <c r="D127" s="88" t="s">
        <v>509</v>
      </c>
      <c r="E127" s="88" t="s">
        <v>763</v>
      </c>
      <c r="F127" s="88" t="s">
        <v>863</v>
      </c>
      <c r="G127" s="88" t="s">
        <v>864</v>
      </c>
      <c r="H127" s="88">
        <v>300210279300003</v>
      </c>
      <c r="I127" s="88" t="s">
        <v>848</v>
      </c>
      <c r="J127" s="49">
        <v>1</v>
      </c>
      <c r="K127" s="49">
        <v>187</v>
      </c>
      <c r="L127" s="169">
        <f t="shared" si="4"/>
        <v>187</v>
      </c>
      <c r="M127" s="169">
        <f t="shared" si="5"/>
        <v>1</v>
      </c>
      <c r="N127" s="169">
        <f t="shared" si="6"/>
        <v>28.05</v>
      </c>
      <c r="O127" s="169">
        <f t="shared" si="7"/>
        <v>215.05</v>
      </c>
      <c r="Z127" s="219"/>
      <c r="AA127" s="219"/>
    </row>
    <row r="128" spans="1:27" x14ac:dyDescent="0.3">
      <c r="A128" s="88">
        <v>126</v>
      </c>
      <c r="B128" s="173">
        <v>76</v>
      </c>
      <c r="C128" s="159"/>
      <c r="D128" s="88" t="s">
        <v>509</v>
      </c>
      <c r="E128" s="88" t="s">
        <v>763</v>
      </c>
      <c r="F128" s="88" t="s">
        <v>878</v>
      </c>
      <c r="G128" s="88" t="s">
        <v>880</v>
      </c>
      <c r="H128" s="88"/>
      <c r="I128" s="88"/>
      <c r="J128" s="26">
        <v>1</v>
      </c>
      <c r="K128" s="49">
        <v>150</v>
      </c>
      <c r="L128" s="169">
        <f>K128*J129</f>
        <v>150</v>
      </c>
      <c r="M128" s="169">
        <f t="shared" si="5"/>
        <v>0</v>
      </c>
      <c r="N128" s="169">
        <f t="shared" si="6"/>
        <v>0</v>
      </c>
      <c r="O128" s="169">
        <f t="shared" si="7"/>
        <v>150</v>
      </c>
      <c r="Z128" s="219"/>
      <c r="AA128" s="219"/>
    </row>
    <row r="129" spans="1:27" x14ac:dyDescent="0.3">
      <c r="A129" s="88">
        <v>127</v>
      </c>
      <c r="B129" s="173">
        <v>76</v>
      </c>
      <c r="C129" s="159"/>
      <c r="D129" s="88" t="s">
        <v>509</v>
      </c>
      <c r="E129" s="88" t="s">
        <v>763</v>
      </c>
      <c r="F129" s="88" t="s">
        <v>879</v>
      </c>
      <c r="G129" s="88" t="s">
        <v>880</v>
      </c>
      <c r="H129" s="88"/>
      <c r="I129" s="88"/>
      <c r="J129" s="49">
        <v>1</v>
      </c>
      <c r="K129" s="49">
        <v>100</v>
      </c>
      <c r="L129" s="169">
        <v>100</v>
      </c>
      <c r="M129" s="169"/>
      <c r="N129" s="169"/>
      <c r="O129" s="169">
        <v>100</v>
      </c>
      <c r="Z129" s="219"/>
      <c r="AA129" s="219"/>
    </row>
    <row r="130" spans="1:27" x14ac:dyDescent="0.3">
      <c r="A130" s="88">
        <v>128</v>
      </c>
      <c r="B130" s="173">
        <v>77</v>
      </c>
      <c r="C130" s="159"/>
      <c r="D130" s="88" t="s">
        <v>509</v>
      </c>
      <c r="E130" s="88" t="s">
        <v>763</v>
      </c>
      <c r="F130" s="88" t="s">
        <v>881</v>
      </c>
      <c r="G130" s="88" t="s">
        <v>882</v>
      </c>
      <c r="H130" s="88">
        <v>300353159100003</v>
      </c>
      <c r="I130" s="88" t="s">
        <v>718</v>
      </c>
      <c r="J130" s="49">
        <v>1</v>
      </c>
      <c r="K130" s="49">
        <v>74</v>
      </c>
      <c r="L130" s="169">
        <f t="shared" si="4"/>
        <v>74</v>
      </c>
      <c r="M130" s="169">
        <f t="shared" si="5"/>
        <v>1</v>
      </c>
      <c r="N130" s="169">
        <f t="shared" si="6"/>
        <v>11.1</v>
      </c>
      <c r="O130" s="169">
        <f t="shared" si="7"/>
        <v>85.1</v>
      </c>
      <c r="Z130" s="219"/>
      <c r="AA130" s="219"/>
    </row>
    <row r="131" spans="1:27" x14ac:dyDescent="0.3">
      <c r="A131" s="88">
        <v>129</v>
      </c>
      <c r="B131" s="173">
        <v>78</v>
      </c>
      <c r="C131" s="159"/>
      <c r="D131" s="88" t="s">
        <v>509</v>
      </c>
      <c r="E131" s="88" t="s">
        <v>1017</v>
      </c>
      <c r="F131" s="88" t="s">
        <v>883</v>
      </c>
      <c r="G131" s="88" t="s">
        <v>884</v>
      </c>
      <c r="H131" s="88"/>
      <c r="I131" s="88"/>
      <c r="J131" s="49">
        <v>1</v>
      </c>
      <c r="K131" s="49">
        <v>250</v>
      </c>
      <c r="L131" s="169">
        <f t="shared" si="4"/>
        <v>250</v>
      </c>
      <c r="M131" s="169">
        <f t="shared" si="5"/>
        <v>0</v>
      </c>
      <c r="N131" s="169">
        <f t="shared" si="6"/>
        <v>0</v>
      </c>
      <c r="O131" s="169">
        <f t="shared" si="7"/>
        <v>250</v>
      </c>
      <c r="Z131" s="219"/>
      <c r="AA131" s="219"/>
    </row>
    <row r="132" spans="1:27" x14ac:dyDescent="0.3">
      <c r="A132" s="88">
        <v>130</v>
      </c>
      <c r="B132" s="173">
        <v>79</v>
      </c>
      <c r="C132" s="159"/>
      <c r="D132" s="88" t="s">
        <v>509</v>
      </c>
      <c r="E132" s="88" t="s">
        <v>763</v>
      </c>
      <c r="F132" s="88" t="s">
        <v>885</v>
      </c>
      <c r="G132" s="88" t="s">
        <v>884</v>
      </c>
      <c r="H132" s="88"/>
      <c r="I132" s="88"/>
      <c r="J132" s="49">
        <v>1</v>
      </c>
      <c r="K132" s="49">
        <v>156</v>
      </c>
      <c r="L132" s="169">
        <f t="shared" ref="L132:L195" si="8">K132*J132</f>
        <v>156</v>
      </c>
      <c r="M132" s="169">
        <f t="shared" ref="M132:M195" si="9">IF(H132="",0,1)</f>
        <v>0</v>
      </c>
      <c r="N132" s="169">
        <f t="shared" ref="N132:N195" si="10">M132*L132*15%</f>
        <v>0</v>
      </c>
      <c r="O132" s="169">
        <f t="shared" ref="O132:O195" si="11">N132+L132</f>
        <v>156</v>
      </c>
      <c r="Z132" s="219"/>
      <c r="AA132" s="219"/>
    </row>
    <row r="133" spans="1:27" x14ac:dyDescent="0.3">
      <c r="A133" s="88">
        <v>131</v>
      </c>
      <c r="B133" s="173">
        <v>80</v>
      </c>
      <c r="C133" s="159"/>
      <c r="D133" s="88" t="s">
        <v>509</v>
      </c>
      <c r="E133" s="88" t="s">
        <v>760</v>
      </c>
      <c r="F133" s="88" t="s">
        <v>886</v>
      </c>
      <c r="G133" s="88" t="s">
        <v>887</v>
      </c>
      <c r="H133" s="88">
        <v>310384620100003</v>
      </c>
      <c r="I133" s="88"/>
      <c r="J133" s="49">
        <v>2</v>
      </c>
      <c r="K133" s="49">
        <v>20</v>
      </c>
      <c r="L133" s="169">
        <f t="shared" si="8"/>
        <v>40</v>
      </c>
      <c r="M133" s="169">
        <f t="shared" si="9"/>
        <v>1</v>
      </c>
      <c r="N133" s="169">
        <f t="shared" si="10"/>
        <v>6</v>
      </c>
      <c r="O133" s="169">
        <f t="shared" si="11"/>
        <v>46</v>
      </c>
      <c r="Z133" s="219"/>
      <c r="AA133" s="219"/>
    </row>
    <row r="134" spans="1:27" x14ac:dyDescent="0.3">
      <c r="A134" s="88">
        <v>132</v>
      </c>
      <c r="B134" s="173">
        <v>80</v>
      </c>
      <c r="C134" s="159"/>
      <c r="D134" s="88" t="s">
        <v>509</v>
      </c>
      <c r="E134" s="88" t="s">
        <v>760</v>
      </c>
      <c r="F134" s="88" t="s">
        <v>888</v>
      </c>
      <c r="G134" s="88" t="s">
        <v>887</v>
      </c>
      <c r="H134" s="88">
        <v>310384620100003</v>
      </c>
      <c r="I134" s="88"/>
      <c r="J134" s="49">
        <v>30</v>
      </c>
      <c r="K134" s="49">
        <v>0.43</v>
      </c>
      <c r="L134" s="169">
        <f t="shared" si="8"/>
        <v>12.9</v>
      </c>
      <c r="M134" s="169">
        <f t="shared" si="9"/>
        <v>1</v>
      </c>
      <c r="N134" s="169">
        <f t="shared" si="10"/>
        <v>1.9350000000000001</v>
      </c>
      <c r="O134" s="169">
        <f t="shared" si="11"/>
        <v>14.835000000000001</v>
      </c>
      <c r="Z134" s="219"/>
      <c r="AA134" s="219"/>
    </row>
    <row r="135" spans="1:27" x14ac:dyDescent="0.3">
      <c r="A135" s="88">
        <v>133</v>
      </c>
      <c r="B135" s="173">
        <v>81</v>
      </c>
      <c r="C135" s="159"/>
      <c r="D135" s="88" t="s">
        <v>509</v>
      </c>
      <c r="E135" s="88" t="s">
        <v>763</v>
      </c>
      <c r="F135" s="88" t="s">
        <v>889</v>
      </c>
      <c r="G135" s="88" t="s">
        <v>890</v>
      </c>
      <c r="H135" s="88">
        <v>310325950500003</v>
      </c>
      <c r="I135" s="88"/>
      <c r="J135" s="49">
        <v>2</v>
      </c>
      <c r="K135" s="49">
        <v>35</v>
      </c>
      <c r="L135" s="169">
        <f t="shared" si="8"/>
        <v>70</v>
      </c>
      <c r="M135" s="169">
        <f t="shared" si="9"/>
        <v>1</v>
      </c>
      <c r="N135" s="169">
        <f t="shared" si="10"/>
        <v>10.5</v>
      </c>
      <c r="O135" s="169">
        <f t="shared" si="11"/>
        <v>80.5</v>
      </c>
      <c r="Z135" s="219"/>
      <c r="AA135" s="219"/>
    </row>
    <row r="136" spans="1:27" x14ac:dyDescent="0.3">
      <c r="A136" s="88">
        <v>134</v>
      </c>
      <c r="B136" s="173">
        <v>82</v>
      </c>
      <c r="C136" s="159"/>
      <c r="D136" s="88" t="s">
        <v>509</v>
      </c>
      <c r="E136" s="88" t="s">
        <v>760</v>
      </c>
      <c r="F136" s="88" t="s">
        <v>891</v>
      </c>
      <c r="G136" s="88" t="s">
        <v>892</v>
      </c>
      <c r="H136" s="88">
        <v>310186680200003</v>
      </c>
      <c r="I136" s="88"/>
      <c r="J136" s="49">
        <v>3</v>
      </c>
      <c r="K136" s="49">
        <v>42</v>
      </c>
      <c r="L136" s="169">
        <f t="shared" si="8"/>
        <v>126</v>
      </c>
      <c r="M136" s="169">
        <f t="shared" si="9"/>
        <v>1</v>
      </c>
      <c r="N136" s="169">
        <f t="shared" si="10"/>
        <v>18.899999999999999</v>
      </c>
      <c r="O136" s="169">
        <f t="shared" si="11"/>
        <v>144.9</v>
      </c>
      <c r="Z136" s="219"/>
      <c r="AA136" s="219"/>
    </row>
    <row r="137" spans="1:27" x14ac:dyDescent="0.3">
      <c r="A137" s="88">
        <v>135</v>
      </c>
      <c r="B137" s="173">
        <v>83</v>
      </c>
      <c r="C137" s="159"/>
      <c r="D137" s="88" t="s">
        <v>509</v>
      </c>
      <c r="E137" s="88" t="s">
        <v>715</v>
      </c>
      <c r="F137" s="88" t="s">
        <v>796</v>
      </c>
      <c r="G137" s="88" t="s">
        <v>733</v>
      </c>
      <c r="H137" s="88">
        <v>31117212500003</v>
      </c>
      <c r="I137" s="88"/>
      <c r="J137" s="49">
        <v>4</v>
      </c>
      <c r="K137" s="49">
        <v>2.39</v>
      </c>
      <c r="L137" s="169">
        <f t="shared" si="8"/>
        <v>9.56</v>
      </c>
      <c r="M137" s="169">
        <f t="shared" si="9"/>
        <v>1</v>
      </c>
      <c r="N137" s="169">
        <f t="shared" si="10"/>
        <v>1.4339999999999999</v>
      </c>
      <c r="O137" s="169">
        <f t="shared" si="11"/>
        <v>10.994</v>
      </c>
      <c r="Z137" s="219"/>
      <c r="AA137" s="219"/>
    </row>
    <row r="138" spans="1:27" x14ac:dyDescent="0.3">
      <c r="A138" s="88">
        <v>136</v>
      </c>
      <c r="B138" s="173">
        <v>84</v>
      </c>
      <c r="C138" s="159"/>
      <c r="D138" s="88" t="s">
        <v>509</v>
      </c>
      <c r="E138" s="88" t="s">
        <v>736</v>
      </c>
      <c r="F138" s="88" t="s">
        <v>893</v>
      </c>
      <c r="G138" s="88" t="s">
        <v>894</v>
      </c>
      <c r="H138" s="88">
        <v>310283752400003</v>
      </c>
      <c r="I138" s="88"/>
      <c r="J138" s="49">
        <v>1</v>
      </c>
      <c r="K138" s="49">
        <v>4.3499999999999996</v>
      </c>
      <c r="L138" s="169">
        <f t="shared" si="8"/>
        <v>4.3499999999999996</v>
      </c>
      <c r="M138" s="169">
        <f t="shared" si="9"/>
        <v>1</v>
      </c>
      <c r="N138" s="169">
        <f t="shared" si="10"/>
        <v>0.65249999999999997</v>
      </c>
      <c r="O138" s="169">
        <f t="shared" si="11"/>
        <v>5.0024999999999995</v>
      </c>
      <c r="Z138" s="219"/>
      <c r="AA138" s="219"/>
    </row>
    <row r="139" spans="1:27" x14ac:dyDescent="0.3">
      <c r="A139" s="88">
        <v>137</v>
      </c>
      <c r="B139" s="173">
        <v>85</v>
      </c>
      <c r="C139" s="159"/>
      <c r="D139" s="88" t="s">
        <v>509</v>
      </c>
      <c r="E139" s="88" t="s">
        <v>740</v>
      </c>
      <c r="F139" s="88" t="s">
        <v>741</v>
      </c>
      <c r="G139" s="88" t="s">
        <v>742</v>
      </c>
      <c r="H139" s="88">
        <v>300498479600003</v>
      </c>
      <c r="I139" s="88" t="s">
        <v>848</v>
      </c>
      <c r="J139" s="49">
        <v>2</v>
      </c>
      <c r="K139" s="49">
        <v>1</v>
      </c>
      <c r="L139" s="169">
        <f t="shared" si="8"/>
        <v>2</v>
      </c>
      <c r="M139" s="169">
        <f t="shared" si="9"/>
        <v>1</v>
      </c>
      <c r="N139" s="169">
        <f t="shared" si="10"/>
        <v>0.3</v>
      </c>
      <c r="O139" s="169">
        <f t="shared" si="11"/>
        <v>2.2999999999999998</v>
      </c>
      <c r="Z139" s="219"/>
      <c r="AA139" s="219"/>
    </row>
    <row r="140" spans="1:27" x14ac:dyDescent="0.3">
      <c r="A140" s="88">
        <v>138</v>
      </c>
      <c r="B140" s="173">
        <v>86</v>
      </c>
      <c r="C140" s="159"/>
      <c r="D140" s="88" t="s">
        <v>509</v>
      </c>
      <c r="E140" s="175" t="s">
        <v>740</v>
      </c>
      <c r="F140" s="88" t="s">
        <v>741</v>
      </c>
      <c r="G140" s="88" t="s">
        <v>742</v>
      </c>
      <c r="H140" s="88">
        <v>300498479600003</v>
      </c>
      <c r="I140" s="88" t="s">
        <v>848</v>
      </c>
      <c r="J140" s="49">
        <v>2</v>
      </c>
      <c r="K140" s="49">
        <v>1</v>
      </c>
      <c r="L140" s="169">
        <f t="shared" si="8"/>
        <v>2</v>
      </c>
      <c r="M140" s="169">
        <f t="shared" si="9"/>
        <v>1</v>
      </c>
      <c r="N140" s="169">
        <f t="shared" si="10"/>
        <v>0.3</v>
      </c>
      <c r="O140" s="169">
        <f t="shared" si="11"/>
        <v>2.2999999999999998</v>
      </c>
      <c r="Z140" s="219"/>
      <c r="AA140" s="219"/>
    </row>
    <row r="141" spans="1:27" x14ac:dyDescent="0.3">
      <c r="A141" s="88">
        <v>139</v>
      </c>
      <c r="B141" s="173">
        <v>87</v>
      </c>
      <c r="C141" s="159"/>
      <c r="D141" s="88" t="s">
        <v>509</v>
      </c>
      <c r="E141" s="88" t="s">
        <v>740</v>
      </c>
      <c r="F141" s="88" t="s">
        <v>741</v>
      </c>
      <c r="G141" s="88" t="s">
        <v>742</v>
      </c>
      <c r="H141" s="88">
        <v>300498479600003</v>
      </c>
      <c r="I141" s="88" t="s">
        <v>848</v>
      </c>
      <c r="J141" s="49">
        <v>3</v>
      </c>
      <c r="K141" s="49">
        <v>1</v>
      </c>
      <c r="L141" s="169">
        <f t="shared" si="8"/>
        <v>3</v>
      </c>
      <c r="M141" s="169">
        <f t="shared" si="9"/>
        <v>1</v>
      </c>
      <c r="N141" s="169">
        <f t="shared" si="10"/>
        <v>0.44999999999999996</v>
      </c>
      <c r="O141" s="169">
        <f t="shared" si="11"/>
        <v>3.45</v>
      </c>
      <c r="Z141" s="219"/>
      <c r="AA141" s="219"/>
    </row>
    <row r="142" spans="1:27" x14ac:dyDescent="0.3">
      <c r="A142" s="88">
        <v>140</v>
      </c>
      <c r="B142" s="173">
        <v>88</v>
      </c>
      <c r="C142" s="159"/>
      <c r="D142" s="88" t="s">
        <v>509</v>
      </c>
      <c r="E142" s="88" t="s">
        <v>740</v>
      </c>
      <c r="F142" s="88" t="s">
        <v>793</v>
      </c>
      <c r="G142" s="88" t="s">
        <v>742</v>
      </c>
      <c r="H142" s="88">
        <v>300498479600003</v>
      </c>
      <c r="I142" s="88" t="s">
        <v>848</v>
      </c>
      <c r="J142" s="49">
        <v>1</v>
      </c>
      <c r="K142" s="49">
        <v>5</v>
      </c>
      <c r="L142" s="169">
        <f t="shared" si="8"/>
        <v>5</v>
      </c>
      <c r="M142" s="169">
        <f t="shared" si="9"/>
        <v>1</v>
      </c>
      <c r="N142" s="169">
        <f t="shared" si="10"/>
        <v>0.75</v>
      </c>
      <c r="O142" s="169">
        <f t="shared" si="11"/>
        <v>5.75</v>
      </c>
      <c r="Z142" s="219"/>
      <c r="AA142" s="219"/>
    </row>
    <row r="143" spans="1:27" x14ac:dyDescent="0.3">
      <c r="A143" s="88">
        <v>141</v>
      </c>
      <c r="B143" s="173">
        <v>89</v>
      </c>
      <c r="C143" s="159"/>
      <c r="D143" s="88" t="s">
        <v>509</v>
      </c>
      <c r="E143" s="88" t="s">
        <v>740</v>
      </c>
      <c r="F143" s="88" t="s">
        <v>741</v>
      </c>
      <c r="G143" s="88" t="s">
        <v>742</v>
      </c>
      <c r="H143" s="88">
        <v>300498479600003</v>
      </c>
      <c r="I143" s="88" t="s">
        <v>848</v>
      </c>
      <c r="J143" s="49">
        <v>4</v>
      </c>
      <c r="K143" s="49">
        <v>1</v>
      </c>
      <c r="L143" s="169">
        <f t="shared" si="8"/>
        <v>4</v>
      </c>
      <c r="M143" s="169">
        <f t="shared" si="9"/>
        <v>1</v>
      </c>
      <c r="N143" s="169">
        <f t="shared" si="10"/>
        <v>0.6</v>
      </c>
      <c r="O143" s="169">
        <f t="shared" si="11"/>
        <v>4.5999999999999996</v>
      </c>
      <c r="Z143" s="219"/>
      <c r="AA143" s="219"/>
    </row>
    <row r="144" spans="1:27" x14ac:dyDescent="0.3">
      <c r="A144" s="88">
        <v>142</v>
      </c>
      <c r="B144" s="173">
        <v>90</v>
      </c>
      <c r="C144" s="159"/>
      <c r="D144" s="88" t="s">
        <v>509</v>
      </c>
      <c r="E144" s="88" t="s">
        <v>715</v>
      </c>
      <c r="F144" s="88" t="s">
        <v>895</v>
      </c>
      <c r="G144" s="88" t="s">
        <v>801</v>
      </c>
      <c r="H144" s="88">
        <v>300272021500003</v>
      </c>
      <c r="I144" s="88"/>
      <c r="J144" s="49">
        <v>1</v>
      </c>
      <c r="K144" s="49">
        <v>5.22</v>
      </c>
      <c r="L144" s="169">
        <f t="shared" si="8"/>
        <v>5.22</v>
      </c>
      <c r="M144" s="169">
        <f t="shared" si="9"/>
        <v>1</v>
      </c>
      <c r="N144" s="169">
        <f t="shared" si="10"/>
        <v>0.78299999999999992</v>
      </c>
      <c r="O144" s="169">
        <f t="shared" si="11"/>
        <v>6.0030000000000001</v>
      </c>
      <c r="Z144" s="219"/>
      <c r="AA144" s="219"/>
    </row>
    <row r="145" spans="1:27" x14ac:dyDescent="0.3">
      <c r="A145" s="88">
        <v>143</v>
      </c>
      <c r="B145" s="173">
        <v>91</v>
      </c>
      <c r="C145" s="159"/>
      <c r="D145" s="88" t="s">
        <v>509</v>
      </c>
      <c r="E145" s="88" t="s">
        <v>722</v>
      </c>
      <c r="F145" s="88" t="s">
        <v>896</v>
      </c>
      <c r="G145" s="88" t="s">
        <v>801</v>
      </c>
      <c r="H145" s="88">
        <v>300272021500003</v>
      </c>
      <c r="I145" s="88"/>
      <c r="J145" s="49">
        <v>1</v>
      </c>
      <c r="K145" s="49">
        <v>8.6959999999999997</v>
      </c>
      <c r="L145" s="169">
        <f t="shared" si="8"/>
        <v>8.6959999999999997</v>
      </c>
      <c r="M145" s="169">
        <f t="shared" si="9"/>
        <v>1</v>
      </c>
      <c r="N145" s="169">
        <f t="shared" si="10"/>
        <v>1.3044</v>
      </c>
      <c r="O145" s="169">
        <f t="shared" si="11"/>
        <v>10.000399999999999</v>
      </c>
      <c r="Z145" s="219"/>
      <c r="AA145" s="219"/>
    </row>
    <row r="146" spans="1:27" x14ac:dyDescent="0.3">
      <c r="A146" s="88">
        <v>144</v>
      </c>
      <c r="B146" s="173">
        <v>92</v>
      </c>
      <c r="C146" s="159"/>
      <c r="D146" s="88" t="s">
        <v>509</v>
      </c>
      <c r="E146" s="88" t="s">
        <v>715</v>
      </c>
      <c r="F146" s="88" t="s">
        <v>897</v>
      </c>
      <c r="G146" s="88" t="s">
        <v>801</v>
      </c>
      <c r="H146" s="88">
        <v>300272021500003</v>
      </c>
      <c r="I146" s="88"/>
      <c r="J146" s="49">
        <v>19</v>
      </c>
      <c r="K146" s="49">
        <v>0.435</v>
      </c>
      <c r="L146" s="169">
        <f t="shared" si="8"/>
        <v>8.2650000000000006</v>
      </c>
      <c r="M146" s="169">
        <f t="shared" si="9"/>
        <v>1</v>
      </c>
      <c r="N146" s="169">
        <f t="shared" si="10"/>
        <v>1.2397500000000001</v>
      </c>
      <c r="O146" s="169">
        <f t="shared" si="11"/>
        <v>9.5047500000000014</v>
      </c>
      <c r="Z146" s="219"/>
      <c r="AA146" s="219"/>
    </row>
    <row r="147" spans="1:27" x14ac:dyDescent="0.3">
      <c r="A147" s="88">
        <v>145</v>
      </c>
      <c r="B147" s="173">
        <v>93</v>
      </c>
      <c r="C147" s="159"/>
      <c r="D147" s="88" t="s">
        <v>509</v>
      </c>
      <c r="E147" s="88" t="s">
        <v>708</v>
      </c>
      <c r="F147" s="88" t="s">
        <v>898</v>
      </c>
      <c r="G147" s="88" t="s">
        <v>745</v>
      </c>
      <c r="H147" s="88">
        <v>310928505700003</v>
      </c>
      <c r="I147" s="88" t="s">
        <v>739</v>
      </c>
      <c r="J147" s="49">
        <v>1</v>
      </c>
      <c r="K147" s="49">
        <v>14.31</v>
      </c>
      <c r="L147" s="169">
        <f t="shared" si="8"/>
        <v>14.31</v>
      </c>
      <c r="M147" s="169">
        <f t="shared" si="9"/>
        <v>1</v>
      </c>
      <c r="N147" s="169">
        <f t="shared" si="10"/>
        <v>2.1465000000000001</v>
      </c>
      <c r="O147" s="169">
        <f t="shared" si="11"/>
        <v>16.456500000000002</v>
      </c>
      <c r="Z147" s="219"/>
      <c r="AA147" s="219"/>
    </row>
    <row r="148" spans="1:27" x14ac:dyDescent="0.3">
      <c r="A148" s="88">
        <v>146</v>
      </c>
      <c r="B148" s="173">
        <v>93</v>
      </c>
      <c r="C148" s="159"/>
      <c r="D148" s="88" t="s">
        <v>509</v>
      </c>
      <c r="E148" s="88" t="s">
        <v>708</v>
      </c>
      <c r="F148" s="88" t="s">
        <v>899</v>
      </c>
      <c r="G148" s="88" t="s">
        <v>745</v>
      </c>
      <c r="H148" s="88">
        <v>310928505700003</v>
      </c>
      <c r="I148" s="88" t="s">
        <v>904</v>
      </c>
      <c r="J148" s="49">
        <v>6</v>
      </c>
      <c r="K148" s="49">
        <v>1</v>
      </c>
      <c r="L148" s="169">
        <f t="shared" si="8"/>
        <v>6</v>
      </c>
      <c r="M148" s="169">
        <f t="shared" si="9"/>
        <v>1</v>
      </c>
      <c r="N148" s="169">
        <f t="shared" si="10"/>
        <v>0.89999999999999991</v>
      </c>
      <c r="O148" s="169">
        <f t="shared" si="11"/>
        <v>6.9</v>
      </c>
      <c r="Z148" s="219"/>
      <c r="AA148" s="219"/>
    </row>
    <row r="149" spans="1:27" x14ac:dyDescent="0.3">
      <c r="A149" s="88">
        <v>147</v>
      </c>
      <c r="B149" s="173">
        <v>93</v>
      </c>
      <c r="C149" s="159"/>
      <c r="D149" s="88" t="s">
        <v>509</v>
      </c>
      <c r="E149" s="88" t="s">
        <v>708</v>
      </c>
      <c r="F149" s="88" t="s">
        <v>900</v>
      </c>
      <c r="G149" s="88" t="s">
        <v>745</v>
      </c>
      <c r="H149" s="88">
        <v>310928505700003</v>
      </c>
      <c r="I149" s="88" t="s">
        <v>729</v>
      </c>
      <c r="J149" s="49">
        <v>1</v>
      </c>
      <c r="K149" s="49">
        <v>3.65</v>
      </c>
      <c r="L149" s="169">
        <f t="shared" si="8"/>
        <v>3.65</v>
      </c>
      <c r="M149" s="169">
        <f t="shared" si="9"/>
        <v>1</v>
      </c>
      <c r="N149" s="169">
        <f t="shared" si="10"/>
        <v>0.54749999999999999</v>
      </c>
      <c r="O149" s="169">
        <f t="shared" si="11"/>
        <v>4.1974999999999998</v>
      </c>
      <c r="Z149" s="219"/>
      <c r="AA149" s="219"/>
    </row>
    <row r="150" spans="1:27" x14ac:dyDescent="0.3">
      <c r="A150" s="88">
        <v>148</v>
      </c>
      <c r="B150" s="173">
        <v>93</v>
      </c>
      <c r="C150" s="159"/>
      <c r="D150" s="88" t="s">
        <v>509</v>
      </c>
      <c r="E150" s="88" t="s">
        <v>708</v>
      </c>
      <c r="F150" s="88" t="s">
        <v>901</v>
      </c>
      <c r="G150" s="88" t="s">
        <v>745</v>
      </c>
      <c r="H150" s="88">
        <v>310928505700003</v>
      </c>
      <c r="I150" s="88" t="s">
        <v>729</v>
      </c>
      <c r="J150" s="49">
        <v>2</v>
      </c>
      <c r="K150" s="49">
        <v>4.2699999999999996</v>
      </c>
      <c r="L150" s="169">
        <f t="shared" si="8"/>
        <v>8.5399999999999991</v>
      </c>
      <c r="M150" s="169">
        <f t="shared" si="9"/>
        <v>1</v>
      </c>
      <c r="N150" s="169">
        <f t="shared" si="10"/>
        <v>1.2809999999999999</v>
      </c>
      <c r="O150" s="169">
        <f t="shared" si="11"/>
        <v>9.8209999999999997</v>
      </c>
      <c r="Z150" s="219"/>
      <c r="AA150" s="219"/>
    </row>
    <row r="151" spans="1:27" x14ac:dyDescent="0.3">
      <c r="A151" s="88">
        <v>149</v>
      </c>
      <c r="B151" s="173">
        <v>93</v>
      </c>
      <c r="C151" s="159"/>
      <c r="D151" s="88" t="s">
        <v>509</v>
      </c>
      <c r="E151" s="88" t="s">
        <v>708</v>
      </c>
      <c r="F151" s="88" t="s">
        <v>902</v>
      </c>
      <c r="G151" s="88" t="s">
        <v>745</v>
      </c>
      <c r="H151" s="88">
        <v>310928505700003</v>
      </c>
      <c r="I151" s="88" t="s">
        <v>729</v>
      </c>
      <c r="J151" s="49">
        <v>1</v>
      </c>
      <c r="K151" s="49">
        <v>4.05</v>
      </c>
      <c r="L151" s="169">
        <f t="shared" si="8"/>
        <v>4.05</v>
      </c>
      <c r="M151" s="169">
        <f t="shared" si="9"/>
        <v>1</v>
      </c>
      <c r="N151" s="169">
        <f t="shared" si="10"/>
        <v>0.60749999999999993</v>
      </c>
      <c r="O151" s="169">
        <f t="shared" si="11"/>
        <v>4.6574999999999998</v>
      </c>
      <c r="Z151" s="219"/>
      <c r="AA151" s="219"/>
    </row>
    <row r="152" spans="1:27" x14ac:dyDescent="0.3">
      <c r="A152" s="88">
        <v>150</v>
      </c>
      <c r="B152" s="173">
        <v>93</v>
      </c>
      <c r="C152" s="159"/>
      <c r="D152" s="88" t="s">
        <v>509</v>
      </c>
      <c r="E152" s="88" t="s">
        <v>708</v>
      </c>
      <c r="F152" s="88" t="s">
        <v>903</v>
      </c>
      <c r="G152" s="88" t="s">
        <v>745</v>
      </c>
      <c r="H152" s="88">
        <v>310928505700003</v>
      </c>
      <c r="I152" s="88" t="s">
        <v>729</v>
      </c>
      <c r="J152" s="49">
        <v>1</v>
      </c>
      <c r="K152" s="49">
        <v>4.38</v>
      </c>
      <c r="L152" s="169">
        <f t="shared" si="8"/>
        <v>4.38</v>
      </c>
      <c r="M152" s="169">
        <f t="shared" si="9"/>
        <v>1</v>
      </c>
      <c r="N152" s="169">
        <f t="shared" si="10"/>
        <v>0.65699999999999992</v>
      </c>
      <c r="O152" s="169">
        <f t="shared" si="11"/>
        <v>5.0369999999999999</v>
      </c>
      <c r="Z152" s="219"/>
      <c r="AA152" s="219"/>
    </row>
    <row r="153" spans="1:27" x14ac:dyDescent="0.3">
      <c r="A153" s="88">
        <v>151</v>
      </c>
      <c r="B153" s="173">
        <v>94</v>
      </c>
      <c r="C153" s="159"/>
      <c r="D153" s="88" t="s">
        <v>509</v>
      </c>
      <c r="E153" s="88" t="s">
        <v>708</v>
      </c>
      <c r="F153" s="88" t="s">
        <v>726</v>
      </c>
      <c r="G153" s="88" t="s">
        <v>727</v>
      </c>
      <c r="H153" s="88">
        <v>310937441700003</v>
      </c>
      <c r="I153" s="88" t="s">
        <v>729</v>
      </c>
      <c r="J153" s="49">
        <v>1</v>
      </c>
      <c r="K153" s="49">
        <v>0.87</v>
      </c>
      <c r="L153" s="169">
        <f t="shared" si="8"/>
        <v>0.87</v>
      </c>
      <c r="M153" s="169">
        <f t="shared" si="9"/>
        <v>1</v>
      </c>
      <c r="N153" s="169">
        <f t="shared" si="10"/>
        <v>0.1305</v>
      </c>
      <c r="O153" s="169">
        <f t="shared" si="11"/>
        <v>1.0004999999999999</v>
      </c>
      <c r="Z153" s="219"/>
      <c r="AA153" s="219"/>
    </row>
    <row r="154" spans="1:27" x14ac:dyDescent="0.3">
      <c r="A154" s="88">
        <v>152</v>
      </c>
      <c r="B154" s="173">
        <v>94</v>
      </c>
      <c r="C154" s="159"/>
      <c r="D154" s="88" t="s">
        <v>509</v>
      </c>
      <c r="E154" s="88" t="s">
        <v>708</v>
      </c>
      <c r="F154" s="88" t="s">
        <v>726</v>
      </c>
      <c r="G154" s="88" t="s">
        <v>727</v>
      </c>
      <c r="H154" s="88">
        <v>310937441700003</v>
      </c>
      <c r="I154" s="88" t="s">
        <v>729</v>
      </c>
      <c r="J154" s="49">
        <v>1</v>
      </c>
      <c r="K154" s="49">
        <v>0.87</v>
      </c>
      <c r="L154" s="169">
        <f t="shared" si="8"/>
        <v>0.87</v>
      </c>
      <c r="M154" s="169">
        <f t="shared" si="9"/>
        <v>1</v>
      </c>
      <c r="N154" s="169">
        <f t="shared" si="10"/>
        <v>0.1305</v>
      </c>
      <c r="O154" s="169">
        <f t="shared" si="11"/>
        <v>1.0004999999999999</v>
      </c>
      <c r="Z154" s="219"/>
      <c r="AA154" s="219"/>
    </row>
    <row r="155" spans="1:27" x14ac:dyDescent="0.3">
      <c r="A155" s="88">
        <v>153</v>
      </c>
      <c r="B155" s="173">
        <v>94</v>
      </c>
      <c r="C155" s="159"/>
      <c r="D155" s="88" t="s">
        <v>509</v>
      </c>
      <c r="E155" s="88" t="s">
        <v>708</v>
      </c>
      <c r="F155" s="88" t="s">
        <v>726</v>
      </c>
      <c r="G155" s="88" t="s">
        <v>727</v>
      </c>
      <c r="H155" s="88">
        <v>310937441700003</v>
      </c>
      <c r="I155" s="88" t="s">
        <v>729</v>
      </c>
      <c r="J155" s="49">
        <v>1</v>
      </c>
      <c r="K155" s="49">
        <v>0.87</v>
      </c>
      <c r="L155" s="169">
        <f t="shared" si="8"/>
        <v>0.87</v>
      </c>
      <c r="M155" s="169">
        <f t="shared" si="9"/>
        <v>1</v>
      </c>
      <c r="N155" s="169">
        <f t="shared" si="10"/>
        <v>0.1305</v>
      </c>
      <c r="O155" s="169">
        <f t="shared" si="11"/>
        <v>1.0004999999999999</v>
      </c>
      <c r="Z155" s="219"/>
      <c r="AA155" s="219"/>
    </row>
    <row r="156" spans="1:27" x14ac:dyDescent="0.3">
      <c r="A156" s="88">
        <v>154</v>
      </c>
      <c r="B156" s="173">
        <v>94</v>
      </c>
      <c r="C156" s="159"/>
      <c r="D156" s="88" t="s">
        <v>509</v>
      </c>
      <c r="E156" s="88" t="s">
        <v>708</v>
      </c>
      <c r="F156" s="88" t="s">
        <v>726</v>
      </c>
      <c r="G156" s="88" t="s">
        <v>727</v>
      </c>
      <c r="H156" s="88">
        <v>310937441700003</v>
      </c>
      <c r="I156" s="88" t="s">
        <v>729</v>
      </c>
      <c r="J156" s="49">
        <v>1</v>
      </c>
      <c r="K156" s="49">
        <v>0.87</v>
      </c>
      <c r="L156" s="169">
        <f t="shared" si="8"/>
        <v>0.87</v>
      </c>
      <c r="M156" s="169">
        <f t="shared" si="9"/>
        <v>1</v>
      </c>
      <c r="N156" s="169">
        <f t="shared" si="10"/>
        <v>0.1305</v>
      </c>
      <c r="O156" s="169">
        <f t="shared" si="11"/>
        <v>1.0004999999999999</v>
      </c>
      <c r="Z156" s="219"/>
      <c r="AA156" s="219"/>
    </row>
    <row r="157" spans="1:27" x14ac:dyDescent="0.3">
      <c r="A157" s="88">
        <v>155</v>
      </c>
      <c r="B157" s="173">
        <v>94</v>
      </c>
      <c r="C157" s="159"/>
      <c r="D157" s="88" t="s">
        <v>509</v>
      </c>
      <c r="E157" s="88" t="s">
        <v>708</v>
      </c>
      <c r="F157" s="88" t="s">
        <v>726</v>
      </c>
      <c r="G157" s="88" t="s">
        <v>727</v>
      </c>
      <c r="H157" s="88">
        <v>310937441700003</v>
      </c>
      <c r="I157" s="88" t="s">
        <v>729</v>
      </c>
      <c r="J157" s="49">
        <v>1</v>
      </c>
      <c r="K157" s="49">
        <v>0.87</v>
      </c>
      <c r="L157" s="169">
        <f t="shared" si="8"/>
        <v>0.87</v>
      </c>
      <c r="M157" s="169">
        <f t="shared" si="9"/>
        <v>1</v>
      </c>
      <c r="N157" s="169">
        <f t="shared" si="10"/>
        <v>0.1305</v>
      </c>
      <c r="O157" s="169">
        <f t="shared" si="11"/>
        <v>1.0004999999999999</v>
      </c>
      <c r="Z157" s="219"/>
      <c r="AA157" s="219"/>
    </row>
    <row r="158" spans="1:27" x14ac:dyDescent="0.3">
      <c r="A158" s="88">
        <v>156</v>
      </c>
      <c r="B158" s="173">
        <v>94</v>
      </c>
      <c r="C158" s="159"/>
      <c r="D158" s="88" t="s">
        <v>509</v>
      </c>
      <c r="E158" s="88" t="s">
        <v>708</v>
      </c>
      <c r="F158" s="88" t="s">
        <v>726</v>
      </c>
      <c r="G158" s="88" t="s">
        <v>727</v>
      </c>
      <c r="H158" s="88">
        <v>310937441700003</v>
      </c>
      <c r="I158" s="88" t="s">
        <v>729</v>
      </c>
      <c r="J158" s="49">
        <v>1</v>
      </c>
      <c r="K158" s="49">
        <v>0.87</v>
      </c>
      <c r="L158" s="169">
        <f t="shared" si="8"/>
        <v>0.87</v>
      </c>
      <c r="M158" s="169">
        <f t="shared" si="9"/>
        <v>1</v>
      </c>
      <c r="N158" s="169">
        <f t="shared" si="10"/>
        <v>0.1305</v>
      </c>
      <c r="O158" s="169">
        <f t="shared" si="11"/>
        <v>1.0004999999999999</v>
      </c>
      <c r="Z158" s="219"/>
      <c r="AA158" s="219"/>
    </row>
    <row r="159" spans="1:27" x14ac:dyDescent="0.3">
      <c r="A159" s="88">
        <v>157</v>
      </c>
      <c r="B159" s="173">
        <v>95</v>
      </c>
      <c r="C159" s="159"/>
      <c r="D159" s="88" t="s">
        <v>509</v>
      </c>
      <c r="E159" s="88" t="s">
        <v>740</v>
      </c>
      <c r="F159" s="88" t="s">
        <v>905</v>
      </c>
      <c r="G159" s="88" t="s">
        <v>906</v>
      </c>
      <c r="H159" s="88">
        <v>300844969700003</v>
      </c>
      <c r="I159" s="88" t="s">
        <v>718</v>
      </c>
      <c r="J159" s="49">
        <v>5</v>
      </c>
      <c r="K159" s="49">
        <v>0.87</v>
      </c>
      <c r="L159" s="169">
        <f t="shared" si="8"/>
        <v>4.3499999999999996</v>
      </c>
      <c r="M159" s="169">
        <f t="shared" si="9"/>
        <v>1</v>
      </c>
      <c r="N159" s="169">
        <f t="shared" si="10"/>
        <v>0.65249999999999997</v>
      </c>
      <c r="O159" s="169">
        <f t="shared" si="11"/>
        <v>5.0024999999999995</v>
      </c>
      <c r="Z159" s="219"/>
      <c r="AA159" s="219"/>
    </row>
    <row r="160" spans="1:27" x14ac:dyDescent="0.3">
      <c r="A160" s="88">
        <v>158</v>
      </c>
      <c r="B160" s="173">
        <v>96</v>
      </c>
      <c r="C160" s="159"/>
      <c r="D160" s="88" t="s">
        <v>509</v>
      </c>
      <c r="E160" s="88" t="s">
        <v>736</v>
      </c>
      <c r="F160" s="88" t="s">
        <v>907</v>
      </c>
      <c r="G160" s="88" t="s">
        <v>908</v>
      </c>
      <c r="H160" s="88">
        <v>300024438400003</v>
      </c>
      <c r="I160" s="88"/>
      <c r="J160" s="49">
        <v>1</v>
      </c>
      <c r="K160" s="49">
        <v>17.39</v>
      </c>
      <c r="L160" s="169">
        <f t="shared" si="8"/>
        <v>17.39</v>
      </c>
      <c r="M160" s="169">
        <f t="shared" si="9"/>
        <v>1</v>
      </c>
      <c r="N160" s="169">
        <f t="shared" si="10"/>
        <v>2.6084999999999998</v>
      </c>
      <c r="O160" s="169">
        <f t="shared" si="11"/>
        <v>19.9985</v>
      </c>
      <c r="Z160" s="219"/>
      <c r="AA160" s="219"/>
    </row>
    <row r="161" spans="1:27" x14ac:dyDescent="0.3">
      <c r="A161" s="88">
        <v>159</v>
      </c>
      <c r="B161" s="173">
        <v>97</v>
      </c>
      <c r="C161" s="159"/>
      <c r="D161" s="88" t="s">
        <v>509</v>
      </c>
      <c r="E161" s="88" t="s">
        <v>715</v>
      </c>
      <c r="F161" s="88" t="s">
        <v>909</v>
      </c>
      <c r="G161" s="88" t="s">
        <v>733</v>
      </c>
      <c r="H161" s="88">
        <v>311172172500003</v>
      </c>
      <c r="I161" s="88"/>
      <c r="J161" s="49">
        <v>1</v>
      </c>
      <c r="K161" s="49">
        <v>5.22</v>
      </c>
      <c r="L161" s="169">
        <f t="shared" si="8"/>
        <v>5.22</v>
      </c>
      <c r="M161" s="169">
        <f t="shared" si="9"/>
        <v>1</v>
      </c>
      <c r="N161" s="169">
        <f t="shared" si="10"/>
        <v>0.78299999999999992</v>
      </c>
      <c r="O161" s="169">
        <f t="shared" si="11"/>
        <v>6.0030000000000001</v>
      </c>
      <c r="Z161" s="219"/>
      <c r="AA161" s="219"/>
    </row>
    <row r="162" spans="1:27" x14ac:dyDescent="0.3">
      <c r="A162" s="88">
        <v>160</v>
      </c>
      <c r="B162" s="173">
        <v>98</v>
      </c>
      <c r="C162" s="159"/>
      <c r="D162" s="88" t="s">
        <v>509</v>
      </c>
      <c r="E162" s="88" t="s">
        <v>740</v>
      </c>
      <c r="F162" s="88" t="s">
        <v>741</v>
      </c>
      <c r="G162" s="88" t="s">
        <v>742</v>
      </c>
      <c r="H162" s="88">
        <v>300498479600003</v>
      </c>
      <c r="I162" s="88"/>
      <c r="J162" s="49">
        <v>5</v>
      </c>
      <c r="K162" s="49">
        <v>1</v>
      </c>
      <c r="L162" s="169">
        <f t="shared" si="8"/>
        <v>5</v>
      </c>
      <c r="M162" s="169">
        <f t="shared" si="9"/>
        <v>1</v>
      </c>
      <c r="N162" s="169">
        <f t="shared" si="10"/>
        <v>0.75</v>
      </c>
      <c r="O162" s="169">
        <f t="shared" si="11"/>
        <v>5.75</v>
      </c>
      <c r="Z162" s="219"/>
      <c r="AA162" s="219"/>
    </row>
    <row r="163" spans="1:27" x14ac:dyDescent="0.3">
      <c r="A163" s="88">
        <v>161</v>
      </c>
      <c r="B163" s="173">
        <v>99</v>
      </c>
      <c r="C163" s="159"/>
      <c r="D163" s="88" t="s">
        <v>509</v>
      </c>
      <c r="E163" s="88" t="s">
        <v>722</v>
      </c>
      <c r="F163" s="88" t="s">
        <v>910</v>
      </c>
      <c r="G163" s="88" t="s">
        <v>913</v>
      </c>
      <c r="H163" s="88">
        <v>311312387500003</v>
      </c>
      <c r="I163" s="88"/>
      <c r="J163" s="49">
        <v>1</v>
      </c>
      <c r="K163" s="49">
        <v>19.100000000000001</v>
      </c>
      <c r="L163" s="169">
        <f t="shared" si="8"/>
        <v>19.100000000000001</v>
      </c>
      <c r="M163" s="169">
        <f t="shared" si="9"/>
        <v>1</v>
      </c>
      <c r="N163" s="169">
        <f t="shared" si="10"/>
        <v>2.8650000000000002</v>
      </c>
      <c r="O163" s="169">
        <f t="shared" si="11"/>
        <v>21.965000000000003</v>
      </c>
      <c r="Z163" s="219"/>
      <c r="AA163" s="219"/>
    </row>
    <row r="164" spans="1:27" x14ac:dyDescent="0.3">
      <c r="A164" s="88">
        <v>162</v>
      </c>
      <c r="B164" s="173">
        <v>99</v>
      </c>
      <c r="C164" s="159"/>
      <c r="D164" s="88" t="s">
        <v>509</v>
      </c>
      <c r="E164" s="88" t="s">
        <v>722</v>
      </c>
      <c r="F164" s="88" t="s">
        <v>911</v>
      </c>
      <c r="G164" s="88" t="s">
        <v>913</v>
      </c>
      <c r="H164" s="88">
        <v>311312387500003</v>
      </c>
      <c r="I164" s="88"/>
      <c r="J164" s="49">
        <v>1</v>
      </c>
      <c r="K164" s="49">
        <v>10.4</v>
      </c>
      <c r="L164" s="169">
        <f t="shared" si="8"/>
        <v>10.4</v>
      </c>
      <c r="M164" s="169">
        <f t="shared" si="9"/>
        <v>1</v>
      </c>
      <c r="N164" s="169">
        <f t="shared" si="10"/>
        <v>1.56</v>
      </c>
      <c r="O164" s="169">
        <f t="shared" si="11"/>
        <v>11.96</v>
      </c>
      <c r="Z164" s="219"/>
      <c r="AA164" s="219"/>
    </row>
    <row r="165" spans="1:27" x14ac:dyDescent="0.3">
      <c r="A165" s="88">
        <v>163</v>
      </c>
      <c r="B165" s="173">
        <v>99</v>
      </c>
      <c r="C165" s="159"/>
      <c r="D165" s="88" t="s">
        <v>509</v>
      </c>
      <c r="E165" s="88" t="s">
        <v>722</v>
      </c>
      <c r="F165" s="88" t="s">
        <v>912</v>
      </c>
      <c r="G165" s="88" t="s">
        <v>913</v>
      </c>
      <c r="H165" s="88">
        <v>311312387500003</v>
      </c>
      <c r="I165" s="88"/>
      <c r="J165" s="49">
        <v>1</v>
      </c>
      <c r="K165" s="49">
        <v>12.2</v>
      </c>
      <c r="L165" s="169">
        <f t="shared" si="8"/>
        <v>12.2</v>
      </c>
      <c r="M165" s="169">
        <f t="shared" si="9"/>
        <v>1</v>
      </c>
      <c r="N165" s="169">
        <f t="shared" si="10"/>
        <v>1.8299999999999998</v>
      </c>
      <c r="O165" s="169">
        <f t="shared" si="11"/>
        <v>14.03</v>
      </c>
      <c r="Z165" s="219"/>
      <c r="AA165" s="219"/>
    </row>
    <row r="166" spans="1:27" x14ac:dyDescent="0.3">
      <c r="A166" s="88">
        <v>164</v>
      </c>
      <c r="B166" s="173">
        <v>100</v>
      </c>
      <c r="C166" s="159"/>
      <c r="D166" s="88" t="s">
        <v>509</v>
      </c>
      <c r="E166" s="88" t="s">
        <v>757</v>
      </c>
      <c r="F166" s="88" t="s">
        <v>914</v>
      </c>
      <c r="G166" s="88" t="s">
        <v>915</v>
      </c>
      <c r="H166" s="88"/>
      <c r="I166" s="88"/>
      <c r="J166" s="49">
        <v>2</v>
      </c>
      <c r="K166" s="49">
        <v>1</v>
      </c>
      <c r="L166" s="169">
        <f t="shared" si="8"/>
        <v>2</v>
      </c>
      <c r="M166" s="169">
        <f t="shared" si="9"/>
        <v>0</v>
      </c>
      <c r="N166" s="169">
        <f t="shared" si="10"/>
        <v>0</v>
      </c>
      <c r="O166" s="169">
        <f t="shared" si="11"/>
        <v>2</v>
      </c>
      <c r="Z166" s="219"/>
      <c r="AA166" s="219"/>
    </row>
    <row r="167" spans="1:27" x14ac:dyDescent="0.3">
      <c r="A167" s="88">
        <v>165</v>
      </c>
      <c r="B167" s="173">
        <v>101</v>
      </c>
      <c r="C167" s="159"/>
      <c r="D167" s="88" t="s">
        <v>509</v>
      </c>
      <c r="E167" s="88" t="s">
        <v>715</v>
      </c>
      <c r="F167" s="88" t="s">
        <v>916</v>
      </c>
      <c r="G167" s="88" t="s">
        <v>906</v>
      </c>
      <c r="H167" s="88">
        <v>300844969700003</v>
      </c>
      <c r="I167" s="88" t="s">
        <v>718</v>
      </c>
      <c r="J167" s="49">
        <v>1</v>
      </c>
      <c r="K167" s="49">
        <v>5.2169999999999996</v>
      </c>
      <c r="L167" s="169">
        <f t="shared" si="8"/>
        <v>5.2169999999999996</v>
      </c>
      <c r="M167" s="169">
        <f t="shared" si="9"/>
        <v>1</v>
      </c>
      <c r="N167" s="169">
        <f t="shared" si="10"/>
        <v>0.78254999999999997</v>
      </c>
      <c r="O167" s="169">
        <f t="shared" si="11"/>
        <v>5.9995499999999993</v>
      </c>
      <c r="Z167" s="219"/>
      <c r="AA167" s="219"/>
    </row>
    <row r="168" spans="1:27" x14ac:dyDescent="0.3">
      <c r="A168" s="88">
        <v>166</v>
      </c>
      <c r="B168" s="173">
        <v>102</v>
      </c>
      <c r="C168" s="159"/>
      <c r="D168" s="88" t="s">
        <v>509</v>
      </c>
      <c r="E168" s="88" t="s">
        <v>715</v>
      </c>
      <c r="F168" s="88" t="s">
        <v>917</v>
      </c>
      <c r="G168" s="88" t="s">
        <v>906</v>
      </c>
      <c r="H168" s="88">
        <v>300844969700003</v>
      </c>
      <c r="I168" s="88" t="s">
        <v>718</v>
      </c>
      <c r="J168" s="49">
        <v>1</v>
      </c>
      <c r="K168" s="49">
        <v>25.218</v>
      </c>
      <c r="L168" s="169">
        <f t="shared" si="8"/>
        <v>25.218</v>
      </c>
      <c r="M168" s="169">
        <f t="shared" si="9"/>
        <v>1</v>
      </c>
      <c r="N168" s="169">
        <f t="shared" si="10"/>
        <v>3.7826999999999997</v>
      </c>
      <c r="O168" s="169">
        <f t="shared" si="11"/>
        <v>29.000699999999998</v>
      </c>
      <c r="Z168" s="219"/>
      <c r="AA168" s="219"/>
    </row>
    <row r="169" spans="1:27" x14ac:dyDescent="0.3">
      <c r="A169" s="88">
        <v>167</v>
      </c>
      <c r="B169" s="173">
        <v>103</v>
      </c>
      <c r="C169" s="159"/>
      <c r="D169" s="88" t="s">
        <v>509</v>
      </c>
      <c r="E169" s="88" t="s">
        <v>715</v>
      </c>
      <c r="F169" s="88" t="s">
        <v>918</v>
      </c>
      <c r="G169" s="88" t="s">
        <v>906</v>
      </c>
      <c r="H169" s="88">
        <v>300844969700003</v>
      </c>
      <c r="I169" s="88" t="s">
        <v>718</v>
      </c>
      <c r="J169" s="49">
        <v>3</v>
      </c>
      <c r="K169" s="49">
        <v>2.17</v>
      </c>
      <c r="L169" s="169">
        <f t="shared" si="8"/>
        <v>6.51</v>
      </c>
      <c r="M169" s="169">
        <f t="shared" si="9"/>
        <v>1</v>
      </c>
      <c r="N169" s="169">
        <f t="shared" si="10"/>
        <v>0.97649999999999992</v>
      </c>
      <c r="O169" s="169">
        <f t="shared" si="11"/>
        <v>7.4864999999999995</v>
      </c>
      <c r="Z169" s="219"/>
      <c r="AA169" s="219"/>
    </row>
    <row r="170" spans="1:27" x14ac:dyDescent="0.3">
      <c r="A170" s="88">
        <v>168</v>
      </c>
      <c r="B170" s="173">
        <v>104</v>
      </c>
      <c r="C170" s="159"/>
      <c r="D170" s="88" t="s">
        <v>509</v>
      </c>
      <c r="E170" s="88" t="s">
        <v>715</v>
      </c>
      <c r="F170" s="88" t="s">
        <v>919</v>
      </c>
      <c r="G170" s="88" t="s">
        <v>906</v>
      </c>
      <c r="H170" s="88">
        <v>300844969700003</v>
      </c>
      <c r="I170" s="88" t="s">
        <v>718</v>
      </c>
      <c r="J170" s="49">
        <v>1</v>
      </c>
      <c r="K170" s="49">
        <v>36.527999999999999</v>
      </c>
      <c r="L170" s="169">
        <f t="shared" si="8"/>
        <v>36.527999999999999</v>
      </c>
      <c r="M170" s="169">
        <f t="shared" si="9"/>
        <v>1</v>
      </c>
      <c r="N170" s="169">
        <f t="shared" si="10"/>
        <v>5.4791999999999996</v>
      </c>
      <c r="O170" s="169">
        <f t="shared" si="11"/>
        <v>42.007199999999997</v>
      </c>
      <c r="Z170" s="219"/>
      <c r="AA170" s="219"/>
    </row>
    <row r="171" spans="1:27" x14ac:dyDescent="0.3">
      <c r="A171" s="88">
        <v>169</v>
      </c>
      <c r="B171" s="173">
        <v>105</v>
      </c>
      <c r="C171" s="159"/>
      <c r="D171" s="88" t="s">
        <v>509</v>
      </c>
      <c r="E171" s="88" t="s">
        <v>715</v>
      </c>
      <c r="F171" s="88" t="s">
        <v>920</v>
      </c>
      <c r="G171" s="88" t="s">
        <v>906</v>
      </c>
      <c r="H171" s="88">
        <v>300844969700003</v>
      </c>
      <c r="I171" s="88" t="s">
        <v>718</v>
      </c>
      <c r="J171" s="49">
        <v>2</v>
      </c>
      <c r="K171" s="49">
        <v>0.87</v>
      </c>
      <c r="L171" s="169">
        <f t="shared" si="8"/>
        <v>1.74</v>
      </c>
      <c r="M171" s="169">
        <f t="shared" si="9"/>
        <v>1</v>
      </c>
      <c r="N171" s="169">
        <f t="shared" si="10"/>
        <v>0.26100000000000001</v>
      </c>
      <c r="O171" s="169">
        <f t="shared" si="11"/>
        <v>2.0009999999999999</v>
      </c>
      <c r="Z171" s="219"/>
      <c r="AA171" s="219"/>
    </row>
    <row r="172" spans="1:27" x14ac:dyDescent="0.3">
      <c r="A172" s="88">
        <v>170</v>
      </c>
      <c r="B172" s="173">
        <v>106</v>
      </c>
      <c r="C172" s="159"/>
      <c r="D172" s="88" t="s">
        <v>509</v>
      </c>
      <c r="E172" s="88" t="s">
        <v>763</v>
      </c>
      <c r="F172" s="88" t="s">
        <v>921</v>
      </c>
      <c r="G172" s="88" t="s">
        <v>906</v>
      </c>
      <c r="H172" s="88">
        <v>300844969700003</v>
      </c>
      <c r="I172" s="88" t="s">
        <v>718</v>
      </c>
      <c r="J172" s="49">
        <v>1</v>
      </c>
      <c r="K172" s="49">
        <v>4.3479999999999999</v>
      </c>
      <c r="L172" s="169">
        <f t="shared" si="8"/>
        <v>4.3479999999999999</v>
      </c>
      <c r="M172" s="169">
        <f t="shared" si="9"/>
        <v>1</v>
      </c>
      <c r="N172" s="169">
        <f t="shared" si="10"/>
        <v>0.6522</v>
      </c>
      <c r="O172" s="169">
        <f t="shared" si="11"/>
        <v>5.0001999999999995</v>
      </c>
      <c r="Z172" s="219"/>
      <c r="AA172" s="219"/>
    </row>
    <row r="173" spans="1:27" x14ac:dyDescent="0.3">
      <c r="A173" s="88">
        <v>171</v>
      </c>
      <c r="B173" s="173">
        <v>107</v>
      </c>
      <c r="C173" s="159"/>
      <c r="D173" s="88" t="s">
        <v>509</v>
      </c>
      <c r="E173" s="88" t="s">
        <v>740</v>
      </c>
      <c r="F173" s="88" t="s">
        <v>741</v>
      </c>
      <c r="G173" s="88" t="s">
        <v>742</v>
      </c>
      <c r="H173" s="88">
        <v>300498479600003</v>
      </c>
      <c r="I173" s="88" t="s">
        <v>718</v>
      </c>
      <c r="J173" s="49">
        <v>3</v>
      </c>
      <c r="K173" s="49">
        <v>1</v>
      </c>
      <c r="L173" s="169">
        <f t="shared" si="8"/>
        <v>3</v>
      </c>
      <c r="M173" s="169">
        <f t="shared" si="9"/>
        <v>1</v>
      </c>
      <c r="N173" s="169">
        <f t="shared" si="10"/>
        <v>0.44999999999999996</v>
      </c>
      <c r="O173" s="169">
        <f t="shared" si="11"/>
        <v>3.45</v>
      </c>
      <c r="Z173" s="219"/>
      <c r="AA173" s="219"/>
    </row>
    <row r="174" spans="1:27" x14ac:dyDescent="0.3">
      <c r="A174" s="88">
        <v>172</v>
      </c>
      <c r="B174" s="173">
        <v>108</v>
      </c>
      <c r="C174" s="159"/>
      <c r="D174" s="88" t="s">
        <v>509</v>
      </c>
      <c r="E174" s="88" t="s">
        <v>740</v>
      </c>
      <c r="F174" s="88" t="s">
        <v>922</v>
      </c>
      <c r="G174" s="88" t="s">
        <v>742</v>
      </c>
      <c r="H174" s="88">
        <v>300498479600003</v>
      </c>
      <c r="I174" s="88" t="s">
        <v>718</v>
      </c>
      <c r="J174" s="49">
        <v>2</v>
      </c>
      <c r="K174" s="49">
        <v>1.3</v>
      </c>
      <c r="L174" s="169">
        <f t="shared" si="8"/>
        <v>2.6</v>
      </c>
      <c r="M174" s="169">
        <f t="shared" si="9"/>
        <v>1</v>
      </c>
      <c r="N174" s="169">
        <f t="shared" si="10"/>
        <v>0.39</v>
      </c>
      <c r="O174" s="169">
        <f t="shared" si="11"/>
        <v>2.99</v>
      </c>
      <c r="Z174" s="219"/>
      <c r="AA174" s="219"/>
    </row>
    <row r="175" spans="1:27" x14ac:dyDescent="0.3">
      <c r="A175" s="88">
        <v>173</v>
      </c>
      <c r="B175" s="173">
        <v>109</v>
      </c>
      <c r="C175" s="159"/>
      <c r="D175" s="88" t="s">
        <v>509</v>
      </c>
      <c r="E175" s="88" t="s">
        <v>740</v>
      </c>
      <c r="F175" s="88" t="s">
        <v>923</v>
      </c>
      <c r="G175" s="88" t="s">
        <v>742</v>
      </c>
      <c r="H175" s="88">
        <v>300498479600003</v>
      </c>
      <c r="I175" s="88" t="s">
        <v>718</v>
      </c>
      <c r="J175" s="49">
        <v>2</v>
      </c>
      <c r="K175" s="49">
        <v>1</v>
      </c>
      <c r="L175" s="169">
        <f t="shared" si="8"/>
        <v>2</v>
      </c>
      <c r="M175" s="169">
        <f t="shared" si="9"/>
        <v>1</v>
      </c>
      <c r="N175" s="169">
        <f t="shared" si="10"/>
        <v>0.3</v>
      </c>
      <c r="O175" s="169">
        <f t="shared" si="11"/>
        <v>2.2999999999999998</v>
      </c>
      <c r="Z175" s="219"/>
      <c r="AA175" s="219"/>
    </row>
    <row r="176" spans="1:27" x14ac:dyDescent="0.3">
      <c r="A176" s="88">
        <v>174</v>
      </c>
      <c r="B176" s="173">
        <v>110</v>
      </c>
      <c r="C176" s="159"/>
      <c r="D176" s="88" t="s">
        <v>509</v>
      </c>
      <c r="E176" s="88" t="s">
        <v>708</v>
      </c>
      <c r="F176" s="88" t="s">
        <v>731</v>
      </c>
      <c r="G176" s="88" t="s">
        <v>924</v>
      </c>
      <c r="H176" s="88"/>
      <c r="I176" s="88" t="s">
        <v>718</v>
      </c>
      <c r="J176" s="49">
        <v>7</v>
      </c>
      <c r="K176" s="49">
        <v>1</v>
      </c>
      <c r="L176" s="169">
        <f t="shared" si="8"/>
        <v>7</v>
      </c>
      <c r="M176" s="169">
        <f t="shared" si="9"/>
        <v>0</v>
      </c>
      <c r="N176" s="169">
        <f t="shared" si="10"/>
        <v>0</v>
      </c>
      <c r="O176" s="169">
        <f t="shared" si="11"/>
        <v>7</v>
      </c>
      <c r="Z176" s="219"/>
      <c r="AA176" s="219"/>
    </row>
    <row r="177" spans="1:27" x14ac:dyDescent="0.3">
      <c r="A177" s="88">
        <v>175</v>
      </c>
      <c r="B177" s="173">
        <v>111</v>
      </c>
      <c r="C177" s="159"/>
      <c r="D177" s="88" t="s">
        <v>509</v>
      </c>
      <c r="E177" s="88" t="s">
        <v>757</v>
      </c>
      <c r="F177" s="88" t="s">
        <v>925</v>
      </c>
      <c r="G177" s="88" t="s">
        <v>915</v>
      </c>
      <c r="H177" s="88"/>
      <c r="I177" s="88" t="s">
        <v>718</v>
      </c>
      <c r="J177" s="49">
        <v>1</v>
      </c>
      <c r="K177" s="49">
        <v>21</v>
      </c>
      <c r="L177" s="169">
        <f t="shared" si="8"/>
        <v>21</v>
      </c>
      <c r="M177" s="169">
        <f t="shared" si="9"/>
        <v>0</v>
      </c>
      <c r="N177" s="169">
        <f t="shared" si="10"/>
        <v>0</v>
      </c>
      <c r="O177" s="169">
        <f t="shared" si="11"/>
        <v>21</v>
      </c>
      <c r="Z177" s="219"/>
      <c r="AA177" s="219"/>
    </row>
    <row r="178" spans="1:27" x14ac:dyDescent="0.3">
      <c r="A178" s="88">
        <v>176</v>
      </c>
      <c r="B178" s="173">
        <v>112</v>
      </c>
      <c r="C178" s="159"/>
      <c r="D178" s="88" t="s">
        <v>509</v>
      </c>
      <c r="E178" s="88" t="s">
        <v>757</v>
      </c>
      <c r="F178" s="88" t="s">
        <v>825</v>
      </c>
      <c r="G178" s="88" t="s">
        <v>759</v>
      </c>
      <c r="H178" s="88">
        <v>311438314800003</v>
      </c>
      <c r="I178" s="88"/>
      <c r="J178" s="49">
        <v>1</v>
      </c>
      <c r="K178" s="49">
        <v>25</v>
      </c>
      <c r="L178" s="169">
        <f t="shared" si="8"/>
        <v>25</v>
      </c>
      <c r="M178" s="169">
        <f t="shared" si="9"/>
        <v>1</v>
      </c>
      <c r="N178" s="169">
        <f t="shared" si="10"/>
        <v>3.75</v>
      </c>
      <c r="O178" s="169">
        <f t="shared" si="11"/>
        <v>28.75</v>
      </c>
      <c r="Z178" s="219"/>
      <c r="AA178" s="219"/>
    </row>
    <row r="179" spans="1:27" x14ac:dyDescent="0.3">
      <c r="A179" s="88">
        <v>177</v>
      </c>
      <c r="B179" s="173">
        <v>112</v>
      </c>
      <c r="C179" s="159"/>
      <c r="D179" s="88" t="s">
        <v>509</v>
      </c>
      <c r="E179" s="88" t="s">
        <v>757</v>
      </c>
      <c r="F179" s="88" t="s">
        <v>926</v>
      </c>
      <c r="G179" s="88" t="s">
        <v>759</v>
      </c>
      <c r="H179" s="88">
        <v>311438314800003</v>
      </c>
      <c r="I179" s="88"/>
      <c r="J179" s="49">
        <v>1</v>
      </c>
      <c r="K179" s="49">
        <v>10</v>
      </c>
      <c r="L179" s="169">
        <f t="shared" si="8"/>
        <v>10</v>
      </c>
      <c r="M179" s="169">
        <f t="shared" si="9"/>
        <v>1</v>
      </c>
      <c r="N179" s="169">
        <f t="shared" si="10"/>
        <v>1.5</v>
      </c>
      <c r="O179" s="169">
        <f t="shared" si="11"/>
        <v>11.5</v>
      </c>
      <c r="Z179" s="219"/>
      <c r="AA179" s="219"/>
    </row>
    <row r="180" spans="1:27" x14ac:dyDescent="0.3">
      <c r="A180" s="88">
        <v>178</v>
      </c>
      <c r="B180" s="173">
        <v>112</v>
      </c>
      <c r="C180" s="159"/>
      <c r="D180" s="88" t="s">
        <v>509</v>
      </c>
      <c r="E180" s="88" t="s">
        <v>757</v>
      </c>
      <c r="F180" s="88" t="s">
        <v>927</v>
      </c>
      <c r="G180" s="88" t="s">
        <v>759</v>
      </c>
      <c r="H180" s="88">
        <v>311438314800003</v>
      </c>
      <c r="I180" s="88"/>
      <c r="J180" s="49">
        <v>1</v>
      </c>
      <c r="K180" s="49">
        <v>5</v>
      </c>
      <c r="L180" s="169">
        <f t="shared" si="8"/>
        <v>5</v>
      </c>
      <c r="M180" s="169">
        <f t="shared" si="9"/>
        <v>1</v>
      </c>
      <c r="N180" s="169">
        <f t="shared" si="10"/>
        <v>0.75</v>
      </c>
      <c r="O180" s="169">
        <f t="shared" si="11"/>
        <v>5.75</v>
      </c>
      <c r="Z180" s="219"/>
      <c r="AA180" s="219"/>
    </row>
    <row r="181" spans="1:27" x14ac:dyDescent="0.3">
      <c r="A181" s="88">
        <v>179</v>
      </c>
      <c r="B181" s="173">
        <v>112</v>
      </c>
      <c r="C181" s="159"/>
      <c r="D181" s="88" t="s">
        <v>509</v>
      </c>
      <c r="E181" s="88" t="s">
        <v>757</v>
      </c>
      <c r="F181" s="88" t="s">
        <v>928</v>
      </c>
      <c r="G181" s="88" t="s">
        <v>759</v>
      </c>
      <c r="H181" s="88">
        <v>311438314800003</v>
      </c>
      <c r="I181" s="88"/>
      <c r="J181" s="49">
        <v>1</v>
      </c>
      <c r="K181" s="49">
        <v>42</v>
      </c>
      <c r="L181" s="169">
        <f t="shared" si="8"/>
        <v>42</v>
      </c>
      <c r="M181" s="169">
        <f t="shared" si="9"/>
        <v>1</v>
      </c>
      <c r="N181" s="169">
        <f t="shared" si="10"/>
        <v>6.3</v>
      </c>
      <c r="O181" s="169">
        <f t="shared" si="11"/>
        <v>48.3</v>
      </c>
      <c r="Z181" s="219"/>
      <c r="AA181" s="219"/>
    </row>
    <row r="182" spans="1:27" x14ac:dyDescent="0.3">
      <c r="A182" s="88">
        <v>180</v>
      </c>
      <c r="B182" s="173">
        <v>112</v>
      </c>
      <c r="C182" s="159"/>
      <c r="D182" s="88" t="s">
        <v>509</v>
      </c>
      <c r="E182" s="88" t="s">
        <v>757</v>
      </c>
      <c r="F182" s="88" t="s">
        <v>929</v>
      </c>
      <c r="G182" s="88" t="s">
        <v>759</v>
      </c>
      <c r="H182" s="88">
        <v>311438314800003</v>
      </c>
      <c r="I182" s="88"/>
      <c r="J182" s="49">
        <v>1</v>
      </c>
      <c r="K182" s="49">
        <v>30</v>
      </c>
      <c r="L182" s="169">
        <f t="shared" si="8"/>
        <v>30</v>
      </c>
      <c r="M182" s="169">
        <f t="shared" si="9"/>
        <v>1</v>
      </c>
      <c r="N182" s="169">
        <f t="shared" si="10"/>
        <v>4.5</v>
      </c>
      <c r="O182" s="169">
        <f t="shared" si="11"/>
        <v>34.5</v>
      </c>
      <c r="Z182" s="219"/>
      <c r="AA182" s="219"/>
    </row>
    <row r="183" spans="1:27" x14ac:dyDescent="0.3">
      <c r="A183" s="88">
        <v>181</v>
      </c>
      <c r="B183" s="173">
        <v>112</v>
      </c>
      <c r="C183" s="159"/>
      <c r="D183" s="88" t="s">
        <v>509</v>
      </c>
      <c r="E183" s="88" t="s">
        <v>757</v>
      </c>
      <c r="F183" s="88" t="s">
        <v>930</v>
      </c>
      <c r="G183" s="88" t="s">
        <v>759</v>
      </c>
      <c r="H183" s="88">
        <v>311438314800003</v>
      </c>
      <c r="I183" s="88"/>
      <c r="J183" s="49">
        <v>1</v>
      </c>
      <c r="K183" s="49">
        <v>20</v>
      </c>
      <c r="L183" s="169">
        <f t="shared" si="8"/>
        <v>20</v>
      </c>
      <c r="M183" s="169">
        <f t="shared" si="9"/>
        <v>1</v>
      </c>
      <c r="N183" s="169">
        <f t="shared" si="10"/>
        <v>3</v>
      </c>
      <c r="O183" s="169">
        <f t="shared" si="11"/>
        <v>23</v>
      </c>
      <c r="Z183" s="219"/>
      <c r="AA183" s="219"/>
    </row>
    <row r="184" spans="1:27" x14ac:dyDescent="0.3">
      <c r="A184" s="88">
        <v>182</v>
      </c>
      <c r="B184" s="173">
        <v>112</v>
      </c>
      <c r="C184" s="159"/>
      <c r="D184" s="88" t="s">
        <v>509</v>
      </c>
      <c r="E184" s="88" t="s">
        <v>757</v>
      </c>
      <c r="F184" s="88" t="s">
        <v>931</v>
      </c>
      <c r="G184" s="88" t="s">
        <v>759</v>
      </c>
      <c r="H184" s="88">
        <v>311438314800003</v>
      </c>
      <c r="I184" s="88"/>
      <c r="J184" s="49">
        <v>5</v>
      </c>
      <c r="K184" s="49">
        <v>10</v>
      </c>
      <c r="L184" s="169">
        <f t="shared" si="8"/>
        <v>50</v>
      </c>
      <c r="M184" s="169">
        <f t="shared" si="9"/>
        <v>1</v>
      </c>
      <c r="N184" s="169">
        <f t="shared" si="10"/>
        <v>7.5</v>
      </c>
      <c r="O184" s="169">
        <f t="shared" si="11"/>
        <v>57.5</v>
      </c>
      <c r="Z184" s="219"/>
      <c r="AA184" s="219"/>
    </row>
    <row r="185" spans="1:27" x14ac:dyDescent="0.3">
      <c r="A185" s="88">
        <v>183</v>
      </c>
      <c r="B185" s="173">
        <v>112</v>
      </c>
      <c r="C185" s="159"/>
      <c r="D185" s="88" t="s">
        <v>509</v>
      </c>
      <c r="E185" s="88" t="s">
        <v>757</v>
      </c>
      <c r="F185" s="88" t="s">
        <v>932</v>
      </c>
      <c r="G185" s="88" t="s">
        <v>759</v>
      </c>
      <c r="H185" s="88">
        <v>311438314800003</v>
      </c>
      <c r="I185" s="88"/>
      <c r="J185" s="49">
        <v>2</v>
      </c>
      <c r="K185" s="49">
        <v>10</v>
      </c>
      <c r="L185" s="169">
        <f t="shared" si="8"/>
        <v>20</v>
      </c>
      <c r="M185" s="169">
        <f t="shared" si="9"/>
        <v>1</v>
      </c>
      <c r="N185" s="169">
        <f t="shared" si="10"/>
        <v>3</v>
      </c>
      <c r="O185" s="169">
        <f t="shared" si="11"/>
        <v>23</v>
      </c>
      <c r="Z185" s="219"/>
      <c r="AA185" s="219"/>
    </row>
    <row r="186" spans="1:27" x14ac:dyDescent="0.3">
      <c r="A186" s="88">
        <v>184</v>
      </c>
      <c r="B186" s="173">
        <v>112</v>
      </c>
      <c r="C186" s="159"/>
      <c r="D186" s="88" t="s">
        <v>509</v>
      </c>
      <c r="E186" s="88" t="s">
        <v>757</v>
      </c>
      <c r="F186" s="88" t="s">
        <v>933</v>
      </c>
      <c r="G186" s="88" t="s">
        <v>759</v>
      </c>
      <c r="H186" s="88">
        <v>311438314800003</v>
      </c>
      <c r="I186" s="88"/>
      <c r="J186" s="49">
        <v>1</v>
      </c>
      <c r="K186" s="49">
        <v>10</v>
      </c>
      <c r="L186" s="169">
        <f t="shared" si="8"/>
        <v>10</v>
      </c>
      <c r="M186" s="169">
        <f t="shared" si="9"/>
        <v>1</v>
      </c>
      <c r="N186" s="169">
        <f t="shared" si="10"/>
        <v>1.5</v>
      </c>
      <c r="O186" s="169">
        <f t="shared" si="11"/>
        <v>11.5</v>
      </c>
      <c r="Z186" s="219"/>
      <c r="AA186" s="219"/>
    </row>
    <row r="187" spans="1:27" x14ac:dyDescent="0.3">
      <c r="A187" s="88">
        <v>185</v>
      </c>
      <c r="B187" s="173">
        <v>113</v>
      </c>
      <c r="C187" s="159"/>
      <c r="D187" s="88" t="s">
        <v>509</v>
      </c>
      <c r="E187" s="88" t="s">
        <v>757</v>
      </c>
      <c r="F187" s="88" t="s">
        <v>934</v>
      </c>
      <c r="G187" s="88" t="s">
        <v>759</v>
      </c>
      <c r="H187" s="88">
        <v>311438314800003</v>
      </c>
      <c r="I187" s="88"/>
      <c r="J187" s="49">
        <v>1</v>
      </c>
      <c r="K187" s="49">
        <v>25</v>
      </c>
      <c r="L187" s="169">
        <f t="shared" si="8"/>
        <v>25</v>
      </c>
      <c r="M187" s="169">
        <f t="shared" si="9"/>
        <v>1</v>
      </c>
      <c r="N187" s="169">
        <f t="shared" si="10"/>
        <v>3.75</v>
      </c>
      <c r="O187" s="169">
        <f t="shared" si="11"/>
        <v>28.75</v>
      </c>
      <c r="Z187" s="219"/>
      <c r="AA187" s="219"/>
    </row>
    <row r="188" spans="1:27" x14ac:dyDescent="0.3">
      <c r="A188" s="88">
        <v>186</v>
      </c>
      <c r="B188" s="173">
        <v>114</v>
      </c>
      <c r="C188" s="159"/>
      <c r="D188" s="88" t="s">
        <v>509</v>
      </c>
      <c r="E188" s="88" t="s">
        <v>757</v>
      </c>
      <c r="F188" s="88" t="s">
        <v>934</v>
      </c>
      <c r="G188" s="88" t="s">
        <v>759</v>
      </c>
      <c r="H188" s="88">
        <v>311438314800003</v>
      </c>
      <c r="I188" s="88"/>
      <c r="J188" s="49">
        <v>1</v>
      </c>
      <c r="K188" s="49">
        <v>75</v>
      </c>
      <c r="L188" s="169">
        <f t="shared" si="8"/>
        <v>75</v>
      </c>
      <c r="M188" s="169">
        <f t="shared" si="9"/>
        <v>1</v>
      </c>
      <c r="N188" s="169">
        <f t="shared" si="10"/>
        <v>11.25</v>
      </c>
      <c r="O188" s="169">
        <f t="shared" si="11"/>
        <v>86.25</v>
      </c>
      <c r="Z188" s="219"/>
      <c r="AA188" s="219"/>
    </row>
    <row r="189" spans="1:27" x14ac:dyDescent="0.3">
      <c r="A189" s="88">
        <v>187</v>
      </c>
      <c r="B189" s="173">
        <v>115</v>
      </c>
      <c r="C189" s="159"/>
      <c r="D189" s="88" t="s">
        <v>509</v>
      </c>
      <c r="E189" s="88" t="s">
        <v>757</v>
      </c>
      <c r="F189" s="88" t="s">
        <v>934</v>
      </c>
      <c r="G189" s="88" t="s">
        <v>759</v>
      </c>
      <c r="H189" s="88">
        <v>311438314800003</v>
      </c>
      <c r="I189" s="88"/>
      <c r="J189" s="49">
        <v>1</v>
      </c>
      <c r="K189" s="49">
        <v>72</v>
      </c>
      <c r="L189" s="169">
        <f t="shared" si="8"/>
        <v>72</v>
      </c>
      <c r="M189" s="169">
        <f t="shared" si="9"/>
        <v>1</v>
      </c>
      <c r="N189" s="169">
        <f t="shared" si="10"/>
        <v>10.799999999999999</v>
      </c>
      <c r="O189" s="169">
        <f t="shared" si="11"/>
        <v>82.8</v>
      </c>
      <c r="Z189" s="219"/>
      <c r="AA189" s="219"/>
    </row>
    <row r="190" spans="1:27" x14ac:dyDescent="0.3">
      <c r="A190" s="88">
        <v>188</v>
      </c>
      <c r="B190" s="173">
        <v>116</v>
      </c>
      <c r="C190" s="159"/>
      <c r="D190" s="88" t="s">
        <v>509</v>
      </c>
      <c r="E190" s="88" t="s">
        <v>757</v>
      </c>
      <c r="F190" s="88" t="s">
        <v>934</v>
      </c>
      <c r="G190" s="88" t="s">
        <v>759</v>
      </c>
      <c r="H190" s="88">
        <v>311438314800003</v>
      </c>
      <c r="I190" s="88"/>
      <c r="J190" s="49">
        <v>1</v>
      </c>
      <c r="K190" s="49">
        <v>110</v>
      </c>
      <c r="L190" s="169">
        <f t="shared" si="8"/>
        <v>110</v>
      </c>
      <c r="M190" s="169">
        <f t="shared" si="9"/>
        <v>1</v>
      </c>
      <c r="N190" s="169">
        <f t="shared" si="10"/>
        <v>16.5</v>
      </c>
      <c r="O190" s="169">
        <f t="shared" si="11"/>
        <v>126.5</v>
      </c>
      <c r="Z190" s="219"/>
      <c r="AA190" s="219"/>
    </row>
    <row r="191" spans="1:27" x14ac:dyDescent="0.3">
      <c r="A191" s="88">
        <v>189</v>
      </c>
      <c r="B191" s="173">
        <v>117</v>
      </c>
      <c r="C191" s="159"/>
      <c r="D191" s="88" t="s">
        <v>509</v>
      </c>
      <c r="E191" s="88" t="s">
        <v>757</v>
      </c>
      <c r="F191" s="88" t="s">
        <v>935</v>
      </c>
      <c r="G191" s="88" t="s">
        <v>759</v>
      </c>
      <c r="H191" s="88">
        <v>311438314800003</v>
      </c>
      <c r="I191" s="88"/>
      <c r="J191" s="49">
        <v>1</v>
      </c>
      <c r="K191" s="49">
        <v>169</v>
      </c>
      <c r="L191" s="169">
        <f t="shared" si="8"/>
        <v>169</v>
      </c>
      <c r="M191" s="169">
        <f t="shared" si="9"/>
        <v>1</v>
      </c>
      <c r="N191" s="169">
        <f t="shared" si="10"/>
        <v>25.349999999999998</v>
      </c>
      <c r="O191" s="169">
        <f t="shared" si="11"/>
        <v>194.35</v>
      </c>
      <c r="Z191" s="219"/>
      <c r="AA191" s="219"/>
    </row>
    <row r="192" spans="1:27" x14ac:dyDescent="0.3">
      <c r="A192" s="88">
        <v>190</v>
      </c>
      <c r="B192" s="173">
        <v>118</v>
      </c>
      <c r="C192" s="159"/>
      <c r="D192" s="88" t="s">
        <v>509</v>
      </c>
      <c r="E192" s="88" t="s">
        <v>757</v>
      </c>
      <c r="F192" s="88" t="s">
        <v>934</v>
      </c>
      <c r="G192" s="88" t="s">
        <v>759</v>
      </c>
      <c r="H192" s="88">
        <v>311438314800003</v>
      </c>
      <c r="I192" s="88"/>
      <c r="J192" s="49">
        <v>1</v>
      </c>
      <c r="K192" s="49">
        <v>62</v>
      </c>
      <c r="L192" s="169">
        <f t="shared" si="8"/>
        <v>62</v>
      </c>
      <c r="M192" s="169">
        <f t="shared" si="9"/>
        <v>1</v>
      </c>
      <c r="N192" s="169">
        <f t="shared" si="10"/>
        <v>9.2999999999999989</v>
      </c>
      <c r="O192" s="169">
        <f t="shared" si="11"/>
        <v>71.3</v>
      </c>
      <c r="Z192" s="219"/>
      <c r="AA192" s="219"/>
    </row>
    <row r="193" spans="1:27" x14ac:dyDescent="0.3">
      <c r="A193" s="88">
        <v>191</v>
      </c>
      <c r="B193" s="173">
        <v>119</v>
      </c>
      <c r="C193" s="159"/>
      <c r="D193" s="88" t="s">
        <v>509</v>
      </c>
      <c r="E193" s="88" t="s">
        <v>763</v>
      </c>
      <c r="F193" s="88" t="s">
        <v>936</v>
      </c>
      <c r="G193" s="88" t="s">
        <v>864</v>
      </c>
      <c r="H193" s="88">
        <v>300210279300003</v>
      </c>
      <c r="I193" s="88"/>
      <c r="J193" s="49">
        <v>1</v>
      </c>
      <c r="K193" s="49">
        <v>215</v>
      </c>
      <c r="L193" s="169">
        <f t="shared" si="8"/>
        <v>215</v>
      </c>
      <c r="M193" s="169">
        <f t="shared" si="9"/>
        <v>1</v>
      </c>
      <c r="N193" s="169">
        <f t="shared" si="10"/>
        <v>32.25</v>
      </c>
      <c r="O193" s="169">
        <f t="shared" si="11"/>
        <v>247.25</v>
      </c>
      <c r="Z193" s="219"/>
      <c r="AA193" s="219"/>
    </row>
    <row r="194" spans="1:27" x14ac:dyDescent="0.3">
      <c r="A194" s="88">
        <v>192</v>
      </c>
      <c r="B194" s="173">
        <v>120</v>
      </c>
      <c r="C194" s="159"/>
      <c r="D194" s="88" t="s">
        <v>509</v>
      </c>
      <c r="E194" s="88" t="s">
        <v>763</v>
      </c>
      <c r="F194" s="88" t="s">
        <v>936</v>
      </c>
      <c r="G194" s="88" t="s">
        <v>864</v>
      </c>
      <c r="H194" s="88">
        <v>300210279300003</v>
      </c>
      <c r="I194" s="88"/>
      <c r="J194" s="49">
        <v>1</v>
      </c>
      <c r="K194" s="49">
        <v>215</v>
      </c>
      <c r="L194" s="169">
        <f t="shared" si="8"/>
        <v>215</v>
      </c>
      <c r="M194" s="169">
        <f t="shared" si="9"/>
        <v>1</v>
      </c>
      <c r="N194" s="169">
        <f t="shared" si="10"/>
        <v>32.25</v>
      </c>
      <c r="O194" s="169">
        <f t="shared" si="11"/>
        <v>247.25</v>
      </c>
      <c r="Z194" s="219"/>
      <c r="AA194" s="219"/>
    </row>
    <row r="195" spans="1:27" x14ac:dyDescent="0.3">
      <c r="A195" s="88">
        <v>193</v>
      </c>
      <c r="B195" s="173">
        <v>120</v>
      </c>
      <c r="C195" s="159"/>
      <c r="D195" s="88" t="s">
        <v>509</v>
      </c>
      <c r="E195" s="88" t="s">
        <v>1017</v>
      </c>
      <c r="F195" s="88" t="s">
        <v>937</v>
      </c>
      <c r="G195" s="88" t="s">
        <v>884</v>
      </c>
      <c r="H195" s="88"/>
      <c r="I195" s="88"/>
      <c r="J195" s="49">
        <v>1</v>
      </c>
      <c r="K195" s="49">
        <v>500</v>
      </c>
      <c r="L195" s="169">
        <f t="shared" si="8"/>
        <v>500</v>
      </c>
      <c r="M195" s="169">
        <f t="shared" si="9"/>
        <v>0</v>
      </c>
      <c r="N195" s="169">
        <f t="shared" si="10"/>
        <v>0</v>
      </c>
      <c r="O195" s="169">
        <f t="shared" si="11"/>
        <v>500</v>
      </c>
      <c r="Z195" s="219"/>
      <c r="AA195" s="219"/>
    </row>
    <row r="196" spans="1:27" x14ac:dyDescent="0.3">
      <c r="A196" s="88">
        <v>194</v>
      </c>
      <c r="B196" s="173">
        <v>121</v>
      </c>
      <c r="C196" s="159"/>
      <c r="D196" s="88" t="s">
        <v>509</v>
      </c>
      <c r="E196" s="88" t="s">
        <v>763</v>
      </c>
      <c r="F196" s="88" t="s">
        <v>938</v>
      </c>
      <c r="G196" s="88" t="s">
        <v>864</v>
      </c>
      <c r="H196" s="88">
        <v>300210279300003</v>
      </c>
      <c r="I196" s="88"/>
      <c r="J196" s="49">
        <v>1</v>
      </c>
      <c r="K196" s="49">
        <v>75</v>
      </c>
      <c r="L196" s="169">
        <f t="shared" ref="L196:L259" si="12">K196*J196</f>
        <v>75</v>
      </c>
      <c r="M196" s="169">
        <f t="shared" ref="M196:M259" si="13">IF(H196="",0,1)</f>
        <v>1</v>
      </c>
      <c r="N196" s="169">
        <f t="shared" ref="N196:N259" si="14">M196*L196*15%</f>
        <v>11.25</v>
      </c>
      <c r="O196" s="169">
        <f t="shared" ref="O196:O259" si="15">N196+L196</f>
        <v>86.25</v>
      </c>
      <c r="Z196" s="219"/>
      <c r="AA196" s="219"/>
    </row>
    <row r="197" spans="1:27" x14ac:dyDescent="0.3">
      <c r="A197" s="88">
        <v>195</v>
      </c>
      <c r="B197" s="173">
        <v>123</v>
      </c>
      <c r="C197" s="159"/>
      <c r="D197" s="88" t="s">
        <v>509</v>
      </c>
      <c r="E197" s="88" t="s">
        <v>763</v>
      </c>
      <c r="F197" s="88" t="s">
        <v>939</v>
      </c>
      <c r="G197" s="88" t="s">
        <v>864</v>
      </c>
      <c r="H197" s="88">
        <v>300210279300003</v>
      </c>
      <c r="I197" s="88"/>
      <c r="J197" s="49">
        <v>1</v>
      </c>
      <c r="K197" s="49">
        <v>265</v>
      </c>
      <c r="L197" s="169">
        <f t="shared" si="12"/>
        <v>265</v>
      </c>
      <c r="M197" s="169">
        <f t="shared" si="13"/>
        <v>1</v>
      </c>
      <c r="N197" s="169">
        <f t="shared" si="14"/>
        <v>39.75</v>
      </c>
      <c r="O197" s="169">
        <f t="shared" si="15"/>
        <v>304.75</v>
      </c>
      <c r="Z197" s="219"/>
      <c r="AA197" s="219"/>
    </row>
    <row r="198" spans="1:27" x14ac:dyDescent="0.3">
      <c r="A198" s="88">
        <v>196</v>
      </c>
      <c r="B198" s="173">
        <v>124</v>
      </c>
      <c r="C198" s="159"/>
      <c r="D198" s="88" t="s">
        <v>509</v>
      </c>
      <c r="E198" s="88" t="s">
        <v>763</v>
      </c>
      <c r="F198" s="88" t="s">
        <v>940</v>
      </c>
      <c r="G198" s="88" t="s">
        <v>864</v>
      </c>
      <c r="H198" s="88">
        <v>300210279300003</v>
      </c>
      <c r="I198" s="88"/>
      <c r="J198" s="49">
        <v>1</v>
      </c>
      <c r="K198" s="49">
        <v>170</v>
      </c>
      <c r="L198" s="169">
        <f t="shared" si="12"/>
        <v>170</v>
      </c>
      <c r="M198" s="169">
        <f t="shared" si="13"/>
        <v>1</v>
      </c>
      <c r="N198" s="169">
        <f t="shared" si="14"/>
        <v>25.5</v>
      </c>
      <c r="O198" s="169">
        <f t="shared" si="15"/>
        <v>195.5</v>
      </c>
      <c r="Z198" s="219"/>
      <c r="AA198" s="219"/>
    </row>
    <row r="199" spans="1:27" x14ac:dyDescent="0.3">
      <c r="A199" s="88">
        <v>197</v>
      </c>
      <c r="B199" s="173">
        <v>125</v>
      </c>
      <c r="C199" s="159"/>
      <c r="D199" s="88" t="s">
        <v>509</v>
      </c>
      <c r="E199" s="88" t="s">
        <v>763</v>
      </c>
      <c r="F199" s="88" t="s">
        <v>941</v>
      </c>
      <c r="G199" s="88" t="s">
        <v>942</v>
      </c>
      <c r="H199" s="88">
        <v>302022718600003</v>
      </c>
      <c r="I199" s="88"/>
      <c r="J199" s="49">
        <v>1</v>
      </c>
      <c r="K199" s="49">
        <v>143</v>
      </c>
      <c r="L199" s="169">
        <f t="shared" si="12"/>
        <v>143</v>
      </c>
      <c r="M199" s="169">
        <f t="shared" si="13"/>
        <v>1</v>
      </c>
      <c r="N199" s="169">
        <f t="shared" si="14"/>
        <v>21.45</v>
      </c>
      <c r="O199" s="169">
        <f t="shared" si="15"/>
        <v>164.45</v>
      </c>
      <c r="Z199" s="219"/>
      <c r="AA199" s="219"/>
    </row>
    <row r="200" spans="1:27" x14ac:dyDescent="0.3">
      <c r="A200" s="88">
        <v>198</v>
      </c>
      <c r="B200" s="173">
        <v>126</v>
      </c>
      <c r="C200" s="159"/>
      <c r="D200" s="88" t="s">
        <v>509</v>
      </c>
      <c r="E200" s="88" t="s">
        <v>757</v>
      </c>
      <c r="F200" s="88" t="s">
        <v>943</v>
      </c>
      <c r="G200" s="88" t="s">
        <v>944</v>
      </c>
      <c r="H200" s="88">
        <v>310147158500003</v>
      </c>
      <c r="I200" s="88"/>
      <c r="J200" s="49">
        <v>3</v>
      </c>
      <c r="K200" s="49">
        <v>42.17</v>
      </c>
      <c r="L200" s="169">
        <f t="shared" si="12"/>
        <v>126.51</v>
      </c>
      <c r="M200" s="169">
        <f t="shared" si="13"/>
        <v>1</v>
      </c>
      <c r="N200" s="169">
        <f t="shared" si="14"/>
        <v>18.976500000000001</v>
      </c>
      <c r="O200" s="169">
        <f t="shared" si="15"/>
        <v>145.48650000000001</v>
      </c>
      <c r="Z200" s="219"/>
      <c r="AA200" s="219"/>
    </row>
    <row r="201" spans="1:27" x14ac:dyDescent="0.3">
      <c r="A201" s="88">
        <v>199</v>
      </c>
      <c r="B201" s="173">
        <v>127</v>
      </c>
      <c r="C201" s="159"/>
      <c r="D201" s="88" t="s">
        <v>509</v>
      </c>
      <c r="E201" s="88" t="s">
        <v>715</v>
      </c>
      <c r="F201" s="88" t="s">
        <v>945</v>
      </c>
      <c r="G201" s="88" t="s">
        <v>797</v>
      </c>
      <c r="H201" s="88">
        <v>300483706400003</v>
      </c>
      <c r="I201" s="88"/>
      <c r="J201" s="49">
        <v>1</v>
      </c>
      <c r="K201" s="49">
        <v>4.34</v>
      </c>
      <c r="L201" s="169">
        <f t="shared" si="12"/>
        <v>4.34</v>
      </c>
      <c r="M201" s="169">
        <f t="shared" si="13"/>
        <v>1</v>
      </c>
      <c r="N201" s="169">
        <f t="shared" si="14"/>
        <v>0.65099999999999991</v>
      </c>
      <c r="O201" s="169">
        <f t="shared" si="15"/>
        <v>4.9909999999999997</v>
      </c>
      <c r="Z201" s="219"/>
      <c r="AA201" s="219"/>
    </row>
    <row r="202" spans="1:27" x14ac:dyDescent="0.3">
      <c r="A202" s="88">
        <v>200</v>
      </c>
      <c r="B202" s="173">
        <v>128</v>
      </c>
      <c r="C202" s="159"/>
      <c r="D202" s="88" t="s">
        <v>509</v>
      </c>
      <c r="E202" s="88" t="s">
        <v>715</v>
      </c>
      <c r="F202" s="88" t="s">
        <v>795</v>
      </c>
      <c r="G202" s="88" t="s">
        <v>797</v>
      </c>
      <c r="H202" s="88">
        <v>300483706400003</v>
      </c>
      <c r="I202" s="88"/>
      <c r="J202" s="49">
        <v>1</v>
      </c>
      <c r="K202" s="49">
        <v>33.04</v>
      </c>
      <c r="L202" s="169">
        <f t="shared" si="12"/>
        <v>33.04</v>
      </c>
      <c r="M202" s="169">
        <f t="shared" si="13"/>
        <v>1</v>
      </c>
      <c r="N202" s="169">
        <f t="shared" si="14"/>
        <v>4.9559999999999995</v>
      </c>
      <c r="O202" s="169">
        <f t="shared" si="15"/>
        <v>37.995999999999995</v>
      </c>
      <c r="Z202" s="219"/>
      <c r="AA202" s="219"/>
    </row>
    <row r="203" spans="1:27" x14ac:dyDescent="0.3">
      <c r="A203" s="88">
        <v>201</v>
      </c>
      <c r="B203" s="173">
        <v>129</v>
      </c>
      <c r="C203" s="159"/>
      <c r="D203" s="88" t="s">
        <v>509</v>
      </c>
      <c r="E203" s="88" t="s">
        <v>715</v>
      </c>
      <c r="F203" s="88" t="s">
        <v>946</v>
      </c>
      <c r="G203" s="88" t="s">
        <v>797</v>
      </c>
      <c r="H203" s="88">
        <v>300483706400003</v>
      </c>
      <c r="I203" s="88"/>
      <c r="J203" s="49">
        <v>1</v>
      </c>
      <c r="K203" s="49">
        <v>49.56</v>
      </c>
      <c r="L203" s="169">
        <f t="shared" si="12"/>
        <v>49.56</v>
      </c>
      <c r="M203" s="169">
        <f t="shared" si="13"/>
        <v>1</v>
      </c>
      <c r="N203" s="169">
        <f t="shared" si="14"/>
        <v>7.4340000000000002</v>
      </c>
      <c r="O203" s="169">
        <f t="shared" si="15"/>
        <v>56.994</v>
      </c>
      <c r="Z203" s="219"/>
      <c r="AA203" s="219"/>
    </row>
    <row r="204" spans="1:27" x14ac:dyDescent="0.3">
      <c r="A204" s="88">
        <v>202</v>
      </c>
      <c r="B204" s="173">
        <v>130</v>
      </c>
      <c r="C204" s="159"/>
      <c r="D204" s="88" t="s">
        <v>509</v>
      </c>
      <c r="E204" s="88" t="s">
        <v>715</v>
      </c>
      <c r="F204" s="88" t="s">
        <v>947</v>
      </c>
      <c r="G204" s="88" t="s">
        <v>797</v>
      </c>
      <c r="H204" s="88">
        <v>300483706400003</v>
      </c>
      <c r="I204" s="88"/>
      <c r="J204" s="49">
        <v>1</v>
      </c>
      <c r="K204" s="49">
        <v>12.17</v>
      </c>
      <c r="L204" s="169">
        <f t="shared" si="12"/>
        <v>12.17</v>
      </c>
      <c r="M204" s="169">
        <f t="shared" si="13"/>
        <v>1</v>
      </c>
      <c r="N204" s="169">
        <f t="shared" si="14"/>
        <v>1.8254999999999999</v>
      </c>
      <c r="O204" s="169">
        <f t="shared" si="15"/>
        <v>13.9955</v>
      </c>
      <c r="Z204" s="219"/>
      <c r="AA204" s="219"/>
    </row>
    <row r="205" spans="1:27" x14ac:dyDescent="0.3">
      <c r="A205" s="88">
        <v>203</v>
      </c>
      <c r="B205" s="173">
        <v>131</v>
      </c>
      <c r="C205" s="159"/>
      <c r="D205" s="88" t="s">
        <v>509</v>
      </c>
      <c r="E205" s="88" t="s">
        <v>715</v>
      </c>
      <c r="F205" s="88" t="s">
        <v>751</v>
      </c>
      <c r="G205" s="88" t="s">
        <v>906</v>
      </c>
      <c r="H205" s="88">
        <v>300844969700003</v>
      </c>
      <c r="I205" s="88"/>
      <c r="J205" s="49">
        <v>1</v>
      </c>
      <c r="K205" s="49">
        <v>4.3479999999999999</v>
      </c>
      <c r="L205" s="169">
        <f t="shared" si="12"/>
        <v>4.3479999999999999</v>
      </c>
      <c r="M205" s="169">
        <f t="shared" si="13"/>
        <v>1</v>
      </c>
      <c r="N205" s="169">
        <f t="shared" si="14"/>
        <v>0.6522</v>
      </c>
      <c r="O205" s="169">
        <f t="shared" si="15"/>
        <v>5.0001999999999995</v>
      </c>
      <c r="Z205" s="219"/>
      <c r="AA205" s="219"/>
    </row>
    <row r="206" spans="1:27" x14ac:dyDescent="0.3">
      <c r="A206" s="88">
        <v>204</v>
      </c>
      <c r="B206" s="173">
        <v>132</v>
      </c>
      <c r="C206" s="159"/>
      <c r="D206" s="88" t="s">
        <v>509</v>
      </c>
      <c r="E206" s="88" t="s">
        <v>715</v>
      </c>
      <c r="F206" s="88" t="s">
        <v>948</v>
      </c>
      <c r="G206" s="88" t="s">
        <v>733</v>
      </c>
      <c r="H206" s="88">
        <v>311172172500000</v>
      </c>
      <c r="I206" s="88"/>
      <c r="J206" s="49">
        <v>1</v>
      </c>
      <c r="K206" s="49">
        <v>13.04</v>
      </c>
      <c r="L206" s="169">
        <f t="shared" si="12"/>
        <v>13.04</v>
      </c>
      <c r="M206" s="169">
        <f t="shared" si="13"/>
        <v>1</v>
      </c>
      <c r="N206" s="169">
        <f t="shared" si="14"/>
        <v>1.9559999999999997</v>
      </c>
      <c r="O206" s="169">
        <f t="shared" si="15"/>
        <v>14.995999999999999</v>
      </c>
      <c r="Z206" s="219"/>
      <c r="AA206" s="219"/>
    </row>
    <row r="207" spans="1:27" x14ac:dyDescent="0.3">
      <c r="A207" s="88">
        <v>205</v>
      </c>
      <c r="B207" s="173">
        <v>133</v>
      </c>
      <c r="C207" s="159"/>
      <c r="D207" s="88" t="s">
        <v>509</v>
      </c>
      <c r="E207" s="88" t="s">
        <v>763</v>
      </c>
      <c r="F207" s="88" t="s">
        <v>949</v>
      </c>
      <c r="G207" s="88" t="s">
        <v>950</v>
      </c>
      <c r="H207" s="88">
        <v>311249066300003</v>
      </c>
      <c r="I207" s="88"/>
      <c r="J207" s="49">
        <v>1</v>
      </c>
      <c r="K207" s="49">
        <v>130</v>
      </c>
      <c r="L207" s="169">
        <f t="shared" si="12"/>
        <v>130</v>
      </c>
      <c r="M207" s="169">
        <f t="shared" si="13"/>
        <v>1</v>
      </c>
      <c r="N207" s="169">
        <f t="shared" si="14"/>
        <v>19.5</v>
      </c>
      <c r="O207" s="169">
        <f t="shared" si="15"/>
        <v>149.5</v>
      </c>
      <c r="Z207" s="219"/>
      <c r="AA207" s="219"/>
    </row>
    <row r="208" spans="1:27" x14ac:dyDescent="0.3">
      <c r="A208" s="88">
        <v>206</v>
      </c>
      <c r="B208" s="173">
        <v>134</v>
      </c>
      <c r="C208" s="159"/>
      <c r="D208" s="88" t="s">
        <v>509</v>
      </c>
      <c r="E208" s="88" t="s">
        <v>715</v>
      </c>
      <c r="F208" s="88" t="s">
        <v>951</v>
      </c>
      <c r="G208" s="88" t="s">
        <v>952</v>
      </c>
      <c r="H208" s="88">
        <v>310161894900003</v>
      </c>
      <c r="I208" s="88"/>
      <c r="J208" s="49">
        <v>1</v>
      </c>
      <c r="K208" s="49">
        <v>7</v>
      </c>
      <c r="L208" s="169">
        <f t="shared" si="12"/>
        <v>7</v>
      </c>
      <c r="M208" s="169">
        <f t="shared" si="13"/>
        <v>1</v>
      </c>
      <c r="N208" s="169">
        <f t="shared" si="14"/>
        <v>1.05</v>
      </c>
      <c r="O208" s="169">
        <f t="shared" si="15"/>
        <v>8.0500000000000007</v>
      </c>
      <c r="Z208" s="219"/>
      <c r="AA208" s="219"/>
    </row>
    <row r="209" spans="1:27" x14ac:dyDescent="0.3">
      <c r="A209" s="88">
        <v>207</v>
      </c>
      <c r="B209" s="173">
        <v>135</v>
      </c>
      <c r="C209" s="159"/>
      <c r="D209" s="88" t="s">
        <v>509</v>
      </c>
      <c r="E209" s="88" t="s">
        <v>710</v>
      </c>
      <c r="F209" s="88" t="s">
        <v>711</v>
      </c>
      <c r="G209" s="88" t="s">
        <v>954</v>
      </c>
      <c r="H209" s="88">
        <v>310190450500003</v>
      </c>
      <c r="I209" s="88"/>
      <c r="J209" s="49">
        <v>1</v>
      </c>
      <c r="K209" s="49">
        <v>43.47</v>
      </c>
      <c r="L209" s="169">
        <f t="shared" si="12"/>
        <v>43.47</v>
      </c>
      <c r="M209" s="169">
        <f t="shared" si="13"/>
        <v>1</v>
      </c>
      <c r="N209" s="169">
        <f t="shared" si="14"/>
        <v>6.5204999999999993</v>
      </c>
      <c r="O209" s="169">
        <f t="shared" si="15"/>
        <v>49.990499999999997</v>
      </c>
      <c r="Z209" s="219"/>
      <c r="AA209" s="219"/>
    </row>
    <row r="210" spans="1:27" x14ac:dyDescent="0.3">
      <c r="A210" s="88">
        <v>208</v>
      </c>
      <c r="B210" s="173">
        <v>136</v>
      </c>
      <c r="C210" s="159"/>
      <c r="D210" s="88" t="s">
        <v>509</v>
      </c>
      <c r="E210" s="88" t="s">
        <v>710</v>
      </c>
      <c r="F210" s="88" t="s">
        <v>711</v>
      </c>
      <c r="G210" s="88" t="s">
        <v>955</v>
      </c>
      <c r="H210" s="88">
        <v>301387658300003</v>
      </c>
      <c r="I210" s="88"/>
      <c r="J210" s="49">
        <v>1</v>
      </c>
      <c r="K210" s="49">
        <v>86.96</v>
      </c>
      <c r="L210" s="169">
        <f t="shared" si="12"/>
        <v>86.96</v>
      </c>
      <c r="M210" s="169">
        <f t="shared" si="13"/>
        <v>1</v>
      </c>
      <c r="N210" s="169">
        <f t="shared" si="14"/>
        <v>13.043999999999999</v>
      </c>
      <c r="O210" s="169">
        <f t="shared" si="15"/>
        <v>100.00399999999999</v>
      </c>
      <c r="Z210" s="219"/>
      <c r="AA210" s="219"/>
    </row>
    <row r="211" spans="1:27" x14ac:dyDescent="0.3">
      <c r="A211" s="88">
        <v>209</v>
      </c>
      <c r="B211" s="173">
        <v>137</v>
      </c>
      <c r="C211" s="159"/>
      <c r="D211" s="88" t="s">
        <v>509</v>
      </c>
      <c r="E211" s="88" t="s">
        <v>789</v>
      </c>
      <c r="F211" s="88" t="s">
        <v>956</v>
      </c>
      <c r="G211" s="88" t="s">
        <v>957</v>
      </c>
      <c r="H211" s="88">
        <v>300974961400003</v>
      </c>
      <c r="I211" s="88"/>
      <c r="J211" s="49">
        <v>2</v>
      </c>
      <c r="K211" s="49">
        <v>5</v>
      </c>
      <c r="L211" s="169">
        <f t="shared" si="12"/>
        <v>10</v>
      </c>
      <c r="M211" s="169">
        <f t="shared" si="13"/>
        <v>1</v>
      </c>
      <c r="N211" s="169">
        <f t="shared" si="14"/>
        <v>1.5</v>
      </c>
      <c r="O211" s="169">
        <f t="shared" si="15"/>
        <v>11.5</v>
      </c>
      <c r="Z211" s="219"/>
      <c r="AA211" s="219"/>
    </row>
    <row r="212" spans="1:27" x14ac:dyDescent="0.3">
      <c r="A212" s="88">
        <v>210</v>
      </c>
      <c r="B212" s="173">
        <v>138</v>
      </c>
      <c r="C212" s="159"/>
      <c r="D212" s="88" t="s">
        <v>509</v>
      </c>
      <c r="E212" s="88" t="s">
        <v>715</v>
      </c>
      <c r="F212" s="88" t="s">
        <v>958</v>
      </c>
      <c r="G212" s="88" t="s">
        <v>959</v>
      </c>
      <c r="H212" s="88">
        <v>300042682300000</v>
      </c>
      <c r="I212" s="88"/>
      <c r="J212" s="49">
        <v>1</v>
      </c>
      <c r="K212" s="49">
        <v>5.22</v>
      </c>
      <c r="L212" s="169">
        <f t="shared" si="12"/>
        <v>5.22</v>
      </c>
      <c r="M212" s="169">
        <f t="shared" si="13"/>
        <v>1</v>
      </c>
      <c r="N212" s="169">
        <f t="shared" si="14"/>
        <v>0.78299999999999992</v>
      </c>
      <c r="O212" s="169">
        <f t="shared" si="15"/>
        <v>6.0030000000000001</v>
      </c>
      <c r="Z212" s="219"/>
      <c r="AA212" s="219"/>
    </row>
    <row r="213" spans="1:27" x14ac:dyDescent="0.3">
      <c r="A213" s="88">
        <v>211</v>
      </c>
      <c r="B213" s="173">
        <v>139</v>
      </c>
      <c r="C213" s="159"/>
      <c r="D213" s="88" t="s">
        <v>509</v>
      </c>
      <c r="E213" s="88" t="s">
        <v>715</v>
      </c>
      <c r="F213" s="88" t="s">
        <v>960</v>
      </c>
      <c r="G213" s="88" t="s">
        <v>733</v>
      </c>
      <c r="H213" s="88">
        <v>311172172500000</v>
      </c>
      <c r="I213" s="88"/>
      <c r="J213" s="49">
        <v>1</v>
      </c>
      <c r="K213" s="49">
        <v>3.91</v>
      </c>
      <c r="L213" s="169">
        <f t="shared" si="12"/>
        <v>3.91</v>
      </c>
      <c r="M213" s="169">
        <f t="shared" si="13"/>
        <v>1</v>
      </c>
      <c r="N213" s="169">
        <f t="shared" si="14"/>
        <v>0.58650000000000002</v>
      </c>
      <c r="O213" s="169">
        <f t="shared" si="15"/>
        <v>4.4965000000000002</v>
      </c>
      <c r="Z213" s="219"/>
      <c r="AA213" s="219"/>
    </row>
    <row r="214" spans="1:27" x14ac:dyDescent="0.3">
      <c r="A214" s="88">
        <v>212</v>
      </c>
      <c r="B214" s="173">
        <v>140</v>
      </c>
      <c r="C214" s="159"/>
      <c r="D214" s="88" t="s">
        <v>509</v>
      </c>
      <c r="E214" s="88" t="s">
        <v>715</v>
      </c>
      <c r="F214" s="88" t="s">
        <v>961</v>
      </c>
      <c r="G214" s="88" t="s">
        <v>799</v>
      </c>
      <c r="H214" s="88">
        <v>302058761100003</v>
      </c>
      <c r="I214" s="88"/>
      <c r="J214" s="49">
        <v>1</v>
      </c>
      <c r="K214" s="49">
        <v>8.6999999999999993</v>
      </c>
      <c r="L214" s="169">
        <f t="shared" si="12"/>
        <v>8.6999999999999993</v>
      </c>
      <c r="M214" s="169">
        <f t="shared" si="13"/>
        <v>1</v>
      </c>
      <c r="N214" s="169">
        <f t="shared" si="14"/>
        <v>1.3049999999999999</v>
      </c>
      <c r="O214" s="169">
        <f t="shared" si="15"/>
        <v>10.004999999999999</v>
      </c>
      <c r="Z214" s="219"/>
      <c r="AA214" s="219"/>
    </row>
    <row r="215" spans="1:27" x14ac:dyDescent="0.3">
      <c r="A215" s="88">
        <v>213</v>
      </c>
      <c r="B215" s="173">
        <v>141</v>
      </c>
      <c r="C215" s="159"/>
      <c r="D215" s="88" t="s">
        <v>509</v>
      </c>
      <c r="E215" s="88" t="s">
        <v>763</v>
      </c>
      <c r="F215" s="88" t="s">
        <v>962</v>
      </c>
      <c r="G215" s="88" t="s">
        <v>963</v>
      </c>
      <c r="H215" s="88">
        <v>310283752400003</v>
      </c>
      <c r="I215" s="88"/>
      <c r="J215" s="49">
        <v>1</v>
      </c>
      <c r="K215" s="49">
        <v>30.43</v>
      </c>
      <c r="L215" s="169">
        <f t="shared" si="12"/>
        <v>30.43</v>
      </c>
      <c r="M215" s="169">
        <f t="shared" si="13"/>
        <v>1</v>
      </c>
      <c r="N215" s="169">
        <f t="shared" si="14"/>
        <v>4.5644999999999998</v>
      </c>
      <c r="O215" s="169">
        <f t="shared" si="15"/>
        <v>34.994500000000002</v>
      </c>
      <c r="Z215" s="219"/>
      <c r="AA215" s="219"/>
    </row>
    <row r="216" spans="1:27" x14ac:dyDescent="0.3">
      <c r="A216" s="88">
        <v>214</v>
      </c>
      <c r="B216" s="173">
        <v>142</v>
      </c>
      <c r="C216" s="159"/>
      <c r="D216" s="88" t="s">
        <v>509</v>
      </c>
      <c r="E216" s="88" t="s">
        <v>715</v>
      </c>
      <c r="F216" s="88" t="s">
        <v>964</v>
      </c>
      <c r="G216" s="88" t="s">
        <v>749</v>
      </c>
      <c r="H216" s="88">
        <v>302085161200003</v>
      </c>
      <c r="I216" s="88"/>
      <c r="J216" s="49">
        <v>1</v>
      </c>
      <c r="K216" s="49">
        <v>41.74</v>
      </c>
      <c r="L216" s="169">
        <f t="shared" si="12"/>
        <v>41.74</v>
      </c>
      <c r="M216" s="169">
        <f t="shared" si="13"/>
        <v>1</v>
      </c>
      <c r="N216" s="169">
        <f t="shared" si="14"/>
        <v>6.2610000000000001</v>
      </c>
      <c r="O216" s="169">
        <f t="shared" si="15"/>
        <v>48.001000000000005</v>
      </c>
      <c r="Z216" s="219"/>
      <c r="AA216" s="219"/>
    </row>
    <row r="217" spans="1:27" x14ac:dyDescent="0.3">
      <c r="A217" s="88">
        <v>215</v>
      </c>
      <c r="B217" s="173">
        <v>143</v>
      </c>
      <c r="C217" s="159"/>
      <c r="D217" s="88" t="s">
        <v>509</v>
      </c>
      <c r="E217" s="88" t="s">
        <v>820</v>
      </c>
      <c r="F217" s="88" t="s">
        <v>965</v>
      </c>
      <c r="G217" s="88" t="s">
        <v>966</v>
      </c>
      <c r="H217" s="88"/>
      <c r="I217" s="88"/>
      <c r="J217" s="49">
        <v>1</v>
      </c>
      <c r="K217" s="49">
        <v>170</v>
      </c>
      <c r="L217" s="169">
        <f t="shared" si="12"/>
        <v>170</v>
      </c>
      <c r="M217" s="169">
        <f t="shared" si="13"/>
        <v>0</v>
      </c>
      <c r="N217" s="169">
        <f t="shared" si="14"/>
        <v>0</v>
      </c>
      <c r="O217" s="169">
        <f t="shared" si="15"/>
        <v>170</v>
      </c>
      <c r="Z217" s="219"/>
      <c r="AA217" s="219"/>
    </row>
    <row r="218" spans="1:27" x14ac:dyDescent="0.3">
      <c r="A218" s="88">
        <v>216</v>
      </c>
      <c r="B218" s="173">
        <v>144</v>
      </c>
      <c r="C218" s="159"/>
      <c r="D218" s="88" t="s">
        <v>509</v>
      </c>
      <c r="E218" s="88" t="s">
        <v>763</v>
      </c>
      <c r="F218" s="88" t="s">
        <v>967</v>
      </c>
      <c r="G218" s="88" t="s">
        <v>906</v>
      </c>
      <c r="H218" s="88">
        <v>300844969700003</v>
      </c>
      <c r="I218" s="88"/>
      <c r="J218" s="49">
        <v>1</v>
      </c>
      <c r="K218" s="49">
        <v>42.607999999999997</v>
      </c>
      <c r="L218" s="169">
        <f t="shared" si="12"/>
        <v>42.607999999999997</v>
      </c>
      <c r="M218" s="169">
        <f t="shared" si="13"/>
        <v>1</v>
      </c>
      <c r="N218" s="169">
        <f t="shared" si="14"/>
        <v>6.3911999999999995</v>
      </c>
      <c r="O218" s="169">
        <f t="shared" si="15"/>
        <v>48.999199999999995</v>
      </c>
      <c r="Z218" s="219"/>
      <c r="AA218" s="219"/>
    </row>
    <row r="219" spans="1:27" x14ac:dyDescent="0.3">
      <c r="A219" s="88">
        <v>217</v>
      </c>
      <c r="B219" s="173">
        <v>145</v>
      </c>
      <c r="C219" s="159"/>
      <c r="D219" s="88" t="s">
        <v>509</v>
      </c>
      <c r="E219" s="88" t="s">
        <v>715</v>
      </c>
      <c r="F219" s="88" t="s">
        <v>968</v>
      </c>
      <c r="G219" s="88" t="s">
        <v>906</v>
      </c>
      <c r="H219" s="88">
        <v>300844969700003</v>
      </c>
      <c r="I219" s="88"/>
      <c r="J219" s="49">
        <v>1</v>
      </c>
      <c r="K219" s="49">
        <v>19.132000000000001</v>
      </c>
      <c r="L219" s="169">
        <f t="shared" si="12"/>
        <v>19.132000000000001</v>
      </c>
      <c r="M219" s="169">
        <f t="shared" si="13"/>
        <v>1</v>
      </c>
      <c r="N219" s="169">
        <f t="shared" si="14"/>
        <v>2.8698000000000001</v>
      </c>
      <c r="O219" s="169">
        <f t="shared" si="15"/>
        <v>22.001800000000003</v>
      </c>
      <c r="Z219" s="219"/>
      <c r="AA219" s="219"/>
    </row>
    <row r="220" spans="1:27" x14ac:dyDescent="0.3">
      <c r="A220" s="88">
        <v>218</v>
      </c>
      <c r="B220" s="173">
        <v>145</v>
      </c>
      <c r="C220" s="159"/>
      <c r="D220" s="88" t="s">
        <v>509</v>
      </c>
      <c r="E220" s="88" t="s">
        <v>789</v>
      </c>
      <c r="F220" s="88" t="s">
        <v>969</v>
      </c>
      <c r="G220" s="88" t="s">
        <v>906</v>
      </c>
      <c r="H220" s="88">
        <v>300844969700003</v>
      </c>
      <c r="I220" s="88"/>
      <c r="J220" s="49">
        <v>1</v>
      </c>
      <c r="K220" s="49">
        <v>10.435</v>
      </c>
      <c r="L220" s="169">
        <f t="shared" si="12"/>
        <v>10.435</v>
      </c>
      <c r="M220" s="169">
        <f t="shared" si="13"/>
        <v>1</v>
      </c>
      <c r="N220" s="169">
        <f t="shared" si="14"/>
        <v>1.56525</v>
      </c>
      <c r="O220" s="169">
        <f t="shared" si="15"/>
        <v>12.000250000000001</v>
      </c>
      <c r="Z220" s="219"/>
      <c r="AA220" s="219"/>
    </row>
    <row r="221" spans="1:27" x14ac:dyDescent="0.3">
      <c r="A221" s="88">
        <v>219</v>
      </c>
      <c r="B221" s="173">
        <v>146</v>
      </c>
      <c r="C221" s="159"/>
      <c r="D221" s="88" t="s">
        <v>509</v>
      </c>
      <c r="E221" s="88" t="s">
        <v>820</v>
      </c>
      <c r="F221" s="88" t="s">
        <v>970</v>
      </c>
      <c r="G221" s="88" t="s">
        <v>971</v>
      </c>
      <c r="H221" s="88"/>
      <c r="I221" s="88"/>
      <c r="J221" s="49">
        <v>1</v>
      </c>
      <c r="K221" s="49">
        <v>50</v>
      </c>
      <c r="L221" s="169">
        <f t="shared" si="12"/>
        <v>50</v>
      </c>
      <c r="M221" s="169">
        <f t="shared" si="13"/>
        <v>0</v>
      </c>
      <c r="N221" s="169">
        <f t="shared" si="14"/>
        <v>0</v>
      </c>
      <c r="O221" s="169">
        <f t="shared" si="15"/>
        <v>50</v>
      </c>
      <c r="Z221" s="219"/>
      <c r="AA221" s="219"/>
    </row>
    <row r="222" spans="1:27" x14ac:dyDescent="0.3">
      <c r="A222" s="88">
        <v>220</v>
      </c>
      <c r="B222" s="173">
        <v>147</v>
      </c>
      <c r="C222" s="159"/>
      <c r="D222" s="88" t="s">
        <v>509</v>
      </c>
      <c r="E222" s="88" t="s">
        <v>771</v>
      </c>
      <c r="F222" s="88" t="s">
        <v>972</v>
      </c>
      <c r="G222" s="88" t="s">
        <v>973</v>
      </c>
      <c r="H222" s="88"/>
      <c r="I222" s="88"/>
      <c r="J222" s="49">
        <v>1</v>
      </c>
      <c r="K222" s="49">
        <v>100</v>
      </c>
      <c r="L222" s="169">
        <f t="shared" si="12"/>
        <v>100</v>
      </c>
      <c r="M222" s="169">
        <f t="shared" si="13"/>
        <v>0</v>
      </c>
      <c r="N222" s="169">
        <f t="shared" si="14"/>
        <v>0</v>
      </c>
      <c r="O222" s="169">
        <f t="shared" si="15"/>
        <v>100</v>
      </c>
      <c r="Z222" s="219"/>
      <c r="AA222" s="219"/>
    </row>
    <row r="223" spans="1:27" x14ac:dyDescent="0.3">
      <c r="A223" s="88">
        <v>221</v>
      </c>
      <c r="B223" s="173">
        <v>148</v>
      </c>
      <c r="C223" s="159"/>
      <c r="D223" s="88" t="s">
        <v>509</v>
      </c>
      <c r="E223" s="88" t="s">
        <v>771</v>
      </c>
      <c r="F223" s="88" t="s">
        <v>974</v>
      </c>
      <c r="G223" s="88" t="s">
        <v>975</v>
      </c>
      <c r="H223" s="88"/>
      <c r="I223" s="88"/>
      <c r="J223" s="49">
        <v>1</v>
      </c>
      <c r="K223" s="49">
        <v>70</v>
      </c>
      <c r="L223" s="169">
        <f t="shared" si="12"/>
        <v>70</v>
      </c>
      <c r="M223" s="169">
        <f t="shared" si="13"/>
        <v>0</v>
      </c>
      <c r="N223" s="169">
        <f t="shared" si="14"/>
        <v>0</v>
      </c>
      <c r="O223" s="169">
        <f t="shared" si="15"/>
        <v>70</v>
      </c>
      <c r="Z223" s="219"/>
      <c r="AA223" s="219"/>
    </row>
    <row r="224" spans="1:27" x14ac:dyDescent="0.3">
      <c r="A224" s="88">
        <v>222</v>
      </c>
      <c r="B224" s="173">
        <v>149</v>
      </c>
      <c r="C224" s="159"/>
      <c r="D224" s="88" t="s">
        <v>509</v>
      </c>
      <c r="E224" s="88" t="s">
        <v>763</v>
      </c>
      <c r="F224" s="88" t="s">
        <v>976</v>
      </c>
      <c r="G224" s="88" t="s">
        <v>977</v>
      </c>
      <c r="H224" s="88">
        <v>300094167800003</v>
      </c>
      <c r="I224" s="88"/>
      <c r="J224" s="49">
        <v>2</v>
      </c>
      <c r="K224" s="49">
        <v>109</v>
      </c>
      <c r="L224" s="169">
        <f t="shared" si="12"/>
        <v>218</v>
      </c>
      <c r="M224" s="169">
        <f t="shared" si="13"/>
        <v>1</v>
      </c>
      <c r="N224" s="169">
        <f t="shared" si="14"/>
        <v>32.699999999999996</v>
      </c>
      <c r="O224" s="169">
        <f t="shared" si="15"/>
        <v>250.7</v>
      </c>
      <c r="Z224" s="219"/>
      <c r="AA224" s="219"/>
    </row>
    <row r="225" spans="1:27" x14ac:dyDescent="0.3">
      <c r="A225" s="88">
        <v>223</v>
      </c>
      <c r="B225" s="173">
        <v>150</v>
      </c>
      <c r="C225" s="159"/>
      <c r="D225" s="88" t="s">
        <v>509</v>
      </c>
      <c r="E225" s="88" t="s">
        <v>763</v>
      </c>
      <c r="F225" s="88" t="s">
        <v>978</v>
      </c>
      <c r="G225" s="88" t="s">
        <v>979</v>
      </c>
      <c r="H225" s="88">
        <v>310947643300003</v>
      </c>
      <c r="I225" s="88"/>
      <c r="J225" s="49">
        <v>1</v>
      </c>
      <c r="K225" s="49">
        <v>100</v>
      </c>
      <c r="L225" s="169">
        <f t="shared" si="12"/>
        <v>100</v>
      </c>
      <c r="M225" s="169">
        <f t="shared" si="13"/>
        <v>1</v>
      </c>
      <c r="N225" s="169">
        <f t="shared" si="14"/>
        <v>15</v>
      </c>
      <c r="O225" s="169">
        <f t="shared" si="15"/>
        <v>115</v>
      </c>
      <c r="Z225" s="219"/>
      <c r="AA225" s="219"/>
    </row>
    <row r="226" spans="1:27" x14ac:dyDescent="0.3">
      <c r="A226" s="88">
        <v>224</v>
      </c>
      <c r="B226" s="173">
        <v>151</v>
      </c>
      <c r="C226" s="159"/>
      <c r="D226" s="88" t="s">
        <v>509</v>
      </c>
      <c r="E226" s="88" t="s">
        <v>771</v>
      </c>
      <c r="F226" s="88" t="s">
        <v>980</v>
      </c>
      <c r="G226" s="88" t="s">
        <v>981</v>
      </c>
      <c r="H226" s="88">
        <v>311260642800003</v>
      </c>
      <c r="I226" s="88"/>
      <c r="J226" s="49">
        <v>5</v>
      </c>
      <c r="K226" s="49">
        <v>152.18</v>
      </c>
      <c r="L226" s="169">
        <f t="shared" si="12"/>
        <v>760.90000000000009</v>
      </c>
      <c r="M226" s="169">
        <f t="shared" si="13"/>
        <v>1</v>
      </c>
      <c r="N226" s="169">
        <f t="shared" si="14"/>
        <v>114.13500000000001</v>
      </c>
      <c r="O226" s="169">
        <f t="shared" si="15"/>
        <v>875.03500000000008</v>
      </c>
      <c r="Z226" s="219"/>
      <c r="AA226" s="219"/>
    </row>
    <row r="227" spans="1:27" x14ac:dyDescent="0.3">
      <c r="A227" s="88">
        <v>225</v>
      </c>
      <c r="B227" s="173">
        <v>152</v>
      </c>
      <c r="C227" s="159"/>
      <c r="D227" s="88" t="s">
        <v>509</v>
      </c>
      <c r="E227" s="88" t="s">
        <v>771</v>
      </c>
      <c r="F227" s="88" t="s">
        <v>982</v>
      </c>
      <c r="G227" s="88" t="s">
        <v>981</v>
      </c>
      <c r="H227" s="88">
        <v>311260642800003</v>
      </c>
      <c r="I227" s="88"/>
      <c r="J227" s="49">
        <v>1</v>
      </c>
      <c r="K227" s="49">
        <v>200</v>
      </c>
      <c r="L227" s="169">
        <f t="shared" si="12"/>
        <v>200</v>
      </c>
      <c r="M227" s="169">
        <f t="shared" si="13"/>
        <v>1</v>
      </c>
      <c r="N227" s="169">
        <f t="shared" si="14"/>
        <v>30</v>
      </c>
      <c r="O227" s="169">
        <f t="shared" si="15"/>
        <v>230</v>
      </c>
      <c r="Z227" s="219"/>
      <c r="AA227" s="219"/>
    </row>
    <row r="228" spans="1:27" x14ac:dyDescent="0.3">
      <c r="A228" s="88">
        <v>226</v>
      </c>
      <c r="B228" s="173">
        <v>153</v>
      </c>
      <c r="C228" s="159"/>
      <c r="D228" s="88" t="s">
        <v>508</v>
      </c>
      <c r="E228" s="88" t="s">
        <v>715</v>
      </c>
      <c r="F228" s="88" t="s">
        <v>983</v>
      </c>
      <c r="G228" s="88" t="s">
        <v>801</v>
      </c>
      <c r="H228" s="88">
        <v>300272021500003</v>
      </c>
      <c r="I228" s="88" t="s">
        <v>862</v>
      </c>
      <c r="J228" s="49">
        <v>1</v>
      </c>
      <c r="K228" s="49">
        <v>17.390999999999998</v>
      </c>
      <c r="L228" s="169">
        <f t="shared" si="12"/>
        <v>17.390999999999998</v>
      </c>
      <c r="M228" s="169">
        <f t="shared" si="13"/>
        <v>1</v>
      </c>
      <c r="N228" s="169">
        <f t="shared" si="14"/>
        <v>2.6086499999999995</v>
      </c>
      <c r="O228" s="169">
        <f t="shared" si="15"/>
        <v>19.999649999999999</v>
      </c>
      <c r="Z228" s="219"/>
      <c r="AA228" s="219"/>
    </row>
    <row r="229" spans="1:27" x14ac:dyDescent="0.3">
      <c r="A229" s="88">
        <v>227</v>
      </c>
      <c r="B229" s="173">
        <v>154</v>
      </c>
      <c r="C229" s="159"/>
      <c r="D229" s="88" t="s">
        <v>508</v>
      </c>
      <c r="E229" s="88" t="s">
        <v>763</v>
      </c>
      <c r="F229" s="88" t="s">
        <v>985</v>
      </c>
      <c r="G229" s="88" t="s">
        <v>984</v>
      </c>
      <c r="H229" s="88">
        <v>311037069200003</v>
      </c>
      <c r="I229" s="88"/>
      <c r="J229" s="49">
        <v>1</v>
      </c>
      <c r="K229" s="49">
        <v>24.35</v>
      </c>
      <c r="L229" s="169">
        <f t="shared" si="12"/>
        <v>24.35</v>
      </c>
      <c r="M229" s="169">
        <f t="shared" si="13"/>
        <v>1</v>
      </c>
      <c r="N229" s="169">
        <f t="shared" si="14"/>
        <v>3.6524999999999999</v>
      </c>
      <c r="O229" s="169">
        <f t="shared" si="15"/>
        <v>28.002500000000001</v>
      </c>
      <c r="Z229" s="219"/>
      <c r="AA229" s="219"/>
    </row>
    <row r="230" spans="1:27" x14ac:dyDescent="0.3">
      <c r="A230" s="88">
        <v>228</v>
      </c>
      <c r="B230" s="173">
        <v>155</v>
      </c>
      <c r="C230" s="159"/>
      <c r="D230" s="88" t="s">
        <v>508</v>
      </c>
      <c r="E230" s="88" t="s">
        <v>771</v>
      </c>
      <c r="F230" s="88" t="s">
        <v>986</v>
      </c>
      <c r="G230" s="88" t="s">
        <v>987</v>
      </c>
      <c r="H230" s="88">
        <v>310169200600003</v>
      </c>
      <c r="I230" s="88"/>
      <c r="J230" s="49">
        <v>1</v>
      </c>
      <c r="K230" s="49">
        <v>230.43</v>
      </c>
      <c r="L230" s="169">
        <f t="shared" si="12"/>
        <v>230.43</v>
      </c>
      <c r="M230" s="169">
        <f t="shared" si="13"/>
        <v>1</v>
      </c>
      <c r="N230" s="169">
        <f t="shared" si="14"/>
        <v>34.564500000000002</v>
      </c>
      <c r="O230" s="169">
        <f t="shared" si="15"/>
        <v>264.99450000000002</v>
      </c>
      <c r="Z230" s="219"/>
      <c r="AA230" s="219"/>
    </row>
    <row r="231" spans="1:27" x14ac:dyDescent="0.3">
      <c r="A231" s="88">
        <v>229</v>
      </c>
      <c r="B231" s="173">
        <v>156</v>
      </c>
      <c r="C231" s="159"/>
      <c r="D231" s="88" t="s">
        <v>508</v>
      </c>
      <c r="E231" s="88" t="s">
        <v>771</v>
      </c>
      <c r="F231" s="88" t="s">
        <v>989</v>
      </c>
      <c r="G231" s="88" t="s">
        <v>994</v>
      </c>
      <c r="H231" s="88">
        <v>310169200600003</v>
      </c>
      <c r="I231" s="88"/>
      <c r="J231" s="49">
        <v>1</v>
      </c>
      <c r="K231" s="49">
        <v>47.83</v>
      </c>
      <c r="L231" s="169">
        <f t="shared" si="12"/>
        <v>47.83</v>
      </c>
      <c r="M231" s="169">
        <f t="shared" si="13"/>
        <v>1</v>
      </c>
      <c r="N231" s="169">
        <f t="shared" si="14"/>
        <v>7.1744999999999992</v>
      </c>
      <c r="O231" s="169">
        <f t="shared" si="15"/>
        <v>55.0045</v>
      </c>
      <c r="Z231" s="219"/>
      <c r="AA231" s="219"/>
    </row>
    <row r="232" spans="1:27" x14ac:dyDescent="0.3">
      <c r="A232" s="88">
        <v>230</v>
      </c>
      <c r="B232" s="173">
        <v>156</v>
      </c>
      <c r="C232" s="159"/>
      <c r="D232" s="88" t="s">
        <v>508</v>
      </c>
      <c r="E232" s="88" t="s">
        <v>771</v>
      </c>
      <c r="F232" s="88" t="s">
        <v>990</v>
      </c>
      <c r="G232" s="88" t="s">
        <v>994</v>
      </c>
      <c r="H232" s="88">
        <v>310169200600003</v>
      </c>
      <c r="I232" s="88"/>
      <c r="J232" s="49">
        <v>1</v>
      </c>
      <c r="K232" s="49">
        <v>130.43</v>
      </c>
      <c r="L232" s="169">
        <f t="shared" si="12"/>
        <v>130.43</v>
      </c>
      <c r="M232" s="169">
        <f t="shared" si="13"/>
        <v>1</v>
      </c>
      <c r="N232" s="169">
        <f t="shared" si="14"/>
        <v>19.564499999999999</v>
      </c>
      <c r="O232" s="169">
        <f t="shared" si="15"/>
        <v>149.99450000000002</v>
      </c>
      <c r="Z232" s="219"/>
      <c r="AA232" s="219"/>
    </row>
    <row r="233" spans="1:27" x14ac:dyDescent="0.3">
      <c r="A233" s="88">
        <v>231</v>
      </c>
      <c r="B233" s="173">
        <v>156</v>
      </c>
      <c r="C233" s="159"/>
      <c r="D233" s="88" t="s">
        <v>508</v>
      </c>
      <c r="E233" s="88" t="s">
        <v>771</v>
      </c>
      <c r="F233" s="88" t="s">
        <v>991</v>
      </c>
      <c r="G233" s="88" t="s">
        <v>994</v>
      </c>
      <c r="H233" s="88">
        <v>310169200600003</v>
      </c>
      <c r="I233" s="88"/>
      <c r="J233" s="49">
        <v>1</v>
      </c>
      <c r="K233" s="49">
        <v>56.52</v>
      </c>
      <c r="L233" s="169">
        <f t="shared" si="12"/>
        <v>56.52</v>
      </c>
      <c r="M233" s="169">
        <f t="shared" si="13"/>
        <v>1</v>
      </c>
      <c r="N233" s="169">
        <f t="shared" si="14"/>
        <v>8.4779999999999998</v>
      </c>
      <c r="O233" s="169">
        <f t="shared" si="15"/>
        <v>64.998000000000005</v>
      </c>
      <c r="Z233" s="219"/>
      <c r="AA233" s="219"/>
    </row>
    <row r="234" spans="1:27" x14ac:dyDescent="0.3">
      <c r="A234" s="88">
        <v>232</v>
      </c>
      <c r="B234" s="173">
        <v>156</v>
      </c>
      <c r="C234" s="159"/>
      <c r="D234" s="88" t="s">
        <v>508</v>
      </c>
      <c r="E234" s="88" t="s">
        <v>771</v>
      </c>
      <c r="F234" s="88" t="s">
        <v>992</v>
      </c>
      <c r="G234" s="88" t="s">
        <v>994</v>
      </c>
      <c r="H234" s="88">
        <v>310169200600003</v>
      </c>
      <c r="I234" s="88"/>
      <c r="J234" s="49">
        <v>1</v>
      </c>
      <c r="K234" s="49">
        <v>21.74</v>
      </c>
      <c r="L234" s="169">
        <f t="shared" si="12"/>
        <v>21.74</v>
      </c>
      <c r="M234" s="169">
        <f t="shared" si="13"/>
        <v>1</v>
      </c>
      <c r="N234" s="169">
        <f t="shared" si="14"/>
        <v>3.2609999999999997</v>
      </c>
      <c r="O234" s="169">
        <f t="shared" si="15"/>
        <v>25.000999999999998</v>
      </c>
      <c r="Z234" s="219"/>
      <c r="AA234" s="219"/>
    </row>
    <row r="235" spans="1:27" x14ac:dyDescent="0.3">
      <c r="A235" s="88">
        <v>233</v>
      </c>
      <c r="B235" s="173">
        <v>156</v>
      </c>
      <c r="C235" s="159"/>
      <c r="D235" s="88" t="s">
        <v>508</v>
      </c>
      <c r="E235" s="88" t="s">
        <v>771</v>
      </c>
      <c r="F235" s="88" t="s">
        <v>993</v>
      </c>
      <c r="G235" s="88" t="s">
        <v>994</v>
      </c>
      <c r="H235" s="88">
        <v>310169200600003</v>
      </c>
      <c r="I235" s="88"/>
      <c r="J235" s="49">
        <v>5</v>
      </c>
      <c r="K235" s="49">
        <v>17.39</v>
      </c>
      <c r="L235" s="169">
        <f t="shared" si="12"/>
        <v>86.95</v>
      </c>
      <c r="M235" s="169">
        <f t="shared" si="13"/>
        <v>1</v>
      </c>
      <c r="N235" s="169">
        <f t="shared" si="14"/>
        <v>13.0425</v>
      </c>
      <c r="O235" s="169">
        <f t="shared" si="15"/>
        <v>99.992500000000007</v>
      </c>
      <c r="Z235" s="219"/>
      <c r="AA235" s="219"/>
    </row>
    <row r="236" spans="1:27" x14ac:dyDescent="0.3">
      <c r="A236" s="88">
        <v>234</v>
      </c>
      <c r="B236" s="173">
        <v>157</v>
      </c>
      <c r="C236" s="159"/>
      <c r="D236" s="88" t="s">
        <v>508</v>
      </c>
      <c r="E236" s="88" t="s">
        <v>763</v>
      </c>
      <c r="F236" s="88" t="s">
        <v>995</v>
      </c>
      <c r="G236" s="88" t="s">
        <v>942</v>
      </c>
      <c r="H236" s="88">
        <v>302022718600003</v>
      </c>
      <c r="I236" s="88"/>
      <c r="J236" s="49">
        <v>1</v>
      </c>
      <c r="K236" s="49">
        <v>29</v>
      </c>
      <c r="L236" s="169">
        <f t="shared" si="12"/>
        <v>29</v>
      </c>
      <c r="M236" s="169">
        <f t="shared" si="13"/>
        <v>1</v>
      </c>
      <c r="N236" s="169">
        <f t="shared" si="14"/>
        <v>4.3499999999999996</v>
      </c>
      <c r="O236" s="169">
        <f t="shared" si="15"/>
        <v>33.35</v>
      </c>
      <c r="Z236" s="219"/>
      <c r="AA236" s="219"/>
    </row>
    <row r="237" spans="1:27" x14ac:dyDescent="0.3">
      <c r="A237" s="88">
        <v>235</v>
      </c>
      <c r="B237" s="173">
        <v>158</v>
      </c>
      <c r="C237" s="159"/>
      <c r="D237" s="88" t="s">
        <v>508</v>
      </c>
      <c r="E237" s="88" t="s">
        <v>997</v>
      </c>
      <c r="F237" s="88" t="s">
        <v>996</v>
      </c>
      <c r="G237" s="88" t="s">
        <v>884</v>
      </c>
      <c r="H237" s="88"/>
      <c r="I237" s="88"/>
      <c r="J237" s="49">
        <v>1</v>
      </c>
      <c r="K237" s="49">
        <v>300</v>
      </c>
      <c r="L237" s="169">
        <f t="shared" si="12"/>
        <v>300</v>
      </c>
      <c r="M237" s="169"/>
      <c r="N237" s="169"/>
      <c r="O237" s="169"/>
      <c r="Z237" s="219"/>
      <c r="AA237" s="219"/>
    </row>
    <row r="238" spans="1:27" x14ac:dyDescent="0.3">
      <c r="A238" s="88">
        <v>236</v>
      </c>
      <c r="B238" s="173">
        <v>159</v>
      </c>
      <c r="C238" s="159"/>
      <c r="D238" s="88" t="s">
        <v>508</v>
      </c>
      <c r="E238" s="88" t="s">
        <v>997</v>
      </c>
      <c r="F238" s="88" t="s">
        <v>998</v>
      </c>
      <c r="G238" s="88" t="s">
        <v>884</v>
      </c>
      <c r="H238" s="88"/>
      <c r="I238" s="88"/>
      <c r="J238" s="49">
        <v>1</v>
      </c>
      <c r="K238" s="49">
        <v>150</v>
      </c>
      <c r="L238" s="169">
        <f t="shared" si="12"/>
        <v>150</v>
      </c>
      <c r="M238" s="169">
        <f t="shared" si="13"/>
        <v>0</v>
      </c>
      <c r="N238" s="169">
        <f t="shared" si="14"/>
        <v>0</v>
      </c>
      <c r="O238" s="169">
        <f t="shared" si="15"/>
        <v>150</v>
      </c>
      <c r="Z238" s="219"/>
      <c r="AA238" s="219"/>
    </row>
    <row r="239" spans="1:27" x14ac:dyDescent="0.3">
      <c r="A239" s="88">
        <v>237</v>
      </c>
      <c r="B239" s="173">
        <v>160</v>
      </c>
      <c r="C239" s="159"/>
      <c r="D239" s="88" t="s">
        <v>508</v>
      </c>
      <c r="E239" s="88" t="s">
        <v>763</v>
      </c>
      <c r="F239" s="88" t="s">
        <v>999</v>
      </c>
      <c r="G239" s="88" t="s">
        <v>884</v>
      </c>
      <c r="H239" s="88"/>
      <c r="I239" s="88"/>
      <c r="J239" s="49">
        <v>1</v>
      </c>
      <c r="K239" s="49">
        <v>15</v>
      </c>
      <c r="L239" s="169">
        <f t="shared" si="12"/>
        <v>15</v>
      </c>
      <c r="M239" s="169">
        <f t="shared" si="13"/>
        <v>0</v>
      </c>
      <c r="N239" s="169">
        <f t="shared" si="14"/>
        <v>0</v>
      </c>
      <c r="O239" s="169">
        <f t="shared" si="15"/>
        <v>15</v>
      </c>
      <c r="Z239" s="219"/>
      <c r="AA239" s="219"/>
    </row>
    <row r="240" spans="1:27" x14ac:dyDescent="0.3">
      <c r="A240" s="88">
        <v>238</v>
      </c>
      <c r="B240" s="173">
        <v>161</v>
      </c>
      <c r="C240" s="159"/>
      <c r="D240" s="88" t="s">
        <v>508</v>
      </c>
      <c r="E240" s="88" t="s">
        <v>757</v>
      </c>
      <c r="F240" s="88" t="s">
        <v>1000</v>
      </c>
      <c r="G240" s="88" t="s">
        <v>884</v>
      </c>
      <c r="H240" s="88"/>
      <c r="I240" s="88"/>
      <c r="J240" s="49">
        <v>1</v>
      </c>
      <c r="K240" s="49">
        <v>13</v>
      </c>
      <c r="L240" s="169">
        <f t="shared" si="12"/>
        <v>13</v>
      </c>
      <c r="M240" s="169">
        <f t="shared" si="13"/>
        <v>0</v>
      </c>
      <c r="N240" s="169">
        <f t="shared" si="14"/>
        <v>0</v>
      </c>
      <c r="O240" s="169">
        <f t="shared" si="15"/>
        <v>13</v>
      </c>
      <c r="Z240" s="219"/>
      <c r="AA240" s="219"/>
    </row>
    <row r="241" spans="1:27" x14ac:dyDescent="0.3">
      <c r="A241" s="88">
        <v>239</v>
      </c>
      <c r="B241" s="173">
        <v>162</v>
      </c>
      <c r="C241" s="159"/>
      <c r="D241" s="88" t="s">
        <v>508</v>
      </c>
      <c r="E241" s="88" t="s">
        <v>771</v>
      </c>
      <c r="F241" s="88" t="s">
        <v>1001</v>
      </c>
      <c r="G241" s="88" t="s">
        <v>1002</v>
      </c>
      <c r="H241" s="88"/>
      <c r="I241" s="88"/>
      <c r="J241" s="49">
        <v>1</v>
      </c>
      <c r="K241" s="49">
        <v>70</v>
      </c>
      <c r="L241" s="169">
        <f t="shared" si="12"/>
        <v>70</v>
      </c>
      <c r="M241" s="169">
        <f t="shared" si="13"/>
        <v>0</v>
      </c>
      <c r="N241" s="169">
        <f t="shared" si="14"/>
        <v>0</v>
      </c>
      <c r="O241" s="169">
        <f t="shared" si="15"/>
        <v>70</v>
      </c>
      <c r="Z241" s="219"/>
      <c r="AA241" s="219"/>
    </row>
    <row r="242" spans="1:27" x14ac:dyDescent="0.3">
      <c r="A242" s="88">
        <v>240</v>
      </c>
      <c r="B242" s="173">
        <v>163</v>
      </c>
      <c r="C242" s="159"/>
      <c r="D242" s="88" t="s">
        <v>508</v>
      </c>
      <c r="E242" s="88" t="s">
        <v>710</v>
      </c>
      <c r="F242" s="88" t="s">
        <v>711</v>
      </c>
      <c r="G242" s="88" t="s">
        <v>1003</v>
      </c>
      <c r="H242" s="88">
        <v>300064889900003</v>
      </c>
      <c r="I242" s="88"/>
      <c r="J242" s="49">
        <v>1</v>
      </c>
      <c r="K242" s="49">
        <v>86.96</v>
      </c>
      <c r="L242" s="169">
        <f t="shared" si="12"/>
        <v>86.96</v>
      </c>
      <c r="M242" s="169">
        <f t="shared" si="13"/>
        <v>1</v>
      </c>
      <c r="N242" s="169">
        <f t="shared" si="14"/>
        <v>13.043999999999999</v>
      </c>
      <c r="O242" s="169">
        <f t="shared" si="15"/>
        <v>100.00399999999999</v>
      </c>
      <c r="Z242" s="219"/>
      <c r="AA242" s="219"/>
    </row>
    <row r="243" spans="1:27" x14ac:dyDescent="0.3">
      <c r="A243" s="88">
        <v>241</v>
      </c>
      <c r="B243" s="173">
        <v>164</v>
      </c>
      <c r="C243" s="159"/>
      <c r="D243" s="88" t="s">
        <v>508</v>
      </c>
      <c r="E243" s="88" t="s">
        <v>710</v>
      </c>
      <c r="F243" s="88" t="s">
        <v>711</v>
      </c>
      <c r="G243" s="88" t="s">
        <v>1004</v>
      </c>
      <c r="H243" s="88">
        <v>302008755200003</v>
      </c>
      <c r="I243" s="88"/>
      <c r="J243" s="49">
        <v>1</v>
      </c>
      <c r="K243" s="49">
        <v>43.47</v>
      </c>
      <c r="L243" s="169">
        <f t="shared" si="12"/>
        <v>43.47</v>
      </c>
      <c r="M243" s="169">
        <f t="shared" si="13"/>
        <v>1</v>
      </c>
      <c r="N243" s="169">
        <f t="shared" si="14"/>
        <v>6.5204999999999993</v>
      </c>
      <c r="O243" s="169">
        <f t="shared" si="15"/>
        <v>49.990499999999997</v>
      </c>
      <c r="Z243" s="219"/>
      <c r="AA243" s="219"/>
    </row>
    <row r="244" spans="1:27" x14ac:dyDescent="0.3">
      <c r="A244" s="88">
        <v>242</v>
      </c>
      <c r="B244" s="173">
        <v>165</v>
      </c>
      <c r="C244" s="159"/>
      <c r="D244" s="88" t="s">
        <v>508</v>
      </c>
      <c r="E244" s="88" t="s">
        <v>763</v>
      </c>
      <c r="F244" s="88" t="s">
        <v>1005</v>
      </c>
      <c r="G244" s="88" t="s">
        <v>799</v>
      </c>
      <c r="H244" s="88">
        <v>302058761100003</v>
      </c>
      <c r="I244" s="88"/>
      <c r="J244" s="49">
        <v>1</v>
      </c>
      <c r="K244" s="49">
        <v>3.47</v>
      </c>
      <c r="L244" s="169">
        <f t="shared" si="12"/>
        <v>3.47</v>
      </c>
      <c r="M244" s="169">
        <f t="shared" si="13"/>
        <v>1</v>
      </c>
      <c r="N244" s="169">
        <f t="shared" si="14"/>
        <v>0.52049999999999996</v>
      </c>
      <c r="O244" s="169">
        <f t="shared" si="15"/>
        <v>3.9904999999999999</v>
      </c>
      <c r="Z244" s="219"/>
      <c r="AA244" s="219"/>
    </row>
    <row r="245" spans="1:27" x14ac:dyDescent="0.3">
      <c r="A245" s="88">
        <v>243</v>
      </c>
      <c r="B245" s="173">
        <v>166</v>
      </c>
      <c r="C245" s="159"/>
      <c r="D245" s="88" t="s">
        <v>508</v>
      </c>
      <c r="E245" s="88" t="s">
        <v>763</v>
      </c>
      <c r="F245" s="88" t="s">
        <v>1005</v>
      </c>
      <c r="G245" s="88" t="s">
        <v>799</v>
      </c>
      <c r="H245" s="88">
        <v>302058761100003</v>
      </c>
      <c r="I245" s="88"/>
      <c r="J245" s="49">
        <v>2</v>
      </c>
      <c r="K245" s="49">
        <v>3.47</v>
      </c>
      <c r="L245" s="169">
        <f t="shared" si="12"/>
        <v>6.94</v>
      </c>
      <c r="M245" s="169">
        <f t="shared" si="13"/>
        <v>1</v>
      </c>
      <c r="N245" s="169">
        <f t="shared" si="14"/>
        <v>1.0409999999999999</v>
      </c>
      <c r="O245" s="169">
        <f t="shared" si="15"/>
        <v>7.9809999999999999</v>
      </c>
      <c r="Z245" s="219"/>
      <c r="AA245" s="219"/>
    </row>
    <row r="246" spans="1:27" x14ac:dyDescent="0.3">
      <c r="A246" s="88">
        <v>244</v>
      </c>
      <c r="B246" s="173">
        <v>167</v>
      </c>
      <c r="C246" s="159"/>
      <c r="D246" s="88" t="s">
        <v>508</v>
      </c>
      <c r="E246" s="88" t="s">
        <v>789</v>
      </c>
      <c r="F246" s="88" t="s">
        <v>1006</v>
      </c>
      <c r="G246" s="88" t="s">
        <v>957</v>
      </c>
      <c r="H246" s="88">
        <v>300974961400003</v>
      </c>
      <c r="I246" s="88"/>
      <c r="J246" s="49">
        <v>2</v>
      </c>
      <c r="K246" s="49">
        <v>5</v>
      </c>
      <c r="L246" s="169">
        <f t="shared" si="12"/>
        <v>10</v>
      </c>
      <c r="M246" s="169">
        <f t="shared" si="13"/>
        <v>1</v>
      </c>
      <c r="N246" s="169">
        <f t="shared" si="14"/>
        <v>1.5</v>
      </c>
      <c r="O246" s="169">
        <f t="shared" si="15"/>
        <v>11.5</v>
      </c>
      <c r="Z246" s="219"/>
      <c r="AA246" s="219"/>
    </row>
    <row r="247" spans="1:27" x14ac:dyDescent="0.3">
      <c r="A247" s="88">
        <v>245</v>
      </c>
      <c r="B247" s="173">
        <v>168</v>
      </c>
      <c r="C247" s="159"/>
      <c r="D247" s="88" t="s">
        <v>508</v>
      </c>
      <c r="E247" s="88" t="s">
        <v>715</v>
      </c>
      <c r="F247" s="88" t="s">
        <v>964</v>
      </c>
      <c r="G247" s="88" t="s">
        <v>1007</v>
      </c>
      <c r="H247" s="88">
        <v>300151077400003</v>
      </c>
      <c r="I247" s="88"/>
      <c r="J247" s="49">
        <v>1</v>
      </c>
      <c r="K247" s="49">
        <v>46.95</v>
      </c>
      <c r="L247" s="169">
        <f t="shared" si="12"/>
        <v>46.95</v>
      </c>
      <c r="M247" s="169">
        <f t="shared" si="13"/>
        <v>1</v>
      </c>
      <c r="N247" s="169">
        <f t="shared" si="14"/>
        <v>7.0425000000000004</v>
      </c>
      <c r="O247" s="169">
        <f t="shared" si="15"/>
        <v>53.992500000000007</v>
      </c>
      <c r="Z247" s="219"/>
      <c r="AA247" s="219"/>
    </row>
    <row r="248" spans="1:27" x14ac:dyDescent="0.3">
      <c r="A248" s="88">
        <v>246</v>
      </c>
      <c r="B248" s="173">
        <v>169</v>
      </c>
      <c r="C248" s="159"/>
      <c r="D248" s="88" t="s">
        <v>508</v>
      </c>
      <c r="E248" s="88" t="s">
        <v>715</v>
      </c>
      <c r="F248" s="88" t="s">
        <v>964</v>
      </c>
      <c r="G248" s="88" t="s">
        <v>1008</v>
      </c>
      <c r="H248" s="88">
        <v>302270684900003</v>
      </c>
      <c r="I248" s="88"/>
      <c r="J248" s="49">
        <v>1</v>
      </c>
      <c r="K248" s="49">
        <v>20</v>
      </c>
      <c r="L248" s="169">
        <f t="shared" si="12"/>
        <v>20</v>
      </c>
      <c r="M248" s="169">
        <f t="shared" si="13"/>
        <v>1</v>
      </c>
      <c r="N248" s="169">
        <f t="shared" si="14"/>
        <v>3</v>
      </c>
      <c r="O248" s="169">
        <f t="shared" si="15"/>
        <v>23</v>
      </c>
      <c r="Z248" s="219"/>
      <c r="AA248" s="219"/>
    </row>
    <row r="249" spans="1:27" x14ac:dyDescent="0.3">
      <c r="A249" s="88">
        <v>247</v>
      </c>
      <c r="B249" s="173">
        <v>170</v>
      </c>
      <c r="C249" s="159"/>
      <c r="D249" s="88" t="s">
        <v>508</v>
      </c>
      <c r="E249" s="88" t="s">
        <v>710</v>
      </c>
      <c r="F249" s="88" t="s">
        <v>711</v>
      </c>
      <c r="G249" s="88" t="s">
        <v>1009</v>
      </c>
      <c r="H249" s="88">
        <v>301341657700003</v>
      </c>
      <c r="I249" s="88"/>
      <c r="J249" s="49">
        <v>1</v>
      </c>
      <c r="K249" s="49">
        <v>58.22</v>
      </c>
      <c r="L249" s="169">
        <f t="shared" si="12"/>
        <v>58.22</v>
      </c>
      <c r="M249" s="169">
        <f t="shared" si="13"/>
        <v>1</v>
      </c>
      <c r="N249" s="169">
        <f t="shared" si="14"/>
        <v>8.7329999999999988</v>
      </c>
      <c r="O249" s="169">
        <f t="shared" si="15"/>
        <v>66.953000000000003</v>
      </c>
      <c r="Z249" s="219"/>
      <c r="AA249" s="219"/>
    </row>
    <row r="250" spans="1:27" x14ac:dyDescent="0.3">
      <c r="A250" s="88">
        <v>248</v>
      </c>
      <c r="B250" s="173">
        <v>171</v>
      </c>
      <c r="C250" s="159"/>
      <c r="D250" s="88" t="s">
        <v>508</v>
      </c>
      <c r="E250" s="88" t="s">
        <v>715</v>
      </c>
      <c r="F250" s="88" t="s">
        <v>964</v>
      </c>
      <c r="G250" s="88" t="s">
        <v>797</v>
      </c>
      <c r="H250" s="88">
        <v>300483706400003</v>
      </c>
      <c r="I250" s="88"/>
      <c r="J250" s="49">
        <v>1</v>
      </c>
      <c r="K250" s="49">
        <v>37.39</v>
      </c>
      <c r="L250" s="169">
        <f t="shared" si="12"/>
        <v>37.39</v>
      </c>
      <c r="M250" s="169">
        <f t="shared" si="13"/>
        <v>1</v>
      </c>
      <c r="N250" s="169">
        <f t="shared" si="14"/>
        <v>5.6085000000000003</v>
      </c>
      <c r="O250" s="169">
        <f t="shared" si="15"/>
        <v>42.9985</v>
      </c>
      <c r="Z250" s="219"/>
      <c r="AA250" s="219"/>
    </row>
    <row r="251" spans="1:27" x14ac:dyDescent="0.3">
      <c r="A251" s="88">
        <v>249</v>
      </c>
      <c r="B251" s="173">
        <v>172</v>
      </c>
      <c r="C251" s="159"/>
      <c r="D251" s="88" t="s">
        <v>508</v>
      </c>
      <c r="E251" s="88" t="s">
        <v>715</v>
      </c>
      <c r="F251" s="88" t="s">
        <v>964</v>
      </c>
      <c r="G251" s="88" t="s">
        <v>797</v>
      </c>
      <c r="H251" s="88">
        <v>300483706400003</v>
      </c>
      <c r="I251" s="88"/>
      <c r="J251" s="49">
        <v>1</v>
      </c>
      <c r="K251" s="49">
        <v>1.73</v>
      </c>
      <c r="L251" s="169">
        <f t="shared" si="12"/>
        <v>1.73</v>
      </c>
      <c r="M251" s="169">
        <f t="shared" si="13"/>
        <v>1</v>
      </c>
      <c r="N251" s="169">
        <f t="shared" si="14"/>
        <v>0.25950000000000001</v>
      </c>
      <c r="O251" s="169">
        <f t="shared" si="15"/>
        <v>1.9895</v>
      </c>
      <c r="Z251" s="219"/>
      <c r="AA251" s="219"/>
    </row>
    <row r="252" spans="1:27" x14ac:dyDescent="0.3">
      <c r="A252" s="88">
        <v>250</v>
      </c>
      <c r="B252" s="173">
        <v>173</v>
      </c>
      <c r="C252" s="159"/>
      <c r="D252" s="88" t="s">
        <v>508</v>
      </c>
      <c r="E252" s="88" t="s">
        <v>715</v>
      </c>
      <c r="F252" s="88" t="s">
        <v>964</v>
      </c>
      <c r="G252" s="88" t="s">
        <v>797</v>
      </c>
      <c r="H252" s="88">
        <v>300483706400003</v>
      </c>
      <c r="I252" s="88"/>
      <c r="J252" s="49">
        <v>1</v>
      </c>
      <c r="K252" s="49">
        <v>20.86</v>
      </c>
      <c r="L252" s="169">
        <f t="shared" si="12"/>
        <v>20.86</v>
      </c>
      <c r="M252" s="169">
        <f t="shared" si="13"/>
        <v>1</v>
      </c>
      <c r="N252" s="169">
        <f t="shared" si="14"/>
        <v>3.129</v>
      </c>
      <c r="O252" s="169">
        <f t="shared" si="15"/>
        <v>23.989000000000001</v>
      </c>
      <c r="Z252" s="219"/>
      <c r="AA252" s="219"/>
    </row>
    <row r="253" spans="1:27" x14ac:dyDescent="0.3">
      <c r="A253" s="88">
        <v>251</v>
      </c>
      <c r="B253" s="173">
        <v>174</v>
      </c>
      <c r="C253" s="159"/>
      <c r="D253" s="88" t="s">
        <v>508</v>
      </c>
      <c r="E253" s="88" t="s">
        <v>715</v>
      </c>
      <c r="F253" s="88" t="s">
        <v>1010</v>
      </c>
      <c r="G253" s="88" t="s">
        <v>906</v>
      </c>
      <c r="H253" s="88">
        <v>300844969700003</v>
      </c>
      <c r="I253" s="88"/>
      <c r="J253" s="49">
        <v>1</v>
      </c>
      <c r="K253" s="49">
        <v>11.739000000000001</v>
      </c>
      <c r="L253" s="169">
        <f t="shared" si="12"/>
        <v>11.739000000000001</v>
      </c>
      <c r="M253" s="169">
        <f t="shared" si="13"/>
        <v>1</v>
      </c>
      <c r="N253" s="169">
        <f t="shared" si="14"/>
        <v>1.76085</v>
      </c>
      <c r="O253" s="169">
        <f t="shared" si="15"/>
        <v>13.49985</v>
      </c>
      <c r="Z253" s="219"/>
      <c r="AA253" s="219"/>
    </row>
    <row r="254" spans="1:27" x14ac:dyDescent="0.3">
      <c r="A254" s="88">
        <v>252</v>
      </c>
      <c r="B254" s="173">
        <v>175</v>
      </c>
      <c r="C254" s="159"/>
      <c r="D254" s="88" t="s">
        <v>508</v>
      </c>
      <c r="E254" s="88" t="s">
        <v>789</v>
      </c>
      <c r="F254" s="88" t="s">
        <v>1011</v>
      </c>
      <c r="G254" s="88" t="s">
        <v>906</v>
      </c>
      <c r="H254" s="88">
        <v>300844969700003</v>
      </c>
      <c r="I254" s="88"/>
      <c r="J254" s="49">
        <v>2</v>
      </c>
      <c r="K254" s="49">
        <v>11.304</v>
      </c>
      <c r="L254" s="169">
        <f t="shared" si="12"/>
        <v>22.608000000000001</v>
      </c>
      <c r="M254" s="169">
        <f t="shared" si="13"/>
        <v>1</v>
      </c>
      <c r="N254" s="169">
        <f t="shared" si="14"/>
        <v>3.3912</v>
      </c>
      <c r="O254" s="169">
        <f t="shared" si="15"/>
        <v>25.999200000000002</v>
      </c>
      <c r="Z254" s="219"/>
      <c r="AA254" s="219"/>
    </row>
    <row r="255" spans="1:27" x14ac:dyDescent="0.3">
      <c r="A255" s="88">
        <v>253</v>
      </c>
      <c r="B255" s="173">
        <v>176</v>
      </c>
      <c r="C255" s="159"/>
      <c r="D255" s="88" t="s">
        <v>508</v>
      </c>
      <c r="E255" s="88" t="s">
        <v>789</v>
      </c>
      <c r="F255" s="88" t="s">
        <v>1012</v>
      </c>
      <c r="G255" s="88" t="s">
        <v>906</v>
      </c>
      <c r="H255" s="88">
        <v>300844969700003</v>
      </c>
      <c r="I255" s="88"/>
      <c r="J255" s="49">
        <v>1</v>
      </c>
      <c r="K255" s="49">
        <v>19.13</v>
      </c>
      <c r="L255" s="169">
        <f t="shared" si="12"/>
        <v>19.13</v>
      </c>
      <c r="M255" s="169">
        <f t="shared" si="13"/>
        <v>1</v>
      </c>
      <c r="N255" s="169">
        <f t="shared" si="14"/>
        <v>2.8694999999999999</v>
      </c>
      <c r="O255" s="169">
        <f t="shared" si="15"/>
        <v>21.999499999999998</v>
      </c>
      <c r="Z255" s="219"/>
      <c r="AA255" s="219"/>
    </row>
    <row r="256" spans="1:27" x14ac:dyDescent="0.3">
      <c r="A256" s="88">
        <v>254</v>
      </c>
      <c r="B256" s="173">
        <v>176</v>
      </c>
      <c r="C256" s="159"/>
      <c r="D256" s="88" t="s">
        <v>508</v>
      </c>
      <c r="E256" s="88" t="s">
        <v>789</v>
      </c>
      <c r="F256" s="88" t="s">
        <v>1013</v>
      </c>
      <c r="G256" s="88" t="s">
        <v>906</v>
      </c>
      <c r="H256" s="88">
        <v>300844969700003</v>
      </c>
      <c r="I256" s="88"/>
      <c r="J256" s="49">
        <v>3</v>
      </c>
      <c r="K256" s="49">
        <v>15.651999999999999</v>
      </c>
      <c r="L256" s="169">
        <f t="shared" si="12"/>
        <v>46.955999999999996</v>
      </c>
      <c r="M256" s="169">
        <f t="shared" si="13"/>
        <v>1</v>
      </c>
      <c r="N256" s="169">
        <f t="shared" si="14"/>
        <v>7.0433999999999992</v>
      </c>
      <c r="O256" s="169">
        <f t="shared" si="15"/>
        <v>53.999399999999994</v>
      </c>
      <c r="Z256" s="219"/>
      <c r="AA256" s="219"/>
    </row>
    <row r="257" spans="1:27" x14ac:dyDescent="0.3">
      <c r="A257" s="88">
        <v>255</v>
      </c>
      <c r="B257" s="173">
        <v>177</v>
      </c>
      <c r="C257" s="159"/>
      <c r="D257" s="88" t="s">
        <v>508</v>
      </c>
      <c r="E257" s="88" t="s">
        <v>722</v>
      </c>
      <c r="F257" s="88" t="s">
        <v>1014</v>
      </c>
      <c r="G257" s="88" t="s">
        <v>801</v>
      </c>
      <c r="H257" s="88">
        <v>300272021500003</v>
      </c>
      <c r="I257" s="88"/>
      <c r="J257" s="49">
        <v>1</v>
      </c>
      <c r="K257" s="49">
        <v>23.478000000000002</v>
      </c>
      <c r="L257" s="169">
        <f t="shared" si="12"/>
        <v>23.478000000000002</v>
      </c>
      <c r="M257" s="169">
        <f t="shared" si="13"/>
        <v>1</v>
      </c>
      <c r="N257" s="169">
        <f t="shared" si="14"/>
        <v>3.5217000000000001</v>
      </c>
      <c r="O257" s="169">
        <f t="shared" si="15"/>
        <v>26.999700000000001</v>
      </c>
      <c r="Z257" s="219"/>
      <c r="AA257" s="219"/>
    </row>
    <row r="258" spans="1:27" x14ac:dyDescent="0.3">
      <c r="A258" s="88">
        <v>256</v>
      </c>
      <c r="B258" s="173">
        <v>178</v>
      </c>
      <c r="C258" s="159"/>
      <c r="D258" s="88" t="s">
        <v>508</v>
      </c>
      <c r="E258" s="88" t="s">
        <v>715</v>
      </c>
      <c r="F258" s="88" t="s">
        <v>1015</v>
      </c>
      <c r="G258" s="88" t="s">
        <v>884</v>
      </c>
      <c r="H258" s="88"/>
      <c r="I258" s="88"/>
      <c r="J258" s="49">
        <v>1</v>
      </c>
      <c r="K258" s="49">
        <v>90</v>
      </c>
      <c r="L258" s="169">
        <f t="shared" si="12"/>
        <v>90</v>
      </c>
      <c r="M258" s="169">
        <f t="shared" si="13"/>
        <v>0</v>
      </c>
      <c r="N258" s="169">
        <f t="shared" si="14"/>
        <v>0</v>
      </c>
      <c r="O258" s="169">
        <f t="shared" si="15"/>
        <v>90</v>
      </c>
      <c r="Z258" s="219"/>
      <c r="AA258" s="219"/>
    </row>
    <row r="259" spans="1:27" x14ac:dyDescent="0.3">
      <c r="A259" s="88">
        <v>257</v>
      </c>
      <c r="B259" s="173">
        <v>179</v>
      </c>
      <c r="C259" s="159"/>
      <c r="D259" s="88" t="s">
        <v>508</v>
      </c>
      <c r="E259" s="88" t="s">
        <v>1017</v>
      </c>
      <c r="F259" s="88" t="s">
        <v>1016</v>
      </c>
      <c r="G259" s="88" t="s">
        <v>884</v>
      </c>
      <c r="H259" s="88"/>
      <c r="I259" s="88"/>
      <c r="J259" s="49">
        <v>1</v>
      </c>
      <c r="K259" s="49">
        <v>2250</v>
      </c>
      <c r="L259" s="169">
        <f t="shared" si="12"/>
        <v>2250</v>
      </c>
      <c r="M259" s="169">
        <f t="shared" si="13"/>
        <v>0</v>
      </c>
      <c r="N259" s="169">
        <f t="shared" si="14"/>
        <v>0</v>
      </c>
      <c r="O259" s="169">
        <f t="shared" si="15"/>
        <v>2250</v>
      </c>
      <c r="Z259" s="219"/>
      <c r="AA259" s="219"/>
    </row>
    <row r="260" spans="1:27" x14ac:dyDescent="0.3">
      <c r="A260" s="88">
        <v>258</v>
      </c>
      <c r="B260" s="173">
        <v>180</v>
      </c>
      <c r="C260" s="159"/>
      <c r="D260" s="88" t="s">
        <v>508</v>
      </c>
      <c r="E260" s="88" t="s">
        <v>1017</v>
      </c>
      <c r="F260" s="88" t="s">
        <v>1018</v>
      </c>
      <c r="G260" s="88" t="s">
        <v>884</v>
      </c>
      <c r="H260" s="88"/>
      <c r="I260" s="88"/>
      <c r="J260" s="49">
        <v>1</v>
      </c>
      <c r="K260" s="49">
        <v>200</v>
      </c>
      <c r="L260" s="169">
        <f t="shared" ref="L260:L323" si="16">K260*J260</f>
        <v>200</v>
      </c>
      <c r="M260" s="169">
        <f t="shared" ref="M260:M323" si="17">IF(H260="",0,1)</f>
        <v>0</v>
      </c>
      <c r="N260" s="169">
        <f t="shared" ref="N260:N323" si="18">M260*L260*15%</f>
        <v>0</v>
      </c>
      <c r="O260" s="169">
        <f t="shared" ref="O260:O323" si="19">N260+L260</f>
        <v>200</v>
      </c>
      <c r="Z260" s="219"/>
      <c r="AA260" s="219"/>
    </row>
    <row r="261" spans="1:27" x14ac:dyDescent="0.3">
      <c r="A261" s="88">
        <v>259</v>
      </c>
      <c r="B261" s="173">
        <v>181</v>
      </c>
      <c r="C261" s="159"/>
      <c r="D261" s="88" t="s">
        <v>508</v>
      </c>
      <c r="E261" s="88" t="s">
        <v>1017</v>
      </c>
      <c r="F261" s="88" t="s">
        <v>1019</v>
      </c>
      <c r="G261" s="88" t="s">
        <v>884</v>
      </c>
      <c r="H261" s="88"/>
      <c r="I261" s="88"/>
      <c r="J261" s="49">
        <v>1</v>
      </c>
      <c r="K261" s="49">
        <v>2750</v>
      </c>
      <c r="L261" s="169">
        <f t="shared" si="16"/>
        <v>2750</v>
      </c>
      <c r="M261" s="169">
        <f t="shared" si="17"/>
        <v>0</v>
      </c>
      <c r="N261" s="169">
        <f t="shared" si="18"/>
        <v>0</v>
      </c>
      <c r="O261" s="169">
        <f t="shared" si="19"/>
        <v>2750</v>
      </c>
      <c r="Z261" s="219"/>
      <c r="AA261" s="219"/>
    </row>
    <row r="262" spans="1:27" x14ac:dyDescent="0.3">
      <c r="A262" s="88">
        <v>260</v>
      </c>
      <c r="B262" s="173">
        <v>182</v>
      </c>
      <c r="C262" s="159"/>
      <c r="D262" s="88" t="s">
        <v>508</v>
      </c>
      <c r="E262" s="88" t="s">
        <v>997</v>
      </c>
      <c r="F262" s="88" t="s">
        <v>1020</v>
      </c>
      <c r="G262" s="88" t="s">
        <v>884</v>
      </c>
      <c r="H262" s="88"/>
      <c r="I262" s="88"/>
      <c r="J262" s="49">
        <v>1</v>
      </c>
      <c r="K262" s="49">
        <v>30</v>
      </c>
      <c r="L262" s="169">
        <f t="shared" si="16"/>
        <v>30</v>
      </c>
      <c r="M262" s="169">
        <f t="shared" si="17"/>
        <v>0</v>
      </c>
      <c r="N262" s="169">
        <f t="shared" si="18"/>
        <v>0</v>
      </c>
      <c r="O262" s="169">
        <f t="shared" si="19"/>
        <v>30</v>
      </c>
      <c r="Z262" s="219"/>
      <c r="AA262" s="219"/>
    </row>
    <row r="263" spans="1:27" x14ac:dyDescent="0.3">
      <c r="A263" s="88">
        <v>261</v>
      </c>
      <c r="B263" s="173">
        <v>183</v>
      </c>
      <c r="C263" s="159"/>
      <c r="D263" s="88" t="s">
        <v>508</v>
      </c>
      <c r="E263" s="88" t="s">
        <v>757</v>
      </c>
      <c r="F263" s="88" t="s">
        <v>1021</v>
      </c>
      <c r="G263" s="88" t="s">
        <v>759</v>
      </c>
      <c r="H263" s="88"/>
      <c r="I263" s="88"/>
      <c r="J263" s="49">
        <v>1</v>
      </c>
      <c r="K263" s="49">
        <v>20</v>
      </c>
      <c r="L263" s="169">
        <f t="shared" si="16"/>
        <v>20</v>
      </c>
      <c r="M263" s="169">
        <f t="shared" si="17"/>
        <v>0</v>
      </c>
      <c r="N263" s="169">
        <f t="shared" si="18"/>
        <v>0</v>
      </c>
      <c r="O263" s="169">
        <f t="shared" si="19"/>
        <v>20</v>
      </c>
      <c r="Z263" s="219"/>
      <c r="AA263" s="219"/>
    </row>
    <row r="264" spans="1:27" x14ac:dyDescent="0.3">
      <c r="A264" s="88">
        <v>262</v>
      </c>
      <c r="B264" s="173">
        <v>184</v>
      </c>
      <c r="C264" s="159"/>
      <c r="D264" s="88" t="s">
        <v>508</v>
      </c>
      <c r="E264" s="88" t="s">
        <v>757</v>
      </c>
      <c r="F264" s="88" t="s">
        <v>1022</v>
      </c>
      <c r="G264" s="88" t="s">
        <v>759</v>
      </c>
      <c r="H264" s="88"/>
      <c r="I264" s="88"/>
      <c r="J264" s="49">
        <v>1</v>
      </c>
      <c r="K264" s="49">
        <v>5</v>
      </c>
      <c r="L264" s="169">
        <f t="shared" si="16"/>
        <v>5</v>
      </c>
      <c r="M264" s="169">
        <f t="shared" si="17"/>
        <v>0</v>
      </c>
      <c r="N264" s="169">
        <f t="shared" si="18"/>
        <v>0</v>
      </c>
      <c r="O264" s="169">
        <f t="shared" si="19"/>
        <v>5</v>
      </c>
      <c r="Z264" s="219"/>
      <c r="AA264" s="219"/>
    </row>
    <row r="265" spans="1:27" x14ac:dyDescent="0.3">
      <c r="A265" s="88">
        <v>263</v>
      </c>
      <c r="B265" s="173">
        <v>185</v>
      </c>
      <c r="C265" s="159"/>
      <c r="D265" s="88" t="s">
        <v>508</v>
      </c>
      <c r="E265" s="88" t="s">
        <v>757</v>
      </c>
      <c r="F265" s="88" t="s">
        <v>1022</v>
      </c>
      <c r="G265" s="88" t="s">
        <v>759</v>
      </c>
      <c r="H265" s="88"/>
      <c r="I265" s="88"/>
      <c r="J265" s="49">
        <v>1</v>
      </c>
      <c r="K265" s="49">
        <v>10</v>
      </c>
      <c r="L265" s="169">
        <f t="shared" si="16"/>
        <v>10</v>
      </c>
      <c r="M265" s="169">
        <f t="shared" si="17"/>
        <v>0</v>
      </c>
      <c r="N265" s="169">
        <f t="shared" si="18"/>
        <v>0</v>
      </c>
      <c r="O265" s="169">
        <f t="shared" si="19"/>
        <v>10</v>
      </c>
      <c r="Z265" s="219"/>
      <c r="AA265" s="219"/>
    </row>
    <row r="266" spans="1:27" x14ac:dyDescent="0.3">
      <c r="A266" s="88">
        <v>264</v>
      </c>
      <c r="B266" s="173">
        <v>186</v>
      </c>
      <c r="C266" s="159"/>
      <c r="D266" s="88" t="s">
        <v>508</v>
      </c>
      <c r="E266" s="88" t="s">
        <v>757</v>
      </c>
      <c r="F266" s="88" t="s">
        <v>1022</v>
      </c>
      <c r="G266" s="88" t="s">
        <v>759</v>
      </c>
      <c r="H266" s="88"/>
      <c r="I266" s="88"/>
      <c r="J266" s="49">
        <v>1</v>
      </c>
      <c r="K266" s="49">
        <v>2</v>
      </c>
      <c r="L266" s="169">
        <f t="shared" si="16"/>
        <v>2</v>
      </c>
      <c r="M266" s="169">
        <f t="shared" si="17"/>
        <v>0</v>
      </c>
      <c r="N266" s="169">
        <f t="shared" si="18"/>
        <v>0</v>
      </c>
      <c r="O266" s="169">
        <f t="shared" si="19"/>
        <v>2</v>
      </c>
      <c r="Z266" s="219"/>
      <c r="AA266" s="219"/>
    </row>
    <row r="267" spans="1:27" x14ac:dyDescent="0.3">
      <c r="A267" s="88">
        <v>265</v>
      </c>
      <c r="B267" s="173">
        <v>187</v>
      </c>
      <c r="C267" s="159"/>
      <c r="D267" s="88" t="s">
        <v>508</v>
      </c>
      <c r="E267" s="88" t="s">
        <v>757</v>
      </c>
      <c r="F267" s="88" t="s">
        <v>1023</v>
      </c>
      <c r="G267" s="88" t="s">
        <v>759</v>
      </c>
      <c r="H267" s="88"/>
      <c r="I267" s="88"/>
      <c r="J267" s="49">
        <v>1</v>
      </c>
      <c r="K267" s="49">
        <v>5</v>
      </c>
      <c r="L267" s="169">
        <f t="shared" si="16"/>
        <v>5</v>
      </c>
      <c r="M267" s="169">
        <f t="shared" si="17"/>
        <v>0</v>
      </c>
      <c r="N267" s="169">
        <f t="shared" si="18"/>
        <v>0</v>
      </c>
      <c r="O267" s="169">
        <f t="shared" si="19"/>
        <v>5</v>
      </c>
      <c r="Z267" s="219"/>
      <c r="AA267" s="219"/>
    </row>
    <row r="268" spans="1:27" x14ac:dyDescent="0.3">
      <c r="A268" s="88">
        <v>266</v>
      </c>
      <c r="B268" s="173">
        <v>188</v>
      </c>
      <c r="C268" s="159"/>
      <c r="D268" s="88" t="s">
        <v>508</v>
      </c>
      <c r="E268" s="88" t="s">
        <v>757</v>
      </c>
      <c r="F268" s="88" t="s">
        <v>1024</v>
      </c>
      <c r="G268" s="88" t="s">
        <v>1025</v>
      </c>
      <c r="H268" s="88"/>
      <c r="I268" s="88"/>
      <c r="J268" s="49">
        <v>1</v>
      </c>
      <c r="K268" s="49">
        <v>15</v>
      </c>
      <c r="L268" s="169">
        <f t="shared" si="16"/>
        <v>15</v>
      </c>
      <c r="M268" s="169">
        <f t="shared" si="17"/>
        <v>0</v>
      </c>
      <c r="N268" s="169">
        <f t="shared" si="18"/>
        <v>0</v>
      </c>
      <c r="O268" s="169">
        <f t="shared" si="19"/>
        <v>15</v>
      </c>
      <c r="Z268" s="219"/>
      <c r="AA268" s="219"/>
    </row>
    <row r="269" spans="1:27" x14ac:dyDescent="0.3">
      <c r="A269" s="88">
        <v>267</v>
      </c>
      <c r="B269" s="173">
        <v>189</v>
      </c>
      <c r="C269" s="159"/>
      <c r="D269" s="88" t="s">
        <v>508</v>
      </c>
      <c r="E269" s="88" t="s">
        <v>757</v>
      </c>
      <c r="F269" s="88" t="s">
        <v>934</v>
      </c>
      <c r="G269" s="88" t="s">
        <v>1025</v>
      </c>
      <c r="H269" s="88"/>
      <c r="I269" s="88"/>
      <c r="J269" s="49">
        <v>1</v>
      </c>
      <c r="K269" s="49">
        <v>30</v>
      </c>
      <c r="L269" s="169">
        <f t="shared" si="16"/>
        <v>30</v>
      </c>
      <c r="M269" s="169">
        <f t="shared" si="17"/>
        <v>0</v>
      </c>
      <c r="N269" s="169">
        <f t="shared" si="18"/>
        <v>0</v>
      </c>
      <c r="O269" s="169">
        <f t="shared" si="19"/>
        <v>30</v>
      </c>
      <c r="Z269" s="219"/>
      <c r="AA269" s="219"/>
    </row>
    <row r="270" spans="1:27" x14ac:dyDescent="0.3">
      <c r="A270" s="88">
        <v>268</v>
      </c>
      <c r="B270" s="173">
        <v>190</v>
      </c>
      <c r="C270" s="159"/>
      <c r="D270" s="88" t="s">
        <v>508</v>
      </c>
      <c r="E270" s="88" t="s">
        <v>757</v>
      </c>
      <c r="F270" s="88" t="s">
        <v>1026</v>
      </c>
      <c r="G270" s="88" t="s">
        <v>1027</v>
      </c>
      <c r="H270" s="88"/>
      <c r="I270" s="88"/>
      <c r="J270" s="49">
        <v>1</v>
      </c>
      <c r="K270" s="49">
        <v>165</v>
      </c>
      <c r="L270" s="169">
        <f t="shared" si="16"/>
        <v>165</v>
      </c>
      <c r="M270" s="169">
        <f t="shared" si="17"/>
        <v>0</v>
      </c>
      <c r="N270" s="169">
        <f t="shared" si="18"/>
        <v>0</v>
      </c>
      <c r="O270" s="169">
        <f t="shared" si="19"/>
        <v>165</v>
      </c>
      <c r="Z270" s="219"/>
      <c r="AA270" s="219"/>
    </row>
    <row r="271" spans="1:27" x14ac:dyDescent="0.3">
      <c r="A271" s="88">
        <v>269</v>
      </c>
      <c r="B271" s="173">
        <v>191</v>
      </c>
      <c r="C271" s="159"/>
      <c r="D271" s="88" t="s">
        <v>508</v>
      </c>
      <c r="E271" s="88" t="s">
        <v>757</v>
      </c>
      <c r="F271" s="88" t="s">
        <v>1026</v>
      </c>
      <c r="G271" s="88" t="s">
        <v>1027</v>
      </c>
      <c r="H271" s="88"/>
      <c r="I271" s="88"/>
      <c r="J271" s="49">
        <v>1</v>
      </c>
      <c r="K271" s="49">
        <v>78</v>
      </c>
      <c r="L271" s="169">
        <f t="shared" si="16"/>
        <v>78</v>
      </c>
      <c r="M271" s="169">
        <f t="shared" si="17"/>
        <v>0</v>
      </c>
      <c r="N271" s="169">
        <f t="shared" si="18"/>
        <v>0</v>
      </c>
      <c r="O271" s="169">
        <f t="shared" si="19"/>
        <v>78</v>
      </c>
      <c r="Z271" s="219"/>
      <c r="AA271" s="219"/>
    </row>
    <row r="272" spans="1:27" x14ac:dyDescent="0.3">
      <c r="A272" s="88">
        <v>270</v>
      </c>
      <c r="B272" s="173">
        <v>192</v>
      </c>
      <c r="C272" s="159"/>
      <c r="D272" s="88" t="s">
        <v>508</v>
      </c>
      <c r="E272" s="88" t="s">
        <v>757</v>
      </c>
      <c r="F272" s="88" t="s">
        <v>1026</v>
      </c>
      <c r="G272" s="88" t="s">
        <v>1027</v>
      </c>
      <c r="H272" s="88"/>
      <c r="I272" s="88"/>
      <c r="J272" s="49">
        <v>1</v>
      </c>
      <c r="K272" s="49">
        <v>315</v>
      </c>
      <c r="L272" s="169">
        <f t="shared" si="16"/>
        <v>315</v>
      </c>
      <c r="M272" s="169">
        <f t="shared" si="17"/>
        <v>0</v>
      </c>
      <c r="N272" s="169">
        <f t="shared" si="18"/>
        <v>0</v>
      </c>
      <c r="O272" s="169">
        <f t="shared" si="19"/>
        <v>315</v>
      </c>
      <c r="Z272" s="219"/>
      <c r="AA272" s="219"/>
    </row>
    <row r="273" spans="1:27" x14ac:dyDescent="0.3">
      <c r="A273" s="88">
        <v>271</v>
      </c>
      <c r="B273" s="173">
        <v>193</v>
      </c>
      <c r="C273" s="159"/>
      <c r="D273" s="88" t="s">
        <v>508</v>
      </c>
      <c r="E273" s="88" t="s">
        <v>757</v>
      </c>
      <c r="F273" s="88" t="s">
        <v>1026</v>
      </c>
      <c r="G273" s="88" t="s">
        <v>1027</v>
      </c>
      <c r="H273" s="88"/>
      <c r="I273" s="88"/>
      <c r="J273" s="49">
        <v>1</v>
      </c>
      <c r="K273" s="49">
        <v>137</v>
      </c>
      <c r="L273" s="169">
        <f t="shared" si="16"/>
        <v>137</v>
      </c>
      <c r="M273" s="169">
        <f t="shared" si="17"/>
        <v>0</v>
      </c>
      <c r="N273" s="169">
        <f t="shared" si="18"/>
        <v>0</v>
      </c>
      <c r="O273" s="169">
        <f t="shared" si="19"/>
        <v>137</v>
      </c>
      <c r="Z273" s="219"/>
      <c r="AA273" s="219"/>
    </row>
    <row r="274" spans="1:27" x14ac:dyDescent="0.3">
      <c r="A274" s="88">
        <v>272</v>
      </c>
      <c r="B274" s="173">
        <v>194</v>
      </c>
      <c r="C274" s="159"/>
      <c r="D274" s="88" t="s">
        <v>508</v>
      </c>
      <c r="E274" s="88" t="s">
        <v>757</v>
      </c>
      <c r="F274" s="88" t="s">
        <v>1026</v>
      </c>
      <c r="G274" s="88" t="s">
        <v>1027</v>
      </c>
      <c r="H274" s="88"/>
      <c r="I274" s="88"/>
      <c r="J274" s="49">
        <v>1</v>
      </c>
      <c r="K274" s="49">
        <v>59</v>
      </c>
      <c r="L274" s="169">
        <f t="shared" si="16"/>
        <v>59</v>
      </c>
      <c r="M274" s="169">
        <f t="shared" si="17"/>
        <v>0</v>
      </c>
      <c r="N274" s="169">
        <f t="shared" si="18"/>
        <v>0</v>
      </c>
      <c r="O274" s="169">
        <f t="shared" si="19"/>
        <v>59</v>
      </c>
      <c r="Z274" s="219"/>
      <c r="AA274" s="219"/>
    </row>
    <row r="275" spans="1:27" x14ac:dyDescent="0.3">
      <c r="A275" s="88">
        <v>273</v>
      </c>
      <c r="B275" s="173">
        <v>195</v>
      </c>
      <c r="C275" s="159"/>
      <c r="D275" s="88" t="s">
        <v>508</v>
      </c>
      <c r="E275" s="88" t="s">
        <v>757</v>
      </c>
      <c r="F275" s="88" t="s">
        <v>1022</v>
      </c>
      <c r="G275" s="88" t="s">
        <v>1028</v>
      </c>
      <c r="H275" s="88"/>
      <c r="I275" s="88"/>
      <c r="J275" s="49">
        <v>1</v>
      </c>
      <c r="K275" s="49">
        <v>300</v>
      </c>
      <c r="L275" s="169">
        <f t="shared" si="16"/>
        <v>300</v>
      </c>
      <c r="M275" s="169">
        <f t="shared" si="17"/>
        <v>0</v>
      </c>
      <c r="N275" s="169">
        <f t="shared" si="18"/>
        <v>0</v>
      </c>
      <c r="O275" s="169">
        <f t="shared" si="19"/>
        <v>300</v>
      </c>
      <c r="Z275" s="219"/>
      <c r="AA275" s="219"/>
    </row>
    <row r="276" spans="1:27" x14ac:dyDescent="0.3">
      <c r="A276" s="88">
        <v>274</v>
      </c>
      <c r="B276" s="173">
        <v>196</v>
      </c>
      <c r="C276" s="159"/>
      <c r="D276" s="88" t="s">
        <v>508</v>
      </c>
      <c r="E276" s="88" t="s">
        <v>757</v>
      </c>
      <c r="F276" s="88" t="s">
        <v>1022</v>
      </c>
      <c r="G276" s="88" t="s">
        <v>1029</v>
      </c>
      <c r="H276" s="88"/>
      <c r="I276" s="88"/>
      <c r="J276" s="49">
        <v>1</v>
      </c>
      <c r="K276" s="49">
        <v>105</v>
      </c>
      <c r="L276" s="169">
        <f t="shared" si="16"/>
        <v>105</v>
      </c>
      <c r="M276" s="169">
        <f t="shared" si="17"/>
        <v>0</v>
      </c>
      <c r="N276" s="169">
        <f t="shared" si="18"/>
        <v>0</v>
      </c>
      <c r="O276" s="169">
        <f t="shared" si="19"/>
        <v>105</v>
      </c>
      <c r="Z276" s="219"/>
      <c r="AA276" s="219"/>
    </row>
    <row r="277" spans="1:27" x14ac:dyDescent="0.3">
      <c r="A277" s="88">
        <v>275</v>
      </c>
      <c r="B277" s="173">
        <v>197</v>
      </c>
      <c r="C277" s="159"/>
      <c r="D277" s="88" t="s">
        <v>508</v>
      </c>
      <c r="E277" s="88" t="s">
        <v>1017</v>
      </c>
      <c r="F277" s="88" t="s">
        <v>1031</v>
      </c>
      <c r="G277" s="88" t="s">
        <v>1030</v>
      </c>
      <c r="H277" s="88">
        <v>300053476600003</v>
      </c>
      <c r="I277" s="88"/>
      <c r="J277" s="49">
        <v>1</v>
      </c>
      <c r="K277" s="49">
        <v>633</v>
      </c>
      <c r="L277" s="169">
        <f t="shared" si="16"/>
        <v>633</v>
      </c>
      <c r="M277" s="169">
        <f t="shared" si="17"/>
        <v>1</v>
      </c>
      <c r="N277" s="169">
        <f t="shared" si="18"/>
        <v>94.95</v>
      </c>
      <c r="O277" s="169">
        <f t="shared" si="19"/>
        <v>727.95</v>
      </c>
      <c r="Z277" s="219"/>
      <c r="AA277" s="219"/>
    </row>
    <row r="278" spans="1:27" x14ac:dyDescent="0.3">
      <c r="A278" s="88">
        <v>276</v>
      </c>
      <c r="B278" s="173">
        <v>198</v>
      </c>
      <c r="C278" s="159"/>
      <c r="D278" s="88" t="s">
        <v>508</v>
      </c>
      <c r="E278" s="88" t="s">
        <v>1017</v>
      </c>
      <c r="F278" s="88" t="s">
        <v>1032</v>
      </c>
      <c r="G278" s="88" t="s">
        <v>1033</v>
      </c>
      <c r="H278" s="88">
        <v>300317457800003</v>
      </c>
      <c r="I278" s="88" t="s">
        <v>1034</v>
      </c>
      <c r="J278" s="49">
        <v>1</v>
      </c>
      <c r="K278" s="49">
        <v>247.83</v>
      </c>
      <c r="L278" s="169">
        <f t="shared" si="16"/>
        <v>247.83</v>
      </c>
      <c r="M278" s="169">
        <f t="shared" si="17"/>
        <v>1</v>
      </c>
      <c r="N278" s="169">
        <f t="shared" si="18"/>
        <v>37.174500000000002</v>
      </c>
      <c r="O278" s="169">
        <f t="shared" si="19"/>
        <v>285.00450000000001</v>
      </c>
      <c r="Z278" s="219"/>
      <c r="AA278" s="219"/>
    </row>
    <row r="279" spans="1:27" x14ac:dyDescent="0.3">
      <c r="A279" s="88">
        <v>277</v>
      </c>
      <c r="B279" s="173">
        <v>199</v>
      </c>
      <c r="C279" s="159"/>
      <c r="D279" s="88" t="s">
        <v>508</v>
      </c>
      <c r="E279" s="88" t="s">
        <v>1017</v>
      </c>
      <c r="F279" s="88" t="s">
        <v>1035</v>
      </c>
      <c r="G279" s="88" t="s">
        <v>1041</v>
      </c>
      <c r="H279" s="88">
        <v>300043046400003</v>
      </c>
      <c r="I279" s="88" t="s">
        <v>1042</v>
      </c>
      <c r="J279" s="49">
        <v>60</v>
      </c>
      <c r="K279" s="49">
        <v>25</v>
      </c>
      <c r="L279" s="169">
        <f t="shared" si="16"/>
        <v>1500</v>
      </c>
      <c r="M279" s="169">
        <f t="shared" si="17"/>
        <v>1</v>
      </c>
      <c r="N279" s="169">
        <f t="shared" si="18"/>
        <v>225</v>
      </c>
      <c r="O279" s="169">
        <f t="shared" si="19"/>
        <v>1725</v>
      </c>
      <c r="Z279" s="219"/>
      <c r="AA279" s="219"/>
    </row>
    <row r="280" spans="1:27" x14ac:dyDescent="0.3">
      <c r="A280" s="88">
        <v>278</v>
      </c>
      <c r="B280" s="173">
        <v>199</v>
      </c>
      <c r="C280" s="159"/>
      <c r="D280" s="88" t="s">
        <v>508</v>
      </c>
      <c r="E280" s="88" t="s">
        <v>1017</v>
      </c>
      <c r="F280" s="88" t="s">
        <v>1036</v>
      </c>
      <c r="G280" s="88" t="s">
        <v>1041</v>
      </c>
      <c r="H280" s="88">
        <v>300043046400003</v>
      </c>
      <c r="I280" s="88" t="s">
        <v>1042</v>
      </c>
      <c r="J280" s="49">
        <v>25.92</v>
      </c>
      <c r="K280" s="49">
        <v>24</v>
      </c>
      <c r="L280" s="169">
        <f t="shared" si="16"/>
        <v>622.08000000000004</v>
      </c>
      <c r="M280" s="169">
        <f t="shared" si="17"/>
        <v>1</v>
      </c>
      <c r="N280" s="169">
        <f t="shared" si="18"/>
        <v>93.311999999999998</v>
      </c>
      <c r="O280" s="169">
        <f t="shared" si="19"/>
        <v>715.39200000000005</v>
      </c>
      <c r="Z280" s="219"/>
      <c r="AA280" s="219"/>
    </row>
    <row r="281" spans="1:27" x14ac:dyDescent="0.3">
      <c r="A281" s="88">
        <v>279</v>
      </c>
      <c r="B281" s="173">
        <v>199</v>
      </c>
      <c r="C281" s="159"/>
      <c r="D281" s="88" t="s">
        <v>508</v>
      </c>
      <c r="E281" s="88" t="s">
        <v>1017</v>
      </c>
      <c r="F281" s="88" t="s">
        <v>1037</v>
      </c>
      <c r="G281" s="88" t="s">
        <v>1041</v>
      </c>
      <c r="H281" s="88">
        <v>300043046400003</v>
      </c>
      <c r="I281" s="88" t="s">
        <v>718</v>
      </c>
      <c r="J281" s="49">
        <v>28</v>
      </c>
      <c r="K281" s="49">
        <v>50</v>
      </c>
      <c r="L281" s="169">
        <f t="shared" si="16"/>
        <v>1400</v>
      </c>
      <c r="M281" s="169">
        <f t="shared" si="17"/>
        <v>1</v>
      </c>
      <c r="N281" s="169">
        <f t="shared" si="18"/>
        <v>210</v>
      </c>
      <c r="O281" s="169">
        <f t="shared" si="19"/>
        <v>1610</v>
      </c>
      <c r="Z281" s="219"/>
      <c r="AA281" s="219"/>
    </row>
    <row r="282" spans="1:27" x14ac:dyDescent="0.3">
      <c r="A282" s="88">
        <v>280</v>
      </c>
      <c r="B282" s="173">
        <v>199</v>
      </c>
      <c r="C282" s="159"/>
      <c r="D282" s="88" t="s">
        <v>508</v>
      </c>
      <c r="E282" s="88" t="s">
        <v>1017</v>
      </c>
      <c r="F282" s="88" t="s">
        <v>1038</v>
      </c>
      <c r="G282" s="88" t="s">
        <v>1041</v>
      </c>
      <c r="H282" s="88">
        <v>300043046400003</v>
      </c>
      <c r="I282" s="88" t="s">
        <v>718</v>
      </c>
      <c r="J282" s="49">
        <v>2</v>
      </c>
      <c r="K282" s="49">
        <v>50</v>
      </c>
      <c r="L282" s="169">
        <f t="shared" si="16"/>
        <v>100</v>
      </c>
      <c r="M282" s="169">
        <f t="shared" si="17"/>
        <v>1</v>
      </c>
      <c r="N282" s="169">
        <f t="shared" si="18"/>
        <v>15</v>
      </c>
      <c r="O282" s="169">
        <f t="shared" si="19"/>
        <v>115</v>
      </c>
      <c r="Z282" s="219"/>
      <c r="AA282" s="219"/>
    </row>
    <row r="283" spans="1:27" x14ac:dyDescent="0.3">
      <c r="A283" s="88">
        <v>281</v>
      </c>
      <c r="B283" s="173">
        <v>199</v>
      </c>
      <c r="C283" s="159"/>
      <c r="D283" s="88" t="s">
        <v>508</v>
      </c>
      <c r="E283" s="88" t="s">
        <v>1017</v>
      </c>
      <c r="F283" s="88" t="s">
        <v>1039</v>
      </c>
      <c r="G283" s="88" t="s">
        <v>1041</v>
      </c>
      <c r="H283" s="88">
        <v>300043046400003</v>
      </c>
      <c r="I283" s="88" t="s">
        <v>1042</v>
      </c>
      <c r="J283" s="49">
        <v>1</v>
      </c>
      <c r="K283" s="49">
        <v>150</v>
      </c>
      <c r="L283" s="169">
        <f t="shared" si="16"/>
        <v>150</v>
      </c>
      <c r="M283" s="169">
        <f t="shared" si="17"/>
        <v>1</v>
      </c>
      <c r="N283" s="169">
        <f t="shared" si="18"/>
        <v>22.5</v>
      </c>
      <c r="O283" s="169">
        <f t="shared" si="19"/>
        <v>172.5</v>
      </c>
      <c r="Z283" s="219"/>
      <c r="AA283" s="219"/>
    </row>
    <row r="284" spans="1:27" x14ac:dyDescent="0.3">
      <c r="A284" s="88">
        <v>282</v>
      </c>
      <c r="B284" s="173">
        <v>199</v>
      </c>
      <c r="C284" s="159"/>
      <c r="D284" s="88" t="s">
        <v>508</v>
      </c>
      <c r="E284" s="88" t="s">
        <v>1017</v>
      </c>
      <c r="F284" s="88" t="s">
        <v>1040</v>
      </c>
      <c r="G284" s="88" t="s">
        <v>1041</v>
      </c>
      <c r="H284" s="88">
        <v>300043046400003</v>
      </c>
      <c r="I284" s="88" t="s">
        <v>1042</v>
      </c>
      <c r="J284" s="49">
        <v>2.468</v>
      </c>
      <c r="K284" s="49">
        <v>23</v>
      </c>
      <c r="L284" s="169">
        <f t="shared" si="16"/>
        <v>56.763999999999996</v>
      </c>
      <c r="M284" s="169">
        <f t="shared" si="17"/>
        <v>1</v>
      </c>
      <c r="N284" s="169">
        <f t="shared" si="18"/>
        <v>8.5145999999999997</v>
      </c>
      <c r="O284" s="169">
        <f t="shared" si="19"/>
        <v>65.278599999999997</v>
      </c>
      <c r="Z284" s="219"/>
      <c r="AA284" s="219"/>
    </row>
    <row r="285" spans="1:27" x14ac:dyDescent="0.3">
      <c r="A285" s="88">
        <v>283</v>
      </c>
      <c r="B285" s="173">
        <v>200</v>
      </c>
      <c r="C285" s="159"/>
      <c r="D285" s="88" t="s">
        <v>508</v>
      </c>
      <c r="E285" s="88" t="s">
        <v>1017</v>
      </c>
      <c r="F285" s="88" t="s">
        <v>1043</v>
      </c>
      <c r="G285" s="88" t="s">
        <v>884</v>
      </c>
      <c r="H285" s="88"/>
      <c r="I285" s="88"/>
      <c r="J285" s="49">
        <v>1</v>
      </c>
      <c r="K285" s="49">
        <v>1080</v>
      </c>
      <c r="L285" s="169">
        <f t="shared" si="16"/>
        <v>1080</v>
      </c>
      <c r="M285" s="169">
        <f t="shared" si="17"/>
        <v>0</v>
      </c>
      <c r="N285" s="169">
        <f t="shared" si="18"/>
        <v>0</v>
      </c>
      <c r="O285" s="169">
        <f t="shared" si="19"/>
        <v>1080</v>
      </c>
      <c r="Z285" s="219"/>
      <c r="AA285" s="219"/>
    </row>
    <row r="286" spans="1:27" x14ac:dyDescent="0.3">
      <c r="A286" s="88">
        <v>284</v>
      </c>
      <c r="B286" s="173">
        <v>201</v>
      </c>
      <c r="C286" s="159"/>
      <c r="D286" s="88" t="s">
        <v>508</v>
      </c>
      <c r="E286" s="88" t="s">
        <v>763</v>
      </c>
      <c r="F286" s="88" t="s">
        <v>1044</v>
      </c>
      <c r="G286" s="88" t="s">
        <v>1047</v>
      </c>
      <c r="H286" s="88">
        <v>310160083800003</v>
      </c>
      <c r="I286" s="88"/>
      <c r="J286" s="88">
        <v>6</v>
      </c>
      <c r="K286" s="88">
        <v>100</v>
      </c>
      <c r="L286" s="169">
        <f t="shared" si="16"/>
        <v>600</v>
      </c>
      <c r="M286" s="169">
        <f t="shared" si="17"/>
        <v>1</v>
      </c>
      <c r="N286" s="169">
        <f t="shared" si="18"/>
        <v>90</v>
      </c>
      <c r="O286" s="169">
        <f t="shared" si="19"/>
        <v>690</v>
      </c>
      <c r="Z286" s="219"/>
      <c r="AA286" s="219"/>
    </row>
    <row r="287" spans="1:27" x14ac:dyDescent="0.3">
      <c r="A287" s="88">
        <v>285</v>
      </c>
      <c r="B287" s="173">
        <v>201</v>
      </c>
      <c r="C287" s="159"/>
      <c r="D287" s="88" t="s">
        <v>508</v>
      </c>
      <c r="E287" s="88" t="s">
        <v>763</v>
      </c>
      <c r="F287" s="88" t="s">
        <v>1046</v>
      </c>
      <c r="G287" s="88" t="s">
        <v>1047</v>
      </c>
      <c r="H287" s="88">
        <v>310160083800003</v>
      </c>
      <c r="I287" s="88"/>
      <c r="J287" s="49">
        <v>6</v>
      </c>
      <c r="K287" s="49">
        <v>13.06</v>
      </c>
      <c r="L287" s="169">
        <f t="shared" si="16"/>
        <v>78.36</v>
      </c>
      <c r="M287" s="169">
        <f t="shared" si="17"/>
        <v>1</v>
      </c>
      <c r="N287" s="169">
        <f t="shared" si="18"/>
        <v>11.754</v>
      </c>
      <c r="O287" s="169">
        <f t="shared" si="19"/>
        <v>90.114000000000004</v>
      </c>
      <c r="Z287" s="219"/>
      <c r="AA287" s="219"/>
    </row>
    <row r="288" spans="1:27" x14ac:dyDescent="0.3">
      <c r="A288" s="88">
        <v>286</v>
      </c>
      <c r="B288" s="173">
        <v>201</v>
      </c>
      <c r="C288" s="159"/>
      <c r="D288" s="88" t="s">
        <v>508</v>
      </c>
      <c r="E288" s="88" t="s">
        <v>763</v>
      </c>
      <c r="F288" s="88" t="s">
        <v>1045</v>
      </c>
      <c r="G288" s="88" t="s">
        <v>1047</v>
      </c>
      <c r="H288" s="88">
        <v>310160083800003</v>
      </c>
      <c r="I288" s="88"/>
      <c r="J288" s="49">
        <v>6</v>
      </c>
      <c r="K288" s="49">
        <v>10</v>
      </c>
      <c r="L288" s="169">
        <f t="shared" si="16"/>
        <v>60</v>
      </c>
      <c r="M288" s="169">
        <f t="shared" si="17"/>
        <v>1</v>
      </c>
      <c r="N288" s="169">
        <f t="shared" si="18"/>
        <v>9</v>
      </c>
      <c r="O288" s="169">
        <f t="shared" si="19"/>
        <v>69</v>
      </c>
      <c r="Z288" s="219"/>
      <c r="AA288" s="219"/>
    </row>
    <row r="289" spans="1:27" x14ac:dyDescent="0.3">
      <c r="A289" s="88">
        <v>287</v>
      </c>
      <c r="B289" s="173">
        <v>202</v>
      </c>
      <c r="C289" s="159"/>
      <c r="D289" s="88" t="s">
        <v>508</v>
      </c>
      <c r="E289" s="88" t="s">
        <v>708</v>
      </c>
      <c r="F289" s="88" t="s">
        <v>1048</v>
      </c>
      <c r="G289" s="88" t="s">
        <v>884</v>
      </c>
      <c r="H289" s="88"/>
      <c r="I289" s="88" t="s">
        <v>718</v>
      </c>
      <c r="J289" s="49">
        <v>1</v>
      </c>
      <c r="K289" s="49">
        <v>10</v>
      </c>
      <c r="L289" s="169">
        <f t="shared" si="16"/>
        <v>10</v>
      </c>
      <c r="M289" s="169">
        <f t="shared" si="17"/>
        <v>0</v>
      </c>
      <c r="N289" s="169">
        <f t="shared" si="18"/>
        <v>0</v>
      </c>
      <c r="O289" s="169">
        <f t="shared" si="19"/>
        <v>10</v>
      </c>
      <c r="Z289" s="219"/>
      <c r="AA289" s="219"/>
    </row>
    <row r="290" spans="1:27" x14ac:dyDescent="0.3">
      <c r="A290" s="88">
        <v>288</v>
      </c>
      <c r="B290" s="173">
        <v>203</v>
      </c>
      <c r="C290" s="159"/>
      <c r="D290" s="88" t="s">
        <v>509</v>
      </c>
      <c r="E290" s="88" t="s">
        <v>715</v>
      </c>
      <c r="F290" s="88" t="s">
        <v>1049</v>
      </c>
      <c r="G290" s="88" t="s">
        <v>1050</v>
      </c>
      <c r="H290" s="88">
        <v>3001720579100000</v>
      </c>
      <c r="I290" s="88"/>
      <c r="J290" s="49">
        <v>1</v>
      </c>
      <c r="K290" s="49">
        <v>66.55</v>
      </c>
      <c r="L290" s="169">
        <f t="shared" si="16"/>
        <v>66.55</v>
      </c>
      <c r="M290" s="169">
        <f t="shared" si="17"/>
        <v>1</v>
      </c>
      <c r="N290" s="169">
        <f t="shared" si="18"/>
        <v>9.9824999999999999</v>
      </c>
      <c r="O290" s="169">
        <f t="shared" si="19"/>
        <v>76.532499999999999</v>
      </c>
      <c r="Z290" s="219"/>
      <c r="AA290" s="219"/>
    </row>
    <row r="291" spans="1:27" x14ac:dyDescent="0.3">
      <c r="A291" s="88">
        <v>289</v>
      </c>
      <c r="B291" s="173">
        <v>204</v>
      </c>
      <c r="C291" s="159"/>
      <c r="D291" s="88" t="s">
        <v>510</v>
      </c>
      <c r="E291" s="88" t="s">
        <v>740</v>
      </c>
      <c r="F291" s="88" t="s">
        <v>741</v>
      </c>
      <c r="G291" s="88" t="s">
        <v>742</v>
      </c>
      <c r="H291" s="88">
        <v>300498479600003</v>
      </c>
      <c r="I291" s="88"/>
      <c r="J291" s="49">
        <v>6</v>
      </c>
      <c r="K291" s="49">
        <v>1</v>
      </c>
      <c r="L291" s="169">
        <f t="shared" si="16"/>
        <v>6</v>
      </c>
      <c r="M291" s="169">
        <f t="shared" si="17"/>
        <v>1</v>
      </c>
      <c r="N291" s="169">
        <f t="shared" si="18"/>
        <v>0.89999999999999991</v>
      </c>
      <c r="O291" s="169">
        <f t="shared" si="19"/>
        <v>6.9</v>
      </c>
      <c r="Z291" s="219"/>
      <c r="AA291" s="219"/>
    </row>
    <row r="292" spans="1:27" x14ac:dyDescent="0.3">
      <c r="A292" s="88">
        <v>290</v>
      </c>
      <c r="B292" s="173">
        <v>205</v>
      </c>
      <c r="C292" s="159"/>
      <c r="D292" s="88" t="s">
        <v>510</v>
      </c>
      <c r="E292" s="88" t="s">
        <v>740</v>
      </c>
      <c r="F292" s="88" t="s">
        <v>741</v>
      </c>
      <c r="G292" s="88" t="s">
        <v>742</v>
      </c>
      <c r="H292" s="88">
        <v>300498479600003</v>
      </c>
      <c r="I292" s="88"/>
      <c r="J292" s="49">
        <v>5</v>
      </c>
      <c r="K292" s="49">
        <v>1</v>
      </c>
      <c r="L292" s="169">
        <f t="shared" si="16"/>
        <v>5</v>
      </c>
      <c r="M292" s="169">
        <f t="shared" si="17"/>
        <v>1</v>
      </c>
      <c r="N292" s="169">
        <f t="shared" si="18"/>
        <v>0.75</v>
      </c>
      <c r="O292" s="169">
        <f t="shared" si="19"/>
        <v>5.75</v>
      </c>
      <c r="Z292" s="219"/>
      <c r="AA292" s="219"/>
    </row>
    <row r="293" spans="1:27" x14ac:dyDescent="0.3">
      <c r="A293" s="88">
        <v>291</v>
      </c>
      <c r="B293" s="173">
        <v>206</v>
      </c>
      <c r="C293" s="159"/>
      <c r="D293" s="88" t="s">
        <v>510</v>
      </c>
      <c r="E293" s="88" t="s">
        <v>740</v>
      </c>
      <c r="F293" s="88" t="s">
        <v>741</v>
      </c>
      <c r="G293" s="88" t="s">
        <v>742</v>
      </c>
      <c r="H293" s="88">
        <v>300498479600003</v>
      </c>
      <c r="I293" s="88"/>
      <c r="J293" s="49">
        <v>7</v>
      </c>
      <c r="K293" s="49">
        <v>1</v>
      </c>
      <c r="L293" s="169">
        <f t="shared" si="16"/>
        <v>7</v>
      </c>
      <c r="M293" s="169">
        <f t="shared" si="17"/>
        <v>1</v>
      </c>
      <c r="N293" s="169">
        <f t="shared" si="18"/>
        <v>1.05</v>
      </c>
      <c r="O293" s="169">
        <f t="shared" si="19"/>
        <v>8.0500000000000007</v>
      </c>
      <c r="Z293" s="219"/>
      <c r="AA293" s="219"/>
    </row>
    <row r="294" spans="1:27" x14ac:dyDescent="0.3">
      <c r="A294" s="88">
        <v>292</v>
      </c>
      <c r="B294" s="173">
        <v>207</v>
      </c>
      <c r="C294" s="159"/>
      <c r="D294" s="88" t="s">
        <v>510</v>
      </c>
      <c r="E294" s="88" t="s">
        <v>740</v>
      </c>
      <c r="F294" s="88" t="s">
        <v>741</v>
      </c>
      <c r="G294" s="88" t="s">
        <v>742</v>
      </c>
      <c r="H294" s="88">
        <v>300498479600003</v>
      </c>
      <c r="I294" s="88"/>
      <c r="J294" s="49">
        <v>6</v>
      </c>
      <c r="K294" s="49">
        <v>1</v>
      </c>
      <c r="L294" s="169">
        <f t="shared" si="16"/>
        <v>6</v>
      </c>
      <c r="M294" s="169">
        <f t="shared" si="17"/>
        <v>1</v>
      </c>
      <c r="N294" s="169">
        <f t="shared" si="18"/>
        <v>0.89999999999999991</v>
      </c>
      <c r="O294" s="169">
        <f t="shared" si="19"/>
        <v>6.9</v>
      </c>
      <c r="Z294" s="219"/>
      <c r="AA294" s="219"/>
    </row>
    <row r="295" spans="1:27" x14ac:dyDescent="0.3">
      <c r="A295" s="88">
        <v>293</v>
      </c>
      <c r="B295" s="173">
        <v>208</v>
      </c>
      <c r="C295" s="159"/>
      <c r="D295" s="88" t="s">
        <v>510</v>
      </c>
      <c r="E295" s="88" t="s">
        <v>740</v>
      </c>
      <c r="F295" s="88" t="s">
        <v>793</v>
      </c>
      <c r="G295" s="88" t="s">
        <v>742</v>
      </c>
      <c r="H295" s="88">
        <v>300498479600003</v>
      </c>
      <c r="I295" s="88"/>
      <c r="J295" s="49">
        <v>1</v>
      </c>
      <c r="K295" s="49">
        <v>15</v>
      </c>
      <c r="L295" s="169">
        <f t="shared" si="16"/>
        <v>15</v>
      </c>
      <c r="M295" s="169">
        <f t="shared" si="17"/>
        <v>1</v>
      </c>
      <c r="N295" s="169">
        <f t="shared" si="18"/>
        <v>2.25</v>
      </c>
      <c r="O295" s="169">
        <f t="shared" si="19"/>
        <v>17.25</v>
      </c>
      <c r="Z295" s="219"/>
      <c r="AA295" s="219"/>
    </row>
    <row r="296" spans="1:27" x14ac:dyDescent="0.3">
      <c r="A296" s="88">
        <v>294</v>
      </c>
      <c r="B296" s="173">
        <v>209</v>
      </c>
      <c r="C296" s="159"/>
      <c r="D296" s="88" t="s">
        <v>510</v>
      </c>
      <c r="E296" s="88" t="s">
        <v>740</v>
      </c>
      <c r="F296" s="88" t="s">
        <v>741</v>
      </c>
      <c r="G296" s="88" t="s">
        <v>742</v>
      </c>
      <c r="H296" s="88">
        <v>300498479600003</v>
      </c>
      <c r="I296" s="88"/>
      <c r="J296" s="49">
        <v>6</v>
      </c>
      <c r="K296" s="49">
        <v>1</v>
      </c>
      <c r="L296" s="169">
        <f t="shared" si="16"/>
        <v>6</v>
      </c>
      <c r="M296" s="169">
        <f t="shared" si="17"/>
        <v>1</v>
      </c>
      <c r="N296" s="169">
        <f t="shared" si="18"/>
        <v>0.89999999999999991</v>
      </c>
      <c r="O296" s="169">
        <f t="shared" si="19"/>
        <v>6.9</v>
      </c>
      <c r="Z296" s="219"/>
      <c r="AA296" s="219"/>
    </row>
    <row r="297" spans="1:27" x14ac:dyDescent="0.3">
      <c r="A297" s="88">
        <v>295</v>
      </c>
      <c r="B297" s="173">
        <v>210</v>
      </c>
      <c r="C297" s="159"/>
      <c r="D297" s="88" t="s">
        <v>510</v>
      </c>
      <c r="E297" s="88" t="s">
        <v>740</v>
      </c>
      <c r="F297" s="88" t="s">
        <v>741</v>
      </c>
      <c r="G297" s="88" t="s">
        <v>742</v>
      </c>
      <c r="H297" s="88">
        <v>300498479600003</v>
      </c>
      <c r="I297" s="88"/>
      <c r="J297" s="49">
        <v>7</v>
      </c>
      <c r="K297" s="49">
        <v>1</v>
      </c>
      <c r="L297" s="169">
        <f t="shared" si="16"/>
        <v>7</v>
      </c>
      <c r="M297" s="169">
        <f t="shared" si="17"/>
        <v>1</v>
      </c>
      <c r="N297" s="169">
        <f t="shared" si="18"/>
        <v>1.05</v>
      </c>
      <c r="O297" s="169">
        <f t="shared" si="19"/>
        <v>8.0500000000000007</v>
      </c>
      <c r="Z297" s="219"/>
      <c r="AA297" s="219"/>
    </row>
    <row r="298" spans="1:27" x14ac:dyDescent="0.3">
      <c r="A298" s="88">
        <v>296</v>
      </c>
      <c r="B298" s="173">
        <v>211</v>
      </c>
      <c r="C298" s="159"/>
      <c r="D298" s="88" t="s">
        <v>510</v>
      </c>
      <c r="E298" s="88" t="s">
        <v>740</v>
      </c>
      <c r="F298" s="88" t="s">
        <v>741</v>
      </c>
      <c r="G298" s="88" t="s">
        <v>742</v>
      </c>
      <c r="H298" s="88">
        <v>300498479600003</v>
      </c>
      <c r="I298" s="88"/>
      <c r="J298" s="49">
        <v>7</v>
      </c>
      <c r="K298" s="49">
        <v>1</v>
      </c>
      <c r="L298" s="169">
        <f t="shared" si="16"/>
        <v>7</v>
      </c>
      <c r="M298" s="169">
        <f t="shared" si="17"/>
        <v>1</v>
      </c>
      <c r="N298" s="169">
        <f t="shared" si="18"/>
        <v>1.05</v>
      </c>
      <c r="O298" s="169">
        <f t="shared" si="19"/>
        <v>8.0500000000000007</v>
      </c>
      <c r="Z298" s="219"/>
      <c r="AA298" s="219"/>
    </row>
    <row r="299" spans="1:27" x14ac:dyDescent="0.3">
      <c r="A299" s="88">
        <v>297</v>
      </c>
      <c r="B299" s="173">
        <v>212</v>
      </c>
      <c r="C299" s="159"/>
      <c r="D299" s="88" t="s">
        <v>510</v>
      </c>
      <c r="E299" s="88" t="s">
        <v>740</v>
      </c>
      <c r="F299" s="88" t="s">
        <v>741</v>
      </c>
      <c r="G299" s="88" t="s">
        <v>742</v>
      </c>
      <c r="H299" s="88">
        <v>300498479600003</v>
      </c>
      <c r="I299" s="88"/>
      <c r="J299" s="49">
        <v>7</v>
      </c>
      <c r="K299" s="49">
        <v>1</v>
      </c>
      <c r="L299" s="169">
        <f t="shared" si="16"/>
        <v>7</v>
      </c>
      <c r="M299" s="169">
        <f t="shared" si="17"/>
        <v>1</v>
      </c>
      <c r="N299" s="169">
        <f t="shared" si="18"/>
        <v>1.05</v>
      </c>
      <c r="O299" s="169">
        <f t="shared" si="19"/>
        <v>8.0500000000000007</v>
      </c>
      <c r="Z299" s="219"/>
      <c r="AA299" s="219"/>
    </row>
    <row r="300" spans="1:27" x14ac:dyDescent="0.3">
      <c r="A300" s="88">
        <v>298</v>
      </c>
      <c r="B300" s="173">
        <v>213</v>
      </c>
      <c r="C300" s="159"/>
      <c r="D300" s="88" t="s">
        <v>510</v>
      </c>
      <c r="E300" s="88" t="s">
        <v>740</v>
      </c>
      <c r="F300" s="88" t="s">
        <v>741</v>
      </c>
      <c r="G300" s="88" t="s">
        <v>742</v>
      </c>
      <c r="H300" s="88">
        <v>300498479600003</v>
      </c>
      <c r="I300" s="88"/>
      <c r="J300" s="49">
        <v>5</v>
      </c>
      <c r="K300" s="49">
        <v>1</v>
      </c>
      <c r="L300" s="169">
        <f t="shared" si="16"/>
        <v>5</v>
      </c>
      <c r="M300" s="169">
        <f t="shared" si="17"/>
        <v>1</v>
      </c>
      <c r="N300" s="169">
        <f t="shared" si="18"/>
        <v>0.75</v>
      </c>
      <c r="O300" s="169">
        <f t="shared" si="19"/>
        <v>5.75</v>
      </c>
      <c r="Z300" s="219"/>
      <c r="AA300" s="219"/>
    </row>
    <row r="301" spans="1:27" x14ac:dyDescent="0.3">
      <c r="A301" s="88">
        <v>299</v>
      </c>
      <c r="B301" s="173">
        <v>214</v>
      </c>
      <c r="C301" s="159"/>
      <c r="D301" s="88" t="s">
        <v>510</v>
      </c>
      <c r="E301" s="88" t="s">
        <v>740</v>
      </c>
      <c r="F301" s="88" t="s">
        <v>741</v>
      </c>
      <c r="G301" s="88" t="s">
        <v>742</v>
      </c>
      <c r="H301" s="88">
        <v>300498479600003</v>
      </c>
      <c r="I301" s="88"/>
      <c r="J301" s="49">
        <v>5</v>
      </c>
      <c r="K301" s="49">
        <v>1</v>
      </c>
      <c r="L301" s="169">
        <f t="shared" si="16"/>
        <v>5</v>
      </c>
      <c r="M301" s="169">
        <f t="shared" si="17"/>
        <v>1</v>
      </c>
      <c r="N301" s="169">
        <f t="shared" si="18"/>
        <v>0.75</v>
      </c>
      <c r="O301" s="169">
        <f t="shared" si="19"/>
        <v>5.75</v>
      </c>
      <c r="Z301" s="219"/>
      <c r="AA301" s="219"/>
    </row>
    <row r="302" spans="1:27" x14ac:dyDescent="0.3">
      <c r="A302" s="88">
        <v>300</v>
      </c>
      <c r="B302" s="173">
        <v>215</v>
      </c>
      <c r="C302" s="159"/>
      <c r="D302" s="88" t="s">
        <v>510</v>
      </c>
      <c r="E302" s="88" t="s">
        <v>740</v>
      </c>
      <c r="F302" s="88" t="s">
        <v>741</v>
      </c>
      <c r="G302" s="88" t="s">
        <v>742</v>
      </c>
      <c r="H302" s="88">
        <v>300498479600003</v>
      </c>
      <c r="I302" s="88"/>
      <c r="J302" s="49">
        <v>5</v>
      </c>
      <c r="K302" s="49">
        <v>1</v>
      </c>
      <c r="L302" s="169">
        <f t="shared" si="16"/>
        <v>5</v>
      </c>
      <c r="M302" s="169">
        <f t="shared" si="17"/>
        <v>1</v>
      </c>
      <c r="N302" s="169">
        <f t="shared" si="18"/>
        <v>0.75</v>
      </c>
      <c r="O302" s="169">
        <f t="shared" si="19"/>
        <v>5.75</v>
      </c>
      <c r="Z302" s="219"/>
      <c r="AA302" s="219"/>
    </row>
    <row r="303" spans="1:27" x14ac:dyDescent="0.3">
      <c r="A303" s="88">
        <v>301</v>
      </c>
      <c r="B303" s="173">
        <v>216</v>
      </c>
      <c r="C303" s="159"/>
      <c r="D303" s="88" t="s">
        <v>510</v>
      </c>
      <c r="E303" s="88" t="s">
        <v>740</v>
      </c>
      <c r="F303" s="88" t="s">
        <v>793</v>
      </c>
      <c r="G303" s="88" t="s">
        <v>742</v>
      </c>
      <c r="H303" s="88">
        <v>300498479600003</v>
      </c>
      <c r="I303" s="88"/>
      <c r="J303" s="49">
        <v>1</v>
      </c>
      <c r="K303" s="49">
        <v>5</v>
      </c>
      <c r="L303" s="169">
        <f t="shared" si="16"/>
        <v>5</v>
      </c>
      <c r="M303" s="169">
        <f t="shared" si="17"/>
        <v>1</v>
      </c>
      <c r="N303" s="169">
        <f t="shared" si="18"/>
        <v>0.75</v>
      </c>
      <c r="O303" s="169">
        <f t="shared" si="19"/>
        <v>5.75</v>
      </c>
      <c r="Z303" s="219"/>
      <c r="AA303" s="219"/>
    </row>
    <row r="304" spans="1:27" x14ac:dyDescent="0.3">
      <c r="A304" s="88">
        <v>302</v>
      </c>
      <c r="B304" s="173">
        <v>217</v>
      </c>
      <c r="C304" s="159"/>
      <c r="D304" s="88" t="s">
        <v>510</v>
      </c>
      <c r="E304" s="88" t="s">
        <v>740</v>
      </c>
      <c r="F304" s="88" t="s">
        <v>741</v>
      </c>
      <c r="G304" s="88" t="s">
        <v>742</v>
      </c>
      <c r="H304" s="88">
        <v>300498479600003</v>
      </c>
      <c r="I304" s="88"/>
      <c r="J304" s="49">
        <v>5</v>
      </c>
      <c r="K304" s="49">
        <v>1</v>
      </c>
      <c r="L304" s="169">
        <f t="shared" si="16"/>
        <v>5</v>
      </c>
      <c r="M304" s="169">
        <f t="shared" si="17"/>
        <v>1</v>
      </c>
      <c r="N304" s="169">
        <f t="shared" si="18"/>
        <v>0.75</v>
      </c>
      <c r="O304" s="169">
        <f t="shared" si="19"/>
        <v>5.75</v>
      </c>
      <c r="Z304" s="219"/>
      <c r="AA304" s="219"/>
    </row>
    <row r="305" spans="1:27" x14ac:dyDescent="0.3">
      <c r="A305" s="88">
        <v>303</v>
      </c>
      <c r="B305" s="173">
        <v>218</v>
      </c>
      <c r="C305" s="159"/>
      <c r="D305" s="88" t="s">
        <v>510</v>
      </c>
      <c r="E305" s="88" t="s">
        <v>740</v>
      </c>
      <c r="F305" s="88" t="s">
        <v>741</v>
      </c>
      <c r="G305" s="88" t="s">
        <v>742</v>
      </c>
      <c r="H305" s="88">
        <v>300498479600003</v>
      </c>
      <c r="I305" s="88"/>
      <c r="J305" s="49">
        <v>5</v>
      </c>
      <c r="K305" s="49">
        <v>1</v>
      </c>
      <c r="L305" s="169">
        <f t="shared" si="16"/>
        <v>5</v>
      </c>
      <c r="M305" s="169">
        <f t="shared" si="17"/>
        <v>1</v>
      </c>
      <c r="N305" s="169">
        <f t="shared" si="18"/>
        <v>0.75</v>
      </c>
      <c r="O305" s="169">
        <f t="shared" si="19"/>
        <v>5.75</v>
      </c>
      <c r="Z305" s="219"/>
      <c r="AA305" s="219"/>
    </row>
    <row r="306" spans="1:27" x14ac:dyDescent="0.3">
      <c r="A306" s="88">
        <v>304</v>
      </c>
      <c r="B306" s="173">
        <v>219</v>
      </c>
      <c r="C306" s="159"/>
      <c r="D306" s="88" t="s">
        <v>510</v>
      </c>
      <c r="E306" s="88" t="s">
        <v>740</v>
      </c>
      <c r="F306" s="88" t="s">
        <v>741</v>
      </c>
      <c r="G306" s="88" t="s">
        <v>742</v>
      </c>
      <c r="H306" s="88">
        <v>300498479600003</v>
      </c>
      <c r="I306" s="88"/>
      <c r="J306" s="49">
        <v>7</v>
      </c>
      <c r="K306" s="49">
        <v>1</v>
      </c>
      <c r="L306" s="169">
        <f t="shared" si="16"/>
        <v>7</v>
      </c>
      <c r="M306" s="169">
        <f t="shared" si="17"/>
        <v>1</v>
      </c>
      <c r="N306" s="169">
        <f t="shared" si="18"/>
        <v>1.05</v>
      </c>
      <c r="O306" s="169">
        <f t="shared" si="19"/>
        <v>8.0500000000000007</v>
      </c>
      <c r="Z306" s="219"/>
      <c r="AA306" s="219"/>
    </row>
    <row r="307" spans="1:27" x14ac:dyDescent="0.3">
      <c r="A307" s="88">
        <v>305</v>
      </c>
      <c r="B307" s="173">
        <v>220</v>
      </c>
      <c r="C307" s="159"/>
      <c r="D307" s="88" t="s">
        <v>510</v>
      </c>
      <c r="E307" s="88" t="s">
        <v>740</v>
      </c>
      <c r="F307" s="88" t="s">
        <v>741</v>
      </c>
      <c r="G307" s="88" t="s">
        <v>742</v>
      </c>
      <c r="H307" s="88">
        <v>300498479600003</v>
      </c>
      <c r="I307" s="88"/>
      <c r="J307" s="49">
        <v>7</v>
      </c>
      <c r="K307" s="49">
        <v>1</v>
      </c>
      <c r="L307" s="169">
        <f t="shared" si="16"/>
        <v>7</v>
      </c>
      <c r="M307" s="169">
        <f t="shared" si="17"/>
        <v>1</v>
      </c>
      <c r="N307" s="169">
        <f t="shared" si="18"/>
        <v>1.05</v>
      </c>
      <c r="O307" s="169">
        <f t="shared" si="19"/>
        <v>8.0500000000000007</v>
      </c>
      <c r="Z307" s="219"/>
      <c r="AA307" s="219"/>
    </row>
    <row r="308" spans="1:27" x14ac:dyDescent="0.3">
      <c r="A308" s="88">
        <v>306</v>
      </c>
      <c r="B308" s="173">
        <v>221</v>
      </c>
      <c r="C308" s="159"/>
      <c r="D308" s="88" t="s">
        <v>510</v>
      </c>
      <c r="E308" s="88" t="s">
        <v>740</v>
      </c>
      <c r="F308" s="88" t="s">
        <v>741</v>
      </c>
      <c r="G308" s="88" t="s">
        <v>742</v>
      </c>
      <c r="H308" s="88">
        <v>300498479600003</v>
      </c>
      <c r="I308" s="88"/>
      <c r="J308" s="49">
        <v>7</v>
      </c>
      <c r="K308" s="49">
        <v>1</v>
      </c>
      <c r="L308" s="169">
        <f t="shared" si="16"/>
        <v>7</v>
      </c>
      <c r="M308" s="169">
        <f t="shared" si="17"/>
        <v>1</v>
      </c>
      <c r="N308" s="169">
        <f t="shared" si="18"/>
        <v>1.05</v>
      </c>
      <c r="O308" s="169">
        <f t="shared" si="19"/>
        <v>8.0500000000000007</v>
      </c>
      <c r="Z308" s="219"/>
      <c r="AA308" s="219"/>
    </row>
    <row r="309" spans="1:27" x14ac:dyDescent="0.3">
      <c r="A309" s="88">
        <v>307</v>
      </c>
      <c r="B309" s="173">
        <v>222</v>
      </c>
      <c r="C309" s="159"/>
      <c r="D309" s="88" t="s">
        <v>510</v>
      </c>
      <c r="E309" s="88" t="s">
        <v>740</v>
      </c>
      <c r="F309" s="88" t="s">
        <v>741</v>
      </c>
      <c r="G309" s="88" t="s">
        <v>742</v>
      </c>
      <c r="H309" s="88">
        <v>300498479600003</v>
      </c>
      <c r="I309" s="88"/>
      <c r="J309" s="49">
        <v>7</v>
      </c>
      <c r="K309" s="49">
        <v>1</v>
      </c>
      <c r="L309" s="169">
        <f t="shared" si="16"/>
        <v>7</v>
      </c>
      <c r="M309" s="169">
        <f t="shared" si="17"/>
        <v>1</v>
      </c>
      <c r="N309" s="169">
        <f t="shared" si="18"/>
        <v>1.05</v>
      </c>
      <c r="O309" s="169">
        <f t="shared" si="19"/>
        <v>8.0500000000000007</v>
      </c>
      <c r="Z309" s="219"/>
      <c r="AA309" s="219"/>
    </row>
    <row r="310" spans="1:27" x14ac:dyDescent="0.3">
      <c r="A310" s="88">
        <v>308</v>
      </c>
      <c r="B310" s="173">
        <v>223</v>
      </c>
      <c r="C310" s="159"/>
      <c r="D310" s="88" t="s">
        <v>510</v>
      </c>
      <c r="E310" s="88" t="s">
        <v>740</v>
      </c>
      <c r="F310" s="88" t="s">
        <v>741</v>
      </c>
      <c r="G310" s="88" t="s">
        <v>742</v>
      </c>
      <c r="H310" s="88">
        <v>300498479600003</v>
      </c>
      <c r="I310" s="88"/>
      <c r="J310" s="49">
        <v>7</v>
      </c>
      <c r="K310" s="49">
        <v>1</v>
      </c>
      <c r="L310" s="169">
        <f t="shared" si="16"/>
        <v>7</v>
      </c>
      <c r="M310" s="169">
        <f t="shared" si="17"/>
        <v>1</v>
      </c>
      <c r="N310" s="169">
        <f t="shared" si="18"/>
        <v>1.05</v>
      </c>
      <c r="O310" s="169">
        <f t="shared" si="19"/>
        <v>8.0500000000000007</v>
      </c>
      <c r="Z310" s="219"/>
      <c r="AA310" s="219"/>
    </row>
    <row r="311" spans="1:27" x14ac:dyDescent="0.3">
      <c r="A311" s="88">
        <v>309</v>
      </c>
      <c r="B311" s="173">
        <v>224</v>
      </c>
      <c r="C311" s="159"/>
      <c r="D311" s="88" t="s">
        <v>510</v>
      </c>
      <c r="E311" s="88" t="s">
        <v>740</v>
      </c>
      <c r="F311" s="88" t="s">
        <v>741</v>
      </c>
      <c r="G311" s="88" t="s">
        <v>742</v>
      </c>
      <c r="H311" s="88">
        <v>300498479600003</v>
      </c>
      <c r="I311" s="88"/>
      <c r="J311" s="49">
        <v>2</v>
      </c>
      <c r="K311" s="49">
        <v>1</v>
      </c>
      <c r="L311" s="169">
        <f t="shared" si="16"/>
        <v>2</v>
      </c>
      <c r="M311" s="169">
        <f t="shared" si="17"/>
        <v>1</v>
      </c>
      <c r="N311" s="169">
        <f t="shared" si="18"/>
        <v>0.3</v>
      </c>
      <c r="O311" s="169">
        <f t="shared" si="19"/>
        <v>2.2999999999999998</v>
      </c>
      <c r="Z311" s="219"/>
      <c r="AA311" s="219"/>
    </row>
    <row r="312" spans="1:27" x14ac:dyDescent="0.3">
      <c r="A312" s="88">
        <v>310</v>
      </c>
      <c r="B312" s="173">
        <v>225</v>
      </c>
      <c r="C312" s="159"/>
      <c r="D312" s="88" t="s">
        <v>510</v>
      </c>
      <c r="E312" s="88" t="s">
        <v>740</v>
      </c>
      <c r="F312" s="88" t="s">
        <v>741</v>
      </c>
      <c r="G312" s="88" t="s">
        <v>742</v>
      </c>
      <c r="H312" s="88">
        <v>300498479600003</v>
      </c>
      <c r="I312" s="88"/>
      <c r="J312" s="49">
        <v>6</v>
      </c>
      <c r="K312" s="49">
        <v>1</v>
      </c>
      <c r="L312" s="169">
        <f t="shared" si="16"/>
        <v>6</v>
      </c>
      <c r="M312" s="169">
        <f t="shared" si="17"/>
        <v>1</v>
      </c>
      <c r="N312" s="169">
        <f t="shared" si="18"/>
        <v>0.89999999999999991</v>
      </c>
      <c r="O312" s="169">
        <f t="shared" si="19"/>
        <v>6.9</v>
      </c>
      <c r="Z312" s="219"/>
      <c r="AA312" s="219"/>
    </row>
    <row r="313" spans="1:27" x14ac:dyDescent="0.3">
      <c r="A313" s="88">
        <v>311</v>
      </c>
      <c r="B313" s="173">
        <v>226</v>
      </c>
      <c r="C313" s="159"/>
      <c r="D313" s="88" t="s">
        <v>510</v>
      </c>
      <c r="E313" s="88" t="s">
        <v>740</v>
      </c>
      <c r="F313" s="88" t="s">
        <v>1052</v>
      </c>
      <c r="G313" s="88" t="s">
        <v>742</v>
      </c>
      <c r="H313" s="88">
        <v>300498479600003</v>
      </c>
      <c r="I313" s="88"/>
      <c r="J313" s="49">
        <v>1</v>
      </c>
      <c r="K313" s="49">
        <v>6.3</v>
      </c>
      <c r="L313" s="169">
        <f t="shared" si="16"/>
        <v>6.3</v>
      </c>
      <c r="M313" s="169">
        <f t="shared" si="17"/>
        <v>1</v>
      </c>
      <c r="N313" s="169">
        <f t="shared" si="18"/>
        <v>0.94499999999999995</v>
      </c>
      <c r="O313" s="169">
        <f t="shared" si="19"/>
        <v>7.2450000000000001</v>
      </c>
      <c r="Z313" s="219"/>
      <c r="AA313" s="219"/>
    </row>
    <row r="314" spans="1:27" x14ac:dyDescent="0.3">
      <c r="A314" s="88">
        <v>312</v>
      </c>
      <c r="B314" s="173">
        <v>227</v>
      </c>
      <c r="C314" s="159"/>
      <c r="D314" s="88" t="s">
        <v>510</v>
      </c>
      <c r="E314" s="88" t="s">
        <v>740</v>
      </c>
      <c r="F314" s="88" t="s">
        <v>741</v>
      </c>
      <c r="G314" s="88" t="s">
        <v>742</v>
      </c>
      <c r="H314" s="88">
        <v>300498479600003</v>
      </c>
      <c r="I314" s="88"/>
      <c r="J314" s="49">
        <v>14</v>
      </c>
      <c r="K314" s="49">
        <v>1</v>
      </c>
      <c r="L314" s="169">
        <f t="shared" si="16"/>
        <v>14</v>
      </c>
      <c r="M314" s="169">
        <f t="shared" si="17"/>
        <v>1</v>
      </c>
      <c r="N314" s="169">
        <f t="shared" si="18"/>
        <v>2.1</v>
      </c>
      <c r="O314" s="169">
        <f t="shared" si="19"/>
        <v>16.100000000000001</v>
      </c>
      <c r="Z314" s="219"/>
      <c r="AA314" s="219"/>
    </row>
    <row r="315" spans="1:27" x14ac:dyDescent="0.3">
      <c r="A315" s="88">
        <v>313</v>
      </c>
      <c r="B315" s="173">
        <v>228</v>
      </c>
      <c r="C315" s="159"/>
      <c r="D315" s="88" t="s">
        <v>510</v>
      </c>
      <c r="E315" s="88" t="s">
        <v>740</v>
      </c>
      <c r="F315" s="88" t="s">
        <v>741</v>
      </c>
      <c r="G315" s="88" t="s">
        <v>742</v>
      </c>
      <c r="H315" s="88">
        <v>300498479600003</v>
      </c>
      <c r="I315" s="88"/>
      <c r="J315" s="49">
        <v>7</v>
      </c>
      <c r="K315" s="49">
        <v>1</v>
      </c>
      <c r="L315" s="169">
        <f t="shared" si="16"/>
        <v>7</v>
      </c>
      <c r="M315" s="169">
        <f t="shared" si="17"/>
        <v>1</v>
      </c>
      <c r="N315" s="169">
        <f t="shared" si="18"/>
        <v>1.05</v>
      </c>
      <c r="O315" s="169">
        <f t="shared" si="19"/>
        <v>8.0500000000000007</v>
      </c>
      <c r="Z315" s="219"/>
      <c r="AA315" s="219"/>
    </row>
    <row r="316" spans="1:27" x14ac:dyDescent="0.3">
      <c r="A316" s="88">
        <v>314</v>
      </c>
      <c r="B316" s="173">
        <v>229</v>
      </c>
      <c r="C316" s="159"/>
      <c r="D316" s="88" t="s">
        <v>510</v>
      </c>
      <c r="E316" s="88" t="s">
        <v>740</v>
      </c>
      <c r="F316" s="88" t="s">
        <v>741</v>
      </c>
      <c r="G316" s="88" t="s">
        <v>742</v>
      </c>
      <c r="H316" s="88">
        <v>300498479600003</v>
      </c>
      <c r="I316" s="88"/>
      <c r="J316" s="49">
        <v>7</v>
      </c>
      <c r="K316" s="49">
        <v>1</v>
      </c>
      <c r="L316" s="169">
        <f t="shared" si="16"/>
        <v>7</v>
      </c>
      <c r="M316" s="169">
        <f t="shared" si="17"/>
        <v>1</v>
      </c>
      <c r="N316" s="169">
        <f t="shared" si="18"/>
        <v>1.05</v>
      </c>
      <c r="O316" s="169">
        <f t="shared" si="19"/>
        <v>8.0500000000000007</v>
      </c>
      <c r="Z316" s="219"/>
      <c r="AA316" s="219"/>
    </row>
    <row r="317" spans="1:27" x14ac:dyDescent="0.3">
      <c r="A317" s="88">
        <v>315</v>
      </c>
      <c r="B317" s="173">
        <v>230</v>
      </c>
      <c r="C317" s="159"/>
      <c r="D317" s="88" t="s">
        <v>510</v>
      </c>
      <c r="E317" s="88" t="s">
        <v>740</v>
      </c>
      <c r="F317" s="88" t="s">
        <v>1053</v>
      </c>
      <c r="G317" s="88" t="s">
        <v>742</v>
      </c>
      <c r="H317" s="88">
        <v>300498479600003</v>
      </c>
      <c r="I317" s="88"/>
      <c r="J317" s="49">
        <v>7</v>
      </c>
      <c r="K317" s="49">
        <v>1</v>
      </c>
      <c r="L317" s="169">
        <f t="shared" si="16"/>
        <v>7</v>
      </c>
      <c r="M317" s="169">
        <f t="shared" si="17"/>
        <v>1</v>
      </c>
      <c r="N317" s="169">
        <f t="shared" si="18"/>
        <v>1.05</v>
      </c>
      <c r="O317" s="169">
        <f t="shared" si="19"/>
        <v>8.0500000000000007</v>
      </c>
      <c r="Z317" s="219"/>
      <c r="AA317" s="219"/>
    </row>
    <row r="318" spans="1:27" x14ac:dyDescent="0.3">
      <c r="A318" s="88">
        <v>316</v>
      </c>
      <c r="B318" s="173">
        <v>231</v>
      </c>
      <c r="C318" s="159"/>
      <c r="D318" s="88" t="s">
        <v>510</v>
      </c>
      <c r="E318" s="88" t="s">
        <v>710</v>
      </c>
      <c r="F318" s="88" t="s">
        <v>711</v>
      </c>
      <c r="G318" s="88" t="s">
        <v>953</v>
      </c>
      <c r="H318" s="88">
        <v>302064191100003</v>
      </c>
      <c r="I318" s="88"/>
      <c r="J318" s="49">
        <v>1</v>
      </c>
      <c r="K318" s="49">
        <v>63.5</v>
      </c>
      <c r="L318" s="169">
        <f t="shared" si="16"/>
        <v>63.5</v>
      </c>
      <c r="M318" s="169">
        <f t="shared" si="17"/>
        <v>1</v>
      </c>
      <c r="N318" s="169">
        <f t="shared" si="18"/>
        <v>9.5250000000000004</v>
      </c>
      <c r="O318" s="169">
        <f t="shared" si="19"/>
        <v>73.025000000000006</v>
      </c>
      <c r="Z318" s="219"/>
      <c r="AA318" s="219"/>
    </row>
    <row r="319" spans="1:27" x14ac:dyDescent="0.3">
      <c r="A319" s="88">
        <v>317</v>
      </c>
      <c r="B319" s="173">
        <v>232</v>
      </c>
      <c r="C319" s="159"/>
      <c r="D319" s="88" t="s">
        <v>510</v>
      </c>
      <c r="E319" s="88" t="s">
        <v>763</v>
      </c>
      <c r="F319" s="88" t="s">
        <v>1054</v>
      </c>
      <c r="G319" s="88" t="s">
        <v>906</v>
      </c>
      <c r="H319" s="88">
        <v>300844969700003</v>
      </c>
      <c r="I319" s="88"/>
      <c r="J319" s="49">
        <v>1</v>
      </c>
      <c r="K319" s="49">
        <v>6.0869999999999997</v>
      </c>
      <c r="L319" s="169">
        <f t="shared" si="16"/>
        <v>6.0869999999999997</v>
      </c>
      <c r="M319" s="169">
        <f t="shared" si="17"/>
        <v>1</v>
      </c>
      <c r="N319" s="169">
        <f t="shared" si="18"/>
        <v>0.91304999999999992</v>
      </c>
      <c r="O319" s="169">
        <f t="shared" si="19"/>
        <v>7.0000499999999999</v>
      </c>
      <c r="Z319" s="219"/>
      <c r="AA319" s="219"/>
    </row>
    <row r="320" spans="1:27" x14ac:dyDescent="0.3">
      <c r="A320" s="88">
        <v>318</v>
      </c>
      <c r="B320" s="173">
        <v>233</v>
      </c>
      <c r="C320" s="159"/>
      <c r="D320" s="88" t="s">
        <v>510</v>
      </c>
      <c r="E320" s="88" t="s">
        <v>763</v>
      </c>
      <c r="F320" s="88" t="s">
        <v>1054</v>
      </c>
      <c r="G320" s="88" t="s">
        <v>906</v>
      </c>
      <c r="H320" s="88">
        <v>300844969700003</v>
      </c>
      <c r="I320" s="88"/>
      <c r="J320" s="49">
        <v>1</v>
      </c>
      <c r="K320" s="49">
        <v>6.0869999999999997</v>
      </c>
      <c r="L320" s="169">
        <f t="shared" si="16"/>
        <v>6.0869999999999997</v>
      </c>
      <c r="M320" s="169">
        <f t="shared" si="17"/>
        <v>1</v>
      </c>
      <c r="N320" s="169">
        <f t="shared" si="18"/>
        <v>0.91304999999999992</v>
      </c>
      <c r="O320" s="169">
        <f t="shared" si="19"/>
        <v>7.0000499999999999</v>
      </c>
      <c r="Z320" s="219"/>
      <c r="AA320" s="219"/>
    </row>
    <row r="321" spans="1:27" x14ac:dyDescent="0.3">
      <c r="A321" s="88">
        <v>319</v>
      </c>
      <c r="B321" s="173">
        <v>234</v>
      </c>
      <c r="C321" s="159"/>
      <c r="D321" s="88" t="s">
        <v>510</v>
      </c>
      <c r="E321" s="88" t="s">
        <v>743</v>
      </c>
      <c r="F321" s="88" t="s">
        <v>1055</v>
      </c>
      <c r="G321" s="88" t="s">
        <v>906</v>
      </c>
      <c r="H321" s="88">
        <v>300844969700003</v>
      </c>
      <c r="I321" s="88"/>
      <c r="J321" s="49">
        <v>1</v>
      </c>
      <c r="K321" s="49">
        <v>34.783000000000001</v>
      </c>
      <c r="L321" s="169">
        <f t="shared" si="16"/>
        <v>34.783000000000001</v>
      </c>
      <c r="M321" s="169">
        <f t="shared" si="17"/>
        <v>1</v>
      </c>
      <c r="N321" s="169">
        <f t="shared" si="18"/>
        <v>5.2174500000000004</v>
      </c>
      <c r="O321" s="169">
        <f t="shared" si="19"/>
        <v>40.000450000000001</v>
      </c>
      <c r="Z321" s="219"/>
      <c r="AA321" s="219"/>
    </row>
    <row r="322" spans="1:27" x14ac:dyDescent="0.3">
      <c r="A322" s="88">
        <v>320</v>
      </c>
      <c r="B322" s="173">
        <v>234</v>
      </c>
      <c r="C322" s="159"/>
      <c r="D322" s="88" t="s">
        <v>510</v>
      </c>
      <c r="E322" s="88" t="s">
        <v>763</v>
      </c>
      <c r="F322" s="88" t="s">
        <v>1054</v>
      </c>
      <c r="G322" s="88" t="s">
        <v>906</v>
      </c>
      <c r="H322" s="88">
        <v>300844969700003</v>
      </c>
      <c r="I322" s="88"/>
      <c r="J322" s="49">
        <v>1</v>
      </c>
      <c r="K322" s="49">
        <v>6.0869999999999997</v>
      </c>
      <c r="L322" s="169">
        <f t="shared" si="16"/>
        <v>6.0869999999999997</v>
      </c>
      <c r="M322" s="169">
        <f t="shared" si="17"/>
        <v>1</v>
      </c>
      <c r="N322" s="169">
        <f t="shared" si="18"/>
        <v>0.91304999999999992</v>
      </c>
      <c r="O322" s="169">
        <f t="shared" si="19"/>
        <v>7.0000499999999999</v>
      </c>
      <c r="Z322" s="219"/>
      <c r="AA322" s="219"/>
    </row>
    <row r="323" spans="1:27" x14ac:dyDescent="0.3">
      <c r="A323" s="88">
        <v>321</v>
      </c>
      <c r="B323" s="173">
        <v>235</v>
      </c>
      <c r="C323" s="159"/>
      <c r="D323" s="88" t="s">
        <v>510</v>
      </c>
      <c r="E323" s="88" t="s">
        <v>763</v>
      </c>
      <c r="F323" s="88" t="s">
        <v>1054</v>
      </c>
      <c r="G323" s="88" t="s">
        <v>906</v>
      </c>
      <c r="H323" s="88">
        <v>300844969700003</v>
      </c>
      <c r="I323" s="88"/>
      <c r="J323" s="49">
        <v>1</v>
      </c>
      <c r="K323" s="49">
        <v>6.0869999999999997</v>
      </c>
      <c r="L323" s="169">
        <f t="shared" si="16"/>
        <v>6.0869999999999997</v>
      </c>
      <c r="M323" s="169">
        <f t="shared" si="17"/>
        <v>1</v>
      </c>
      <c r="N323" s="169">
        <f t="shared" si="18"/>
        <v>0.91304999999999992</v>
      </c>
      <c r="O323" s="169">
        <f t="shared" si="19"/>
        <v>7.0000499999999999</v>
      </c>
      <c r="Z323" s="219"/>
      <c r="AA323" s="219"/>
    </row>
    <row r="324" spans="1:27" x14ac:dyDescent="0.3">
      <c r="A324" s="88">
        <v>322</v>
      </c>
      <c r="B324" s="173">
        <v>236</v>
      </c>
      <c r="C324" s="159"/>
      <c r="D324" s="88" t="s">
        <v>510</v>
      </c>
      <c r="E324" s="88" t="s">
        <v>763</v>
      </c>
      <c r="F324" s="88" t="s">
        <v>1054</v>
      </c>
      <c r="G324" s="88" t="s">
        <v>906</v>
      </c>
      <c r="H324" s="88">
        <v>300844969700003</v>
      </c>
      <c r="I324" s="88"/>
      <c r="J324" s="49">
        <v>1</v>
      </c>
      <c r="K324" s="49">
        <v>6.0869999999999997</v>
      </c>
      <c r="L324" s="169">
        <f t="shared" ref="L324:L387" si="20">K324*J324</f>
        <v>6.0869999999999997</v>
      </c>
      <c r="M324" s="169">
        <f t="shared" ref="M324:M387" si="21">IF(H324="",0,1)</f>
        <v>1</v>
      </c>
      <c r="N324" s="169">
        <f t="shared" ref="N324:N387" si="22">M324*L324*15%</f>
        <v>0.91304999999999992</v>
      </c>
      <c r="O324" s="169">
        <f t="shared" ref="O324:O387" si="23">N324+L324</f>
        <v>7.0000499999999999</v>
      </c>
      <c r="Z324" s="219"/>
      <c r="AA324" s="219"/>
    </row>
    <row r="325" spans="1:27" x14ac:dyDescent="0.3">
      <c r="A325" s="88">
        <v>323</v>
      </c>
      <c r="B325" s="173">
        <v>237</v>
      </c>
      <c r="C325" s="159"/>
      <c r="D325" s="88" t="s">
        <v>510</v>
      </c>
      <c r="E325" s="88" t="s">
        <v>763</v>
      </c>
      <c r="F325" s="88" t="s">
        <v>1054</v>
      </c>
      <c r="G325" s="88" t="s">
        <v>906</v>
      </c>
      <c r="H325" s="88">
        <v>300844969700003</v>
      </c>
      <c r="I325" s="88"/>
      <c r="J325" s="49">
        <v>1</v>
      </c>
      <c r="K325" s="49">
        <v>6.0869999999999997</v>
      </c>
      <c r="L325" s="169">
        <f t="shared" si="20"/>
        <v>6.0869999999999997</v>
      </c>
      <c r="M325" s="169">
        <f t="shared" si="21"/>
        <v>1</v>
      </c>
      <c r="N325" s="169">
        <f t="shared" si="22"/>
        <v>0.91304999999999992</v>
      </c>
      <c r="O325" s="169">
        <f t="shared" si="23"/>
        <v>7.0000499999999999</v>
      </c>
      <c r="Z325" s="219"/>
      <c r="AA325" s="219"/>
    </row>
    <row r="326" spans="1:27" x14ac:dyDescent="0.3">
      <c r="A326" s="88">
        <v>324</v>
      </c>
      <c r="B326" s="173">
        <v>238</v>
      </c>
      <c r="C326" s="159"/>
      <c r="D326" s="88" t="s">
        <v>510</v>
      </c>
      <c r="E326" s="88" t="s">
        <v>763</v>
      </c>
      <c r="F326" s="88" t="s">
        <v>1054</v>
      </c>
      <c r="G326" s="88" t="s">
        <v>906</v>
      </c>
      <c r="H326" s="88">
        <v>300844969700003</v>
      </c>
      <c r="I326" s="88"/>
      <c r="J326" s="49">
        <v>1</v>
      </c>
      <c r="K326" s="49">
        <v>6.0869999999999997</v>
      </c>
      <c r="L326" s="169">
        <f t="shared" si="20"/>
        <v>6.0869999999999997</v>
      </c>
      <c r="M326" s="169">
        <f t="shared" si="21"/>
        <v>1</v>
      </c>
      <c r="N326" s="169">
        <f t="shared" si="22"/>
        <v>0.91304999999999992</v>
      </c>
      <c r="O326" s="169">
        <f t="shared" si="23"/>
        <v>7.0000499999999999</v>
      </c>
      <c r="Z326" s="219"/>
      <c r="AA326" s="219"/>
    </row>
    <row r="327" spans="1:27" x14ac:dyDescent="0.3">
      <c r="A327" s="88">
        <v>325</v>
      </c>
      <c r="B327" s="173">
        <v>239</v>
      </c>
      <c r="C327" s="159"/>
      <c r="D327" s="88" t="s">
        <v>510</v>
      </c>
      <c r="E327" s="88" t="s">
        <v>763</v>
      </c>
      <c r="F327" s="88" t="s">
        <v>1056</v>
      </c>
      <c r="G327" s="88" t="s">
        <v>801</v>
      </c>
      <c r="H327" s="88">
        <v>300272021500003</v>
      </c>
      <c r="I327" s="88"/>
      <c r="J327" s="49">
        <v>1</v>
      </c>
      <c r="K327" s="49">
        <v>8.6999999999999993</v>
      </c>
      <c r="L327" s="169">
        <f t="shared" si="20"/>
        <v>8.6999999999999993</v>
      </c>
      <c r="M327" s="169">
        <f t="shared" si="21"/>
        <v>1</v>
      </c>
      <c r="N327" s="169">
        <f t="shared" si="22"/>
        <v>1.3049999999999999</v>
      </c>
      <c r="O327" s="169">
        <f t="shared" si="23"/>
        <v>10.004999999999999</v>
      </c>
      <c r="Z327" s="219"/>
      <c r="AA327" s="219"/>
    </row>
    <row r="328" spans="1:27" x14ac:dyDescent="0.3">
      <c r="A328" s="88">
        <v>326</v>
      </c>
      <c r="B328" s="173">
        <v>240</v>
      </c>
      <c r="C328" s="159"/>
      <c r="D328" s="88" t="s">
        <v>510</v>
      </c>
      <c r="E328" s="88" t="s">
        <v>715</v>
      </c>
      <c r="F328" s="88" t="s">
        <v>800</v>
      </c>
      <c r="G328" s="88" t="s">
        <v>801</v>
      </c>
      <c r="H328" s="88">
        <v>300272021500003</v>
      </c>
      <c r="I328" s="88"/>
      <c r="J328" s="49">
        <v>1</v>
      </c>
      <c r="K328" s="49">
        <v>5.22</v>
      </c>
      <c r="L328" s="169">
        <f t="shared" si="20"/>
        <v>5.22</v>
      </c>
      <c r="M328" s="169">
        <f t="shared" si="21"/>
        <v>1</v>
      </c>
      <c r="N328" s="169">
        <f t="shared" si="22"/>
        <v>0.78299999999999992</v>
      </c>
      <c r="O328" s="169">
        <f t="shared" si="23"/>
        <v>6.0030000000000001</v>
      </c>
      <c r="Z328" s="219"/>
      <c r="AA328" s="219"/>
    </row>
    <row r="329" spans="1:27" x14ac:dyDescent="0.3">
      <c r="A329" s="88">
        <v>327</v>
      </c>
      <c r="B329" s="173">
        <v>241</v>
      </c>
      <c r="C329" s="159"/>
      <c r="D329" s="88" t="s">
        <v>510</v>
      </c>
      <c r="E329" s="88" t="s">
        <v>789</v>
      </c>
      <c r="F329" s="88" t="s">
        <v>1057</v>
      </c>
      <c r="G329" s="88" t="s">
        <v>801</v>
      </c>
      <c r="H329" s="88">
        <v>300272021500003</v>
      </c>
      <c r="I329" s="88"/>
      <c r="J329" s="49">
        <v>1</v>
      </c>
      <c r="K329" s="49">
        <v>6.9569999999999999</v>
      </c>
      <c r="L329" s="169">
        <f t="shared" si="20"/>
        <v>6.9569999999999999</v>
      </c>
      <c r="M329" s="169">
        <f t="shared" si="21"/>
        <v>1</v>
      </c>
      <c r="N329" s="169">
        <f t="shared" si="22"/>
        <v>1.04355</v>
      </c>
      <c r="O329" s="169">
        <f t="shared" si="23"/>
        <v>8.0005500000000005</v>
      </c>
      <c r="Z329" s="219"/>
      <c r="AA329" s="219"/>
    </row>
    <row r="330" spans="1:27" x14ac:dyDescent="0.3">
      <c r="A330" s="88">
        <v>328</v>
      </c>
      <c r="B330" s="173">
        <v>242</v>
      </c>
      <c r="C330" s="159"/>
      <c r="D330" s="88" t="s">
        <v>510</v>
      </c>
      <c r="E330" s="88" t="s">
        <v>789</v>
      </c>
      <c r="F330" s="88" t="s">
        <v>1058</v>
      </c>
      <c r="G330" s="88" t="s">
        <v>733</v>
      </c>
      <c r="H330" s="88">
        <v>311172172500003</v>
      </c>
      <c r="I330" s="88"/>
      <c r="J330" s="49">
        <v>1</v>
      </c>
      <c r="K330" s="49">
        <v>21.7</v>
      </c>
      <c r="L330" s="169">
        <f t="shared" si="20"/>
        <v>21.7</v>
      </c>
      <c r="M330" s="169">
        <f t="shared" si="21"/>
        <v>1</v>
      </c>
      <c r="N330" s="169">
        <f t="shared" si="22"/>
        <v>3.2549999999999999</v>
      </c>
      <c r="O330" s="169">
        <f t="shared" si="23"/>
        <v>24.954999999999998</v>
      </c>
      <c r="Z330" s="219"/>
      <c r="AA330" s="219"/>
    </row>
    <row r="331" spans="1:27" x14ac:dyDescent="0.3">
      <c r="A331" s="88">
        <v>329</v>
      </c>
      <c r="B331" s="173">
        <v>243</v>
      </c>
      <c r="C331" s="159"/>
      <c r="D331" s="88" t="s">
        <v>510</v>
      </c>
      <c r="E331" s="88" t="s">
        <v>709</v>
      </c>
      <c r="F331" s="88" t="s">
        <v>746</v>
      </c>
      <c r="G331" s="88" t="s">
        <v>745</v>
      </c>
      <c r="H331" s="88">
        <v>310928505700003</v>
      </c>
      <c r="I331" s="88"/>
      <c r="J331" s="49">
        <v>3</v>
      </c>
      <c r="K331" s="49">
        <v>11.3</v>
      </c>
      <c r="L331" s="169">
        <f t="shared" si="20"/>
        <v>33.900000000000006</v>
      </c>
      <c r="M331" s="169">
        <f t="shared" si="21"/>
        <v>1</v>
      </c>
      <c r="N331" s="169">
        <f t="shared" si="22"/>
        <v>5.0850000000000009</v>
      </c>
      <c r="O331" s="169">
        <f t="shared" si="23"/>
        <v>38.985000000000007</v>
      </c>
      <c r="Z331" s="219"/>
      <c r="AA331" s="219"/>
    </row>
    <row r="332" spans="1:27" x14ac:dyDescent="0.3">
      <c r="A332" s="88">
        <v>330</v>
      </c>
      <c r="B332" s="173">
        <v>244</v>
      </c>
      <c r="C332" s="159"/>
      <c r="D332" s="88" t="s">
        <v>510</v>
      </c>
      <c r="E332" s="88" t="s">
        <v>760</v>
      </c>
      <c r="F332" s="88" t="s">
        <v>1059</v>
      </c>
      <c r="G332" s="88" t="s">
        <v>1060</v>
      </c>
      <c r="H332" s="88">
        <v>310384620100003</v>
      </c>
      <c r="I332" s="88"/>
      <c r="J332" s="49">
        <v>1</v>
      </c>
      <c r="K332" s="49">
        <v>15.65</v>
      </c>
      <c r="L332" s="169">
        <f t="shared" si="20"/>
        <v>15.65</v>
      </c>
      <c r="M332" s="169">
        <f t="shared" si="21"/>
        <v>1</v>
      </c>
      <c r="N332" s="169">
        <f t="shared" si="22"/>
        <v>2.3475000000000001</v>
      </c>
      <c r="O332" s="169">
        <f t="shared" si="23"/>
        <v>17.997500000000002</v>
      </c>
      <c r="Z332" s="219"/>
      <c r="AA332" s="219"/>
    </row>
    <row r="333" spans="1:27" x14ac:dyDescent="0.3">
      <c r="A333" s="88">
        <v>331</v>
      </c>
      <c r="B333" s="173">
        <v>245</v>
      </c>
      <c r="C333" s="159"/>
      <c r="D333" s="88" t="s">
        <v>510</v>
      </c>
      <c r="E333" s="88" t="s">
        <v>760</v>
      </c>
      <c r="F333" s="88" t="s">
        <v>1061</v>
      </c>
      <c r="G333" s="88" t="s">
        <v>1060</v>
      </c>
      <c r="H333" s="88">
        <v>310384620100003</v>
      </c>
      <c r="I333" s="88"/>
      <c r="J333" s="49">
        <v>1</v>
      </c>
      <c r="K333" s="49">
        <v>6.96</v>
      </c>
      <c r="L333" s="169">
        <f t="shared" si="20"/>
        <v>6.96</v>
      </c>
      <c r="M333" s="169">
        <f t="shared" si="21"/>
        <v>1</v>
      </c>
      <c r="N333" s="169">
        <f t="shared" si="22"/>
        <v>1.044</v>
      </c>
      <c r="O333" s="169">
        <f t="shared" si="23"/>
        <v>8.0039999999999996</v>
      </c>
      <c r="Z333" s="219"/>
      <c r="AA333" s="219"/>
    </row>
    <row r="334" spans="1:27" x14ac:dyDescent="0.3">
      <c r="A334" s="88">
        <v>332</v>
      </c>
      <c r="B334" s="173">
        <v>246</v>
      </c>
      <c r="C334" s="159"/>
      <c r="D334" s="88" t="s">
        <v>510</v>
      </c>
      <c r="E334" s="88" t="s">
        <v>715</v>
      </c>
      <c r="F334" s="88" t="s">
        <v>1062</v>
      </c>
      <c r="G334" s="88" t="s">
        <v>1063</v>
      </c>
      <c r="H334" s="88">
        <v>300066889400003</v>
      </c>
      <c r="I334" s="88" t="s">
        <v>862</v>
      </c>
      <c r="J334" s="49">
        <v>1</v>
      </c>
      <c r="K334" s="49">
        <v>13.26</v>
      </c>
      <c r="L334" s="169">
        <f t="shared" si="20"/>
        <v>13.26</v>
      </c>
      <c r="M334" s="169">
        <f t="shared" si="21"/>
        <v>1</v>
      </c>
      <c r="N334" s="169">
        <f t="shared" si="22"/>
        <v>1.9889999999999999</v>
      </c>
      <c r="O334" s="169">
        <f t="shared" si="23"/>
        <v>15.248999999999999</v>
      </c>
      <c r="Z334" s="219"/>
      <c r="AA334" s="219"/>
    </row>
    <row r="335" spans="1:27" x14ac:dyDescent="0.3">
      <c r="A335" s="88">
        <v>333</v>
      </c>
      <c r="B335" s="173">
        <v>247</v>
      </c>
      <c r="C335" s="159"/>
      <c r="D335" s="88" t="s">
        <v>510</v>
      </c>
      <c r="E335" s="88" t="s">
        <v>760</v>
      </c>
      <c r="F335" s="88" t="s">
        <v>1064</v>
      </c>
      <c r="G335" s="88" t="s">
        <v>1065</v>
      </c>
      <c r="H335" s="88">
        <v>300053476600003</v>
      </c>
      <c r="I335" s="88"/>
      <c r="J335" s="49">
        <v>1</v>
      </c>
      <c r="K335" s="49">
        <v>2607</v>
      </c>
      <c r="L335" s="169">
        <f t="shared" si="20"/>
        <v>2607</v>
      </c>
      <c r="M335" s="169">
        <f t="shared" si="21"/>
        <v>1</v>
      </c>
      <c r="N335" s="169">
        <f t="shared" si="22"/>
        <v>391.05</v>
      </c>
      <c r="O335" s="169">
        <f t="shared" si="23"/>
        <v>2998.05</v>
      </c>
      <c r="Z335" s="219"/>
      <c r="AA335" s="219"/>
    </row>
    <row r="336" spans="1:27" x14ac:dyDescent="0.3">
      <c r="A336" s="88">
        <v>334</v>
      </c>
      <c r="B336" s="173">
        <v>248</v>
      </c>
      <c r="C336" s="159"/>
      <c r="D336" s="88" t="s">
        <v>510</v>
      </c>
      <c r="E336" s="88" t="s">
        <v>771</v>
      </c>
      <c r="F336" s="88" t="s">
        <v>1066</v>
      </c>
      <c r="G336" s="88" t="s">
        <v>1067</v>
      </c>
      <c r="H336" s="88">
        <v>310302306600003</v>
      </c>
      <c r="I336" s="88"/>
      <c r="J336" s="49">
        <v>5</v>
      </c>
      <c r="K336" s="49">
        <v>14.78</v>
      </c>
      <c r="L336" s="169">
        <f t="shared" si="20"/>
        <v>73.899999999999991</v>
      </c>
      <c r="M336" s="169">
        <f t="shared" si="21"/>
        <v>1</v>
      </c>
      <c r="N336" s="169">
        <f t="shared" si="22"/>
        <v>11.084999999999999</v>
      </c>
      <c r="O336" s="169">
        <f t="shared" si="23"/>
        <v>84.984999999999985</v>
      </c>
      <c r="Z336" s="219"/>
      <c r="AA336" s="219"/>
    </row>
    <row r="337" spans="1:27" x14ac:dyDescent="0.3">
      <c r="A337" s="88">
        <v>335</v>
      </c>
      <c r="B337" s="173">
        <v>248</v>
      </c>
      <c r="C337" s="159"/>
      <c r="D337" s="88" t="s">
        <v>510</v>
      </c>
      <c r="E337" s="88" t="s">
        <v>771</v>
      </c>
      <c r="F337" s="88" t="s">
        <v>1068</v>
      </c>
      <c r="G337" s="88" t="s">
        <v>1067</v>
      </c>
      <c r="H337" s="88">
        <v>310302306600003</v>
      </c>
      <c r="I337" s="88"/>
      <c r="J337" s="49">
        <v>1</v>
      </c>
      <c r="K337" s="49">
        <v>25</v>
      </c>
      <c r="L337" s="169">
        <f t="shared" si="20"/>
        <v>25</v>
      </c>
      <c r="M337" s="169">
        <f t="shared" si="21"/>
        <v>1</v>
      </c>
      <c r="N337" s="169">
        <f t="shared" si="22"/>
        <v>3.75</v>
      </c>
      <c r="O337" s="169">
        <f t="shared" si="23"/>
        <v>28.75</v>
      </c>
      <c r="Z337" s="219"/>
      <c r="AA337" s="219"/>
    </row>
    <row r="338" spans="1:27" x14ac:dyDescent="0.3">
      <c r="A338" s="88">
        <v>336</v>
      </c>
      <c r="B338" s="173">
        <v>248</v>
      </c>
      <c r="C338" s="159"/>
      <c r="D338" s="88" t="s">
        <v>510</v>
      </c>
      <c r="E338" s="88" t="s">
        <v>771</v>
      </c>
      <c r="F338" s="88" t="s">
        <v>1069</v>
      </c>
      <c r="G338" s="88" t="s">
        <v>1067</v>
      </c>
      <c r="H338" s="88">
        <v>310302306600003</v>
      </c>
      <c r="I338" s="88"/>
      <c r="J338" s="49">
        <v>1</v>
      </c>
      <c r="K338" s="49">
        <v>70</v>
      </c>
      <c r="L338" s="169">
        <f t="shared" si="20"/>
        <v>70</v>
      </c>
      <c r="M338" s="169">
        <f t="shared" si="21"/>
        <v>1</v>
      </c>
      <c r="N338" s="169">
        <f t="shared" si="22"/>
        <v>10.5</v>
      </c>
      <c r="O338" s="169">
        <f t="shared" si="23"/>
        <v>80.5</v>
      </c>
      <c r="Z338" s="219"/>
      <c r="AA338" s="219"/>
    </row>
    <row r="339" spans="1:27" x14ac:dyDescent="0.3">
      <c r="A339" s="88">
        <v>337</v>
      </c>
      <c r="B339" s="173">
        <v>249</v>
      </c>
      <c r="C339" s="159"/>
      <c r="D339" s="88" t="s">
        <v>510</v>
      </c>
      <c r="E339" s="88" t="s">
        <v>763</v>
      </c>
      <c r="F339" s="88" t="s">
        <v>1070</v>
      </c>
      <c r="G339" s="88" t="s">
        <v>1071</v>
      </c>
      <c r="H339" s="88">
        <v>300020207600003</v>
      </c>
      <c r="I339" s="88"/>
      <c r="J339" s="49">
        <v>1</v>
      </c>
      <c r="K339" s="49">
        <v>27.39</v>
      </c>
      <c r="L339" s="169">
        <f t="shared" si="20"/>
        <v>27.39</v>
      </c>
      <c r="M339" s="169">
        <f t="shared" si="21"/>
        <v>1</v>
      </c>
      <c r="N339" s="169">
        <f t="shared" si="22"/>
        <v>4.1085000000000003</v>
      </c>
      <c r="O339" s="169">
        <f t="shared" si="23"/>
        <v>31.4985</v>
      </c>
      <c r="Z339" s="219"/>
      <c r="AA339" s="219"/>
    </row>
    <row r="340" spans="1:27" x14ac:dyDescent="0.3">
      <c r="A340" s="88">
        <v>338</v>
      </c>
      <c r="B340" s="173">
        <v>250</v>
      </c>
      <c r="C340" s="159"/>
      <c r="D340" s="88" t="s">
        <v>510</v>
      </c>
      <c r="E340" s="88" t="s">
        <v>715</v>
      </c>
      <c r="F340" s="88" t="s">
        <v>800</v>
      </c>
      <c r="G340" s="88" t="s">
        <v>801</v>
      </c>
      <c r="H340" s="88">
        <v>300272021500003</v>
      </c>
      <c r="I340" s="88"/>
      <c r="J340" s="49">
        <v>1</v>
      </c>
      <c r="K340" s="49">
        <v>5.22</v>
      </c>
      <c r="L340" s="169">
        <f t="shared" si="20"/>
        <v>5.22</v>
      </c>
      <c r="M340" s="169">
        <f t="shared" si="21"/>
        <v>1</v>
      </c>
      <c r="N340" s="169">
        <f t="shared" si="22"/>
        <v>0.78299999999999992</v>
      </c>
      <c r="O340" s="169">
        <f t="shared" si="23"/>
        <v>6.0030000000000001</v>
      </c>
      <c r="Z340" s="219"/>
      <c r="AA340" s="219"/>
    </row>
    <row r="341" spans="1:27" x14ac:dyDescent="0.3">
      <c r="A341" s="88">
        <v>339</v>
      </c>
      <c r="B341" s="173">
        <v>251</v>
      </c>
      <c r="C341" s="159"/>
      <c r="D341" s="88" t="s">
        <v>510</v>
      </c>
      <c r="E341" s="88" t="s">
        <v>736</v>
      </c>
      <c r="F341" s="88" t="s">
        <v>608</v>
      </c>
      <c r="G341" s="88" t="s">
        <v>1072</v>
      </c>
      <c r="H341" s="88"/>
      <c r="I341" s="88"/>
      <c r="J341" s="49">
        <v>1</v>
      </c>
      <c r="K341" s="49">
        <v>20</v>
      </c>
      <c r="L341" s="169">
        <f t="shared" si="20"/>
        <v>20</v>
      </c>
      <c r="M341" s="169">
        <f t="shared" si="21"/>
        <v>0</v>
      </c>
      <c r="N341" s="169">
        <f t="shared" si="22"/>
        <v>0</v>
      </c>
      <c r="O341" s="169">
        <f t="shared" si="23"/>
        <v>20</v>
      </c>
      <c r="Z341" s="219"/>
      <c r="AA341" s="219"/>
    </row>
    <row r="342" spans="1:27" x14ac:dyDescent="0.3">
      <c r="A342" s="88">
        <v>340</v>
      </c>
      <c r="B342" s="173">
        <v>252</v>
      </c>
      <c r="C342" s="159"/>
      <c r="D342" s="88" t="s">
        <v>510</v>
      </c>
      <c r="E342" s="88" t="s">
        <v>736</v>
      </c>
      <c r="F342" s="88" t="s">
        <v>608</v>
      </c>
      <c r="G342" s="88" t="s">
        <v>1072</v>
      </c>
      <c r="H342" s="88"/>
      <c r="I342" s="88"/>
      <c r="J342" s="49">
        <v>1</v>
      </c>
      <c r="K342" s="49">
        <v>20</v>
      </c>
      <c r="L342" s="169">
        <f t="shared" si="20"/>
        <v>20</v>
      </c>
      <c r="M342" s="169">
        <f t="shared" si="21"/>
        <v>0</v>
      </c>
      <c r="N342" s="169">
        <f t="shared" si="22"/>
        <v>0</v>
      </c>
      <c r="O342" s="169">
        <f t="shared" si="23"/>
        <v>20</v>
      </c>
      <c r="Z342" s="219"/>
      <c r="AA342" s="219"/>
    </row>
    <row r="343" spans="1:27" x14ac:dyDescent="0.3">
      <c r="A343" s="88">
        <v>341</v>
      </c>
      <c r="B343" s="173">
        <v>253</v>
      </c>
      <c r="C343" s="159"/>
      <c r="D343" s="88" t="s">
        <v>510</v>
      </c>
      <c r="E343" s="88" t="s">
        <v>820</v>
      </c>
      <c r="F343" s="88" t="s">
        <v>1073</v>
      </c>
      <c r="G343" s="88" t="s">
        <v>884</v>
      </c>
      <c r="H343" s="88"/>
      <c r="I343" s="88"/>
      <c r="J343" s="49">
        <v>1</v>
      </c>
      <c r="K343" s="49">
        <v>25</v>
      </c>
      <c r="L343" s="169">
        <f t="shared" si="20"/>
        <v>25</v>
      </c>
      <c r="M343" s="169">
        <f t="shared" si="21"/>
        <v>0</v>
      </c>
      <c r="N343" s="169">
        <f t="shared" si="22"/>
        <v>0</v>
      </c>
      <c r="O343" s="169">
        <f t="shared" si="23"/>
        <v>25</v>
      </c>
      <c r="Z343" s="219"/>
      <c r="AA343" s="219"/>
    </row>
    <row r="344" spans="1:27" x14ac:dyDescent="0.3">
      <c r="A344" s="88">
        <v>342</v>
      </c>
      <c r="B344" s="173">
        <v>254</v>
      </c>
      <c r="C344" s="159"/>
      <c r="D344" s="88" t="s">
        <v>510</v>
      </c>
      <c r="E344" s="88" t="s">
        <v>757</v>
      </c>
      <c r="F344" s="88" t="s">
        <v>934</v>
      </c>
      <c r="G344" s="88" t="s">
        <v>759</v>
      </c>
      <c r="H344" s="88"/>
      <c r="I344" s="88"/>
      <c r="J344" s="49">
        <v>1</v>
      </c>
      <c r="K344" s="49">
        <v>4</v>
      </c>
      <c r="L344" s="169">
        <f t="shared" si="20"/>
        <v>4</v>
      </c>
      <c r="M344" s="169">
        <f t="shared" si="21"/>
        <v>0</v>
      </c>
      <c r="N344" s="169">
        <f t="shared" si="22"/>
        <v>0</v>
      </c>
      <c r="O344" s="169">
        <f t="shared" si="23"/>
        <v>4</v>
      </c>
      <c r="Z344" s="219"/>
      <c r="AA344" s="219"/>
    </row>
    <row r="345" spans="1:27" x14ac:dyDescent="0.3">
      <c r="A345" s="88">
        <v>343</v>
      </c>
      <c r="B345" s="173">
        <v>255</v>
      </c>
      <c r="C345" s="159"/>
      <c r="D345" s="88" t="s">
        <v>510</v>
      </c>
      <c r="E345" s="88" t="s">
        <v>757</v>
      </c>
      <c r="F345" s="88" t="s">
        <v>1026</v>
      </c>
      <c r="G345" s="88" t="s">
        <v>759</v>
      </c>
      <c r="H345" s="88"/>
      <c r="I345" s="88"/>
      <c r="J345" s="49">
        <v>1</v>
      </c>
      <c r="K345" s="49">
        <v>33</v>
      </c>
      <c r="L345" s="169">
        <f t="shared" si="20"/>
        <v>33</v>
      </c>
      <c r="M345" s="169">
        <f t="shared" si="21"/>
        <v>0</v>
      </c>
      <c r="N345" s="169">
        <f t="shared" si="22"/>
        <v>0</v>
      </c>
      <c r="O345" s="169">
        <f t="shared" si="23"/>
        <v>33</v>
      </c>
      <c r="Z345" s="219"/>
      <c r="AA345" s="219"/>
    </row>
    <row r="346" spans="1:27" x14ac:dyDescent="0.3">
      <c r="A346" s="88">
        <v>344</v>
      </c>
      <c r="B346" s="173">
        <v>256</v>
      </c>
      <c r="C346" s="159"/>
      <c r="D346" s="88" t="s">
        <v>510</v>
      </c>
      <c r="E346" s="88" t="s">
        <v>771</v>
      </c>
      <c r="F346" s="88" t="s">
        <v>1074</v>
      </c>
      <c r="G346" s="88" t="s">
        <v>1075</v>
      </c>
      <c r="H346" s="88"/>
      <c r="I346" s="88"/>
      <c r="J346" s="49">
        <v>1</v>
      </c>
      <c r="K346" s="49">
        <v>200</v>
      </c>
      <c r="L346" s="169">
        <f t="shared" si="20"/>
        <v>200</v>
      </c>
      <c r="M346" s="169">
        <f t="shared" si="21"/>
        <v>0</v>
      </c>
      <c r="N346" s="169">
        <f t="shared" si="22"/>
        <v>0</v>
      </c>
      <c r="O346" s="169">
        <f t="shared" si="23"/>
        <v>200</v>
      </c>
      <c r="Z346" s="219"/>
      <c r="AA346" s="219"/>
    </row>
    <row r="347" spans="1:27" x14ac:dyDescent="0.3">
      <c r="A347" s="88">
        <v>345</v>
      </c>
      <c r="B347" s="173">
        <v>257</v>
      </c>
      <c r="C347" s="159"/>
      <c r="D347" s="88" t="s">
        <v>510</v>
      </c>
      <c r="E347" s="88" t="s">
        <v>757</v>
      </c>
      <c r="F347" s="88" t="s">
        <v>934</v>
      </c>
      <c r="G347" s="88" t="s">
        <v>1025</v>
      </c>
      <c r="H347" s="88"/>
      <c r="I347" s="88"/>
      <c r="J347" s="49">
        <v>1</v>
      </c>
      <c r="K347" s="49">
        <v>155</v>
      </c>
      <c r="L347" s="169">
        <f t="shared" si="20"/>
        <v>155</v>
      </c>
      <c r="M347" s="169">
        <f t="shared" si="21"/>
        <v>0</v>
      </c>
      <c r="N347" s="169">
        <f t="shared" si="22"/>
        <v>0</v>
      </c>
      <c r="O347" s="169">
        <f t="shared" si="23"/>
        <v>155</v>
      </c>
      <c r="Z347" s="219"/>
      <c r="AA347" s="219"/>
    </row>
    <row r="348" spans="1:27" x14ac:dyDescent="0.3">
      <c r="A348" s="88">
        <v>346</v>
      </c>
      <c r="B348" s="173">
        <v>258</v>
      </c>
      <c r="C348" s="159"/>
      <c r="D348" s="88" t="s">
        <v>510</v>
      </c>
      <c r="E348" s="88" t="s">
        <v>820</v>
      </c>
      <c r="F348" s="88" t="s">
        <v>1076</v>
      </c>
      <c r="G348" s="88" t="s">
        <v>1077</v>
      </c>
      <c r="H348" s="88"/>
      <c r="I348" s="88" t="s">
        <v>861</v>
      </c>
      <c r="J348" s="49">
        <v>3.15</v>
      </c>
      <c r="K348" s="49">
        <v>35</v>
      </c>
      <c r="L348" s="169">
        <f t="shared" si="20"/>
        <v>110.25</v>
      </c>
      <c r="M348" s="169">
        <f t="shared" si="21"/>
        <v>0</v>
      </c>
      <c r="N348" s="169">
        <f t="shared" si="22"/>
        <v>0</v>
      </c>
      <c r="O348" s="169">
        <f t="shared" si="23"/>
        <v>110.25</v>
      </c>
      <c r="Z348" s="219"/>
      <c r="AA348" s="219"/>
    </row>
    <row r="349" spans="1:27" x14ac:dyDescent="0.3">
      <c r="A349" s="88">
        <v>347</v>
      </c>
      <c r="B349" s="173">
        <v>259</v>
      </c>
      <c r="C349" s="159"/>
      <c r="D349" s="88" t="s">
        <v>510</v>
      </c>
      <c r="E349" s="88" t="s">
        <v>760</v>
      </c>
      <c r="F349" s="88" t="s">
        <v>1078</v>
      </c>
      <c r="G349" s="88" t="s">
        <v>1079</v>
      </c>
      <c r="H349" s="88"/>
      <c r="I349" s="88"/>
      <c r="J349" s="49">
        <v>1</v>
      </c>
      <c r="K349" s="49">
        <v>250</v>
      </c>
      <c r="L349" s="169">
        <f t="shared" si="20"/>
        <v>250</v>
      </c>
      <c r="M349" s="169">
        <f t="shared" si="21"/>
        <v>0</v>
      </c>
      <c r="N349" s="169">
        <f t="shared" si="22"/>
        <v>0</v>
      </c>
      <c r="O349" s="169">
        <f t="shared" si="23"/>
        <v>250</v>
      </c>
      <c r="Z349" s="219"/>
      <c r="AA349" s="219"/>
    </row>
    <row r="350" spans="1:27" x14ac:dyDescent="0.3">
      <c r="A350" s="88">
        <v>348</v>
      </c>
      <c r="B350" s="173">
        <v>260</v>
      </c>
      <c r="C350" s="159"/>
      <c r="D350" s="88" t="s">
        <v>510</v>
      </c>
      <c r="E350" s="88" t="s">
        <v>789</v>
      </c>
      <c r="F350" s="88" t="s">
        <v>1080</v>
      </c>
      <c r="G350" s="88" t="s">
        <v>1081</v>
      </c>
      <c r="H350" s="88">
        <v>310147616200004</v>
      </c>
      <c r="I350" s="88"/>
      <c r="J350" s="49">
        <v>1000</v>
      </c>
      <c r="K350" s="49">
        <v>0.1739</v>
      </c>
      <c r="L350" s="169">
        <f t="shared" si="20"/>
        <v>173.9</v>
      </c>
      <c r="M350" s="169">
        <f t="shared" si="21"/>
        <v>1</v>
      </c>
      <c r="N350" s="169">
        <f t="shared" si="22"/>
        <v>26.085000000000001</v>
      </c>
      <c r="O350" s="169">
        <f t="shared" si="23"/>
        <v>199.98500000000001</v>
      </c>
      <c r="Z350" s="219"/>
      <c r="AA350" s="219"/>
    </row>
    <row r="351" spans="1:27" x14ac:dyDescent="0.3">
      <c r="A351" s="88">
        <v>349</v>
      </c>
      <c r="B351" s="173">
        <v>260</v>
      </c>
      <c r="C351" s="159"/>
      <c r="D351" s="88" t="s">
        <v>510</v>
      </c>
      <c r="E351" s="88" t="s">
        <v>789</v>
      </c>
      <c r="F351" s="88" t="s">
        <v>1082</v>
      </c>
      <c r="G351" s="88" t="s">
        <v>1081</v>
      </c>
      <c r="H351" s="88">
        <v>310147616200004</v>
      </c>
      <c r="I351" s="88"/>
      <c r="J351" s="49">
        <v>1000</v>
      </c>
      <c r="K351" s="49">
        <v>0.30430000000000001</v>
      </c>
      <c r="L351" s="169">
        <f t="shared" si="20"/>
        <v>304.3</v>
      </c>
      <c r="M351" s="169">
        <f t="shared" si="21"/>
        <v>1</v>
      </c>
      <c r="N351" s="169">
        <f t="shared" si="22"/>
        <v>45.645000000000003</v>
      </c>
      <c r="O351" s="169">
        <f t="shared" si="23"/>
        <v>349.94499999999999</v>
      </c>
      <c r="Z351" s="219"/>
      <c r="AA351" s="219"/>
    </row>
    <row r="352" spans="1:27" x14ac:dyDescent="0.3">
      <c r="A352" s="88">
        <v>350</v>
      </c>
      <c r="B352" s="173">
        <v>261</v>
      </c>
      <c r="C352" s="159"/>
      <c r="D352" s="88" t="s">
        <v>510</v>
      </c>
      <c r="E352" s="88" t="s">
        <v>763</v>
      </c>
      <c r="F352" s="88" t="s">
        <v>1083</v>
      </c>
      <c r="G352" s="88" t="s">
        <v>766</v>
      </c>
      <c r="H352" s="88">
        <v>310325950500003</v>
      </c>
      <c r="I352" s="88"/>
      <c r="J352" s="49">
        <v>1</v>
      </c>
      <c r="K352" s="49">
        <v>2000</v>
      </c>
      <c r="L352" s="169">
        <f t="shared" si="20"/>
        <v>2000</v>
      </c>
      <c r="M352" s="169">
        <f t="shared" si="21"/>
        <v>1</v>
      </c>
      <c r="N352" s="169">
        <f t="shared" si="22"/>
        <v>300</v>
      </c>
      <c r="O352" s="169">
        <f t="shared" si="23"/>
        <v>2300</v>
      </c>
      <c r="Z352" s="219"/>
      <c r="AA352" s="219"/>
    </row>
    <row r="353" spans="1:27" x14ac:dyDescent="0.3">
      <c r="A353" s="88">
        <v>351</v>
      </c>
      <c r="B353" s="173">
        <v>262</v>
      </c>
      <c r="C353" s="159"/>
      <c r="D353" s="88" t="s">
        <v>510</v>
      </c>
      <c r="E353" s="88" t="s">
        <v>763</v>
      </c>
      <c r="F353" s="88" t="s">
        <v>1084</v>
      </c>
      <c r="G353" s="88" t="s">
        <v>1085</v>
      </c>
      <c r="H353" s="88">
        <v>311312772900003</v>
      </c>
      <c r="I353" s="88" t="s">
        <v>718</v>
      </c>
      <c r="J353" s="49">
        <v>4</v>
      </c>
      <c r="K353" s="49">
        <v>7</v>
      </c>
      <c r="L353" s="169">
        <f t="shared" si="20"/>
        <v>28</v>
      </c>
      <c r="M353" s="169">
        <f t="shared" si="21"/>
        <v>1</v>
      </c>
      <c r="N353" s="169">
        <f t="shared" si="22"/>
        <v>4.2</v>
      </c>
      <c r="O353" s="169">
        <f t="shared" si="23"/>
        <v>32.200000000000003</v>
      </c>
      <c r="Z353" s="219"/>
      <c r="AA353" s="219"/>
    </row>
    <row r="354" spans="1:27" x14ac:dyDescent="0.3">
      <c r="A354" s="88"/>
      <c r="B354" s="173">
        <v>262</v>
      </c>
      <c r="C354" s="159"/>
      <c r="D354" s="88" t="s">
        <v>510</v>
      </c>
      <c r="E354" s="88" t="s">
        <v>763</v>
      </c>
      <c r="F354" s="88" t="s">
        <v>1086</v>
      </c>
      <c r="G354" s="88" t="s">
        <v>1085</v>
      </c>
      <c r="H354" s="88">
        <v>311312772900003</v>
      </c>
      <c r="I354" s="88" t="s">
        <v>718</v>
      </c>
      <c r="J354" s="49">
        <v>8</v>
      </c>
      <c r="K354" s="49">
        <v>14</v>
      </c>
      <c r="L354" s="169">
        <f t="shared" si="20"/>
        <v>112</v>
      </c>
      <c r="M354" s="169">
        <v>0</v>
      </c>
      <c r="N354" s="169">
        <f t="shared" si="22"/>
        <v>0</v>
      </c>
      <c r="O354" s="169">
        <f t="shared" si="23"/>
        <v>112</v>
      </c>
      <c r="Z354" s="219"/>
      <c r="AA354" s="219"/>
    </row>
    <row r="355" spans="1:27" x14ac:dyDescent="0.3">
      <c r="A355" s="88">
        <v>353</v>
      </c>
      <c r="B355" s="173">
        <v>262</v>
      </c>
      <c r="C355" s="159"/>
      <c r="D355" s="88" t="s">
        <v>510</v>
      </c>
      <c r="E355" s="88" t="s">
        <v>763</v>
      </c>
      <c r="F355" s="88" t="s">
        <v>1087</v>
      </c>
      <c r="G355" s="88" t="s">
        <v>1085</v>
      </c>
      <c r="H355" s="88">
        <v>311312772900003</v>
      </c>
      <c r="I355" s="88" t="s">
        <v>718</v>
      </c>
      <c r="J355" s="49">
        <v>1</v>
      </c>
      <c r="K355" s="49">
        <v>5</v>
      </c>
      <c r="L355" s="169">
        <f t="shared" si="20"/>
        <v>5</v>
      </c>
      <c r="M355" s="169">
        <f t="shared" si="21"/>
        <v>1</v>
      </c>
      <c r="N355" s="169">
        <f t="shared" si="22"/>
        <v>0.75</v>
      </c>
      <c r="O355" s="169">
        <f t="shared" si="23"/>
        <v>5.75</v>
      </c>
      <c r="Z355" s="219"/>
      <c r="AA355" s="219"/>
    </row>
    <row r="356" spans="1:27" x14ac:dyDescent="0.3">
      <c r="A356" s="88">
        <v>354</v>
      </c>
      <c r="B356" s="173">
        <v>262</v>
      </c>
      <c r="C356" s="159"/>
      <c r="D356" s="88" t="s">
        <v>510</v>
      </c>
      <c r="E356" s="88" t="s">
        <v>763</v>
      </c>
      <c r="F356" s="88" t="s">
        <v>1088</v>
      </c>
      <c r="G356" s="88" t="s">
        <v>1085</v>
      </c>
      <c r="H356" s="88">
        <v>311312772900003</v>
      </c>
      <c r="I356" s="88" t="s">
        <v>718</v>
      </c>
      <c r="J356" s="49">
        <v>1</v>
      </c>
      <c r="K356" s="49">
        <v>5</v>
      </c>
      <c r="L356" s="169">
        <f t="shared" si="20"/>
        <v>5</v>
      </c>
      <c r="M356" s="169">
        <f t="shared" si="21"/>
        <v>1</v>
      </c>
      <c r="N356" s="169">
        <f t="shared" si="22"/>
        <v>0.75</v>
      </c>
      <c r="O356" s="169">
        <f t="shared" si="23"/>
        <v>5.75</v>
      </c>
      <c r="Z356" s="219"/>
      <c r="AA356" s="219"/>
    </row>
    <row r="357" spans="1:27" x14ac:dyDescent="0.3">
      <c r="A357" s="88">
        <v>355</v>
      </c>
      <c r="B357" s="173">
        <v>262</v>
      </c>
      <c r="C357" s="159"/>
      <c r="D357" s="88" t="s">
        <v>510</v>
      </c>
      <c r="E357" s="88" t="s">
        <v>763</v>
      </c>
      <c r="F357" s="88" t="s">
        <v>1089</v>
      </c>
      <c r="G357" s="88" t="s">
        <v>1085</v>
      </c>
      <c r="H357" s="88">
        <v>311312772900003</v>
      </c>
      <c r="I357" s="88" t="s">
        <v>718</v>
      </c>
      <c r="J357" s="49">
        <v>2</v>
      </c>
      <c r="K357" s="49">
        <v>7.2</v>
      </c>
      <c r="L357" s="169">
        <f t="shared" si="20"/>
        <v>14.4</v>
      </c>
      <c r="M357" s="169">
        <f t="shared" si="21"/>
        <v>1</v>
      </c>
      <c r="N357" s="169">
        <f t="shared" si="22"/>
        <v>2.16</v>
      </c>
      <c r="O357" s="169">
        <f t="shared" si="23"/>
        <v>16.560000000000002</v>
      </c>
      <c r="Z357" s="219"/>
      <c r="AA357" s="219"/>
    </row>
    <row r="358" spans="1:27" x14ac:dyDescent="0.3">
      <c r="A358" s="88">
        <v>356</v>
      </c>
      <c r="B358" s="173">
        <v>263</v>
      </c>
      <c r="C358" s="159"/>
      <c r="D358" s="88" t="s">
        <v>510</v>
      </c>
      <c r="E358" s="88" t="s">
        <v>1090</v>
      </c>
      <c r="F358" s="88" t="s">
        <v>1091</v>
      </c>
      <c r="G358" s="88" t="s">
        <v>1092</v>
      </c>
      <c r="H358" s="88">
        <v>311134968200003</v>
      </c>
      <c r="I358" s="88" t="s">
        <v>729</v>
      </c>
      <c r="J358" s="49">
        <v>1</v>
      </c>
      <c r="K358" s="49">
        <v>48</v>
      </c>
      <c r="L358" s="169">
        <f t="shared" si="20"/>
        <v>48</v>
      </c>
      <c r="M358" s="169">
        <f t="shared" si="21"/>
        <v>1</v>
      </c>
      <c r="N358" s="169">
        <f t="shared" si="22"/>
        <v>7.1999999999999993</v>
      </c>
      <c r="O358" s="169">
        <f t="shared" si="23"/>
        <v>55.2</v>
      </c>
      <c r="Z358" s="219"/>
      <c r="AA358" s="219"/>
    </row>
    <row r="359" spans="1:27" x14ac:dyDescent="0.3">
      <c r="A359" s="88">
        <v>357</v>
      </c>
      <c r="B359" s="173">
        <v>264</v>
      </c>
      <c r="C359" s="159"/>
      <c r="D359" s="88" t="s">
        <v>510</v>
      </c>
      <c r="E359" s="88" t="s">
        <v>1090</v>
      </c>
      <c r="F359" s="88" t="s">
        <v>1093</v>
      </c>
      <c r="G359" s="88" t="s">
        <v>1095</v>
      </c>
      <c r="H359" s="88">
        <v>311341740500003</v>
      </c>
      <c r="I359" s="88" t="s">
        <v>1096</v>
      </c>
      <c r="J359" s="49">
        <v>1</v>
      </c>
      <c r="K359" s="49">
        <v>43.04</v>
      </c>
      <c r="L359" s="169">
        <f t="shared" si="20"/>
        <v>43.04</v>
      </c>
      <c r="M359" s="169">
        <f t="shared" si="21"/>
        <v>1</v>
      </c>
      <c r="N359" s="169">
        <f t="shared" si="22"/>
        <v>6.4559999999999995</v>
      </c>
      <c r="O359" s="169">
        <f t="shared" si="23"/>
        <v>49.495999999999995</v>
      </c>
      <c r="Z359" s="219"/>
      <c r="AA359" s="219"/>
    </row>
    <row r="360" spans="1:27" x14ac:dyDescent="0.3">
      <c r="A360" s="88">
        <v>358</v>
      </c>
      <c r="B360" s="173">
        <v>264</v>
      </c>
      <c r="C360" s="159"/>
      <c r="D360" s="88" t="s">
        <v>510</v>
      </c>
      <c r="E360" s="88" t="s">
        <v>1090</v>
      </c>
      <c r="F360" s="88" t="s">
        <v>1094</v>
      </c>
      <c r="G360" s="88" t="s">
        <v>1095</v>
      </c>
      <c r="H360" s="88">
        <v>311341740500003</v>
      </c>
      <c r="I360" s="88" t="s">
        <v>1096</v>
      </c>
      <c r="J360" s="49">
        <v>1</v>
      </c>
      <c r="K360" s="49">
        <v>43.04</v>
      </c>
      <c r="L360" s="169">
        <f t="shared" si="20"/>
        <v>43.04</v>
      </c>
      <c r="M360" s="169">
        <f t="shared" si="21"/>
        <v>1</v>
      </c>
      <c r="N360" s="169">
        <f t="shared" si="22"/>
        <v>6.4559999999999995</v>
      </c>
      <c r="O360" s="169">
        <f t="shared" si="23"/>
        <v>49.495999999999995</v>
      </c>
      <c r="Z360" s="219"/>
      <c r="AA360" s="219"/>
    </row>
    <row r="361" spans="1:27" x14ac:dyDescent="0.3">
      <c r="A361" s="88">
        <v>359</v>
      </c>
      <c r="B361" s="173">
        <v>265</v>
      </c>
      <c r="C361" s="159"/>
      <c r="D361" s="88" t="s">
        <v>510</v>
      </c>
      <c r="E361" s="88" t="s">
        <v>789</v>
      </c>
      <c r="F361" s="88" t="s">
        <v>1097</v>
      </c>
      <c r="G361" s="88" t="s">
        <v>872</v>
      </c>
      <c r="H361" s="88">
        <v>31137287600003</v>
      </c>
      <c r="I361" s="88" t="s">
        <v>1099</v>
      </c>
      <c r="J361" s="49">
        <v>1</v>
      </c>
      <c r="K361" s="49">
        <v>8.6999999999999993</v>
      </c>
      <c r="L361" s="169">
        <f t="shared" si="20"/>
        <v>8.6999999999999993</v>
      </c>
      <c r="M361" s="169">
        <f t="shared" si="21"/>
        <v>1</v>
      </c>
      <c r="N361" s="169">
        <f t="shared" si="22"/>
        <v>1.3049999999999999</v>
      </c>
      <c r="O361" s="169">
        <f t="shared" si="23"/>
        <v>10.004999999999999</v>
      </c>
      <c r="Z361" s="219"/>
      <c r="AA361" s="219"/>
    </row>
    <row r="362" spans="1:27" x14ac:dyDescent="0.3">
      <c r="A362" s="88">
        <v>360</v>
      </c>
      <c r="B362" s="173">
        <v>265</v>
      </c>
      <c r="C362" s="159"/>
      <c r="D362" s="88" t="s">
        <v>510</v>
      </c>
      <c r="E362" s="88" t="s">
        <v>789</v>
      </c>
      <c r="F362" s="88" t="s">
        <v>1098</v>
      </c>
      <c r="G362" s="88" t="s">
        <v>872</v>
      </c>
      <c r="H362" s="88">
        <v>31137287600003</v>
      </c>
      <c r="I362" s="88" t="s">
        <v>1100</v>
      </c>
      <c r="J362" s="49">
        <v>1</v>
      </c>
      <c r="K362" s="49">
        <v>82.61</v>
      </c>
      <c r="L362" s="169">
        <f t="shared" si="20"/>
        <v>82.61</v>
      </c>
      <c r="M362" s="169">
        <f t="shared" si="21"/>
        <v>1</v>
      </c>
      <c r="N362" s="169">
        <f t="shared" si="22"/>
        <v>12.391499999999999</v>
      </c>
      <c r="O362" s="169">
        <f t="shared" si="23"/>
        <v>95.001499999999993</v>
      </c>
      <c r="Z362" s="219"/>
      <c r="AA362" s="219"/>
    </row>
    <row r="363" spans="1:27" x14ac:dyDescent="0.3">
      <c r="A363" s="88">
        <v>361</v>
      </c>
      <c r="B363" s="173">
        <v>266</v>
      </c>
      <c r="C363" s="159"/>
      <c r="D363" s="88" t="s">
        <v>510</v>
      </c>
      <c r="E363" s="88" t="s">
        <v>763</v>
      </c>
      <c r="F363" s="88" t="s">
        <v>1101</v>
      </c>
      <c r="G363" s="88" t="s">
        <v>1118</v>
      </c>
      <c r="H363" s="88">
        <v>311257966400003</v>
      </c>
      <c r="I363" s="88" t="s">
        <v>718</v>
      </c>
      <c r="J363" s="49">
        <v>1</v>
      </c>
      <c r="K363" s="49">
        <v>673.91</v>
      </c>
      <c r="L363" s="169">
        <f t="shared" si="20"/>
        <v>673.91</v>
      </c>
      <c r="M363" s="169">
        <f t="shared" si="21"/>
        <v>1</v>
      </c>
      <c r="N363" s="169">
        <f t="shared" si="22"/>
        <v>101.08649999999999</v>
      </c>
      <c r="O363" s="169">
        <f t="shared" si="23"/>
        <v>774.99649999999997</v>
      </c>
      <c r="Z363" s="219"/>
      <c r="AA363" s="219"/>
    </row>
    <row r="364" spans="1:27" x14ac:dyDescent="0.3">
      <c r="A364" s="88">
        <v>362</v>
      </c>
      <c r="B364" s="173">
        <v>266</v>
      </c>
      <c r="C364" s="159"/>
      <c r="D364" s="88" t="s">
        <v>510</v>
      </c>
      <c r="E364" s="88" t="s">
        <v>763</v>
      </c>
      <c r="F364" s="88" t="s">
        <v>1102</v>
      </c>
      <c r="G364" s="88" t="s">
        <v>1118</v>
      </c>
      <c r="H364" s="88">
        <v>311257966400003</v>
      </c>
      <c r="I364" s="88" t="s">
        <v>718</v>
      </c>
      <c r="J364" s="49">
        <v>1</v>
      </c>
      <c r="K364" s="49">
        <v>346.08</v>
      </c>
      <c r="L364" s="169">
        <f t="shared" si="20"/>
        <v>346.08</v>
      </c>
      <c r="M364" s="169">
        <f t="shared" si="21"/>
        <v>1</v>
      </c>
      <c r="N364" s="169">
        <f t="shared" si="22"/>
        <v>51.911999999999999</v>
      </c>
      <c r="O364" s="169">
        <f t="shared" si="23"/>
        <v>397.99199999999996</v>
      </c>
      <c r="Z364" s="219"/>
      <c r="AA364" s="219"/>
    </row>
    <row r="365" spans="1:27" x14ac:dyDescent="0.3">
      <c r="A365" s="88">
        <v>363</v>
      </c>
      <c r="B365" s="173">
        <v>266</v>
      </c>
      <c r="C365" s="159"/>
      <c r="D365" s="88" t="s">
        <v>510</v>
      </c>
      <c r="E365" s="88" t="s">
        <v>763</v>
      </c>
      <c r="F365" s="88" t="s">
        <v>1103</v>
      </c>
      <c r="G365" s="88" t="s">
        <v>1118</v>
      </c>
      <c r="H365" s="88">
        <v>311257966400003</v>
      </c>
      <c r="I365" s="88" t="s">
        <v>718</v>
      </c>
      <c r="J365" s="49">
        <v>1</v>
      </c>
      <c r="K365" s="49">
        <v>41.73</v>
      </c>
      <c r="L365" s="169">
        <f t="shared" si="20"/>
        <v>41.73</v>
      </c>
      <c r="M365" s="169">
        <f t="shared" si="21"/>
        <v>1</v>
      </c>
      <c r="N365" s="169">
        <f t="shared" si="22"/>
        <v>6.2594999999999992</v>
      </c>
      <c r="O365" s="169">
        <f t="shared" si="23"/>
        <v>47.989499999999992</v>
      </c>
      <c r="Z365" s="219"/>
      <c r="AA365" s="219"/>
    </row>
    <row r="366" spans="1:27" x14ac:dyDescent="0.3">
      <c r="A366" s="88">
        <v>364</v>
      </c>
      <c r="B366" s="173">
        <v>266</v>
      </c>
      <c r="C366" s="159"/>
      <c r="D366" s="88" t="s">
        <v>510</v>
      </c>
      <c r="E366" s="88" t="s">
        <v>763</v>
      </c>
      <c r="F366" s="88" t="s">
        <v>1104</v>
      </c>
      <c r="G366" s="88" t="s">
        <v>1118</v>
      </c>
      <c r="H366" s="88">
        <v>311257966400003</v>
      </c>
      <c r="I366" s="88" t="s">
        <v>718</v>
      </c>
      <c r="J366" s="49">
        <v>1</v>
      </c>
      <c r="K366" s="49">
        <v>27.82</v>
      </c>
      <c r="L366" s="169">
        <f t="shared" si="20"/>
        <v>27.82</v>
      </c>
      <c r="M366" s="169">
        <f t="shared" si="21"/>
        <v>1</v>
      </c>
      <c r="N366" s="169">
        <f t="shared" si="22"/>
        <v>4.173</v>
      </c>
      <c r="O366" s="169">
        <f t="shared" si="23"/>
        <v>31.993000000000002</v>
      </c>
      <c r="Z366" s="219"/>
      <c r="AA366" s="219"/>
    </row>
    <row r="367" spans="1:27" x14ac:dyDescent="0.3">
      <c r="A367" s="88">
        <v>365</v>
      </c>
      <c r="B367" s="173">
        <v>266</v>
      </c>
      <c r="C367" s="159"/>
      <c r="D367" s="88" t="s">
        <v>510</v>
      </c>
      <c r="E367" s="88" t="s">
        <v>763</v>
      </c>
      <c r="F367" s="88" t="s">
        <v>1105</v>
      </c>
      <c r="G367" s="88" t="s">
        <v>1118</v>
      </c>
      <c r="H367" s="88">
        <v>311257966400003</v>
      </c>
      <c r="I367" s="88" t="s">
        <v>718</v>
      </c>
      <c r="J367" s="49">
        <v>5</v>
      </c>
      <c r="K367" s="49">
        <v>13.69</v>
      </c>
      <c r="L367" s="169">
        <f t="shared" si="20"/>
        <v>68.45</v>
      </c>
      <c r="M367" s="169">
        <f t="shared" si="21"/>
        <v>1</v>
      </c>
      <c r="N367" s="169">
        <f t="shared" si="22"/>
        <v>10.2675</v>
      </c>
      <c r="O367" s="169">
        <f t="shared" si="23"/>
        <v>78.717500000000001</v>
      </c>
      <c r="Z367" s="219"/>
      <c r="AA367" s="219"/>
    </row>
    <row r="368" spans="1:27" x14ac:dyDescent="0.3">
      <c r="A368" s="88">
        <v>366</v>
      </c>
      <c r="B368" s="173">
        <v>266</v>
      </c>
      <c r="C368" s="159"/>
      <c r="D368" s="88" t="s">
        <v>510</v>
      </c>
      <c r="E368" s="88" t="s">
        <v>763</v>
      </c>
      <c r="F368" s="88" t="s">
        <v>1106</v>
      </c>
      <c r="G368" s="88" t="s">
        <v>1118</v>
      </c>
      <c r="H368" s="88">
        <v>311257966400003</v>
      </c>
      <c r="I368" s="88" t="s">
        <v>718</v>
      </c>
      <c r="J368" s="49">
        <v>1</v>
      </c>
      <c r="K368" s="49">
        <v>54.78</v>
      </c>
      <c r="L368" s="169">
        <f t="shared" si="20"/>
        <v>54.78</v>
      </c>
      <c r="M368" s="169">
        <f t="shared" si="21"/>
        <v>1</v>
      </c>
      <c r="N368" s="169">
        <f t="shared" si="22"/>
        <v>8.2170000000000005</v>
      </c>
      <c r="O368" s="169">
        <f t="shared" si="23"/>
        <v>62.997</v>
      </c>
      <c r="Z368" s="219"/>
      <c r="AA368" s="219"/>
    </row>
    <row r="369" spans="1:27" x14ac:dyDescent="0.3">
      <c r="A369" s="88">
        <v>367</v>
      </c>
      <c r="B369" s="173">
        <v>266</v>
      </c>
      <c r="C369" s="159"/>
      <c r="D369" s="88" t="s">
        <v>510</v>
      </c>
      <c r="E369" s="88" t="s">
        <v>763</v>
      </c>
      <c r="F369" s="88" t="s">
        <v>1107</v>
      </c>
      <c r="G369" s="88" t="s">
        <v>1118</v>
      </c>
      <c r="H369" s="88">
        <v>311257966400003</v>
      </c>
      <c r="I369" s="88" t="s">
        <v>718</v>
      </c>
      <c r="J369" s="49">
        <v>1</v>
      </c>
      <c r="K369" s="49">
        <v>54.78</v>
      </c>
      <c r="L369" s="169">
        <f t="shared" si="20"/>
        <v>54.78</v>
      </c>
      <c r="M369" s="169">
        <f t="shared" si="21"/>
        <v>1</v>
      </c>
      <c r="N369" s="169">
        <f t="shared" si="22"/>
        <v>8.2170000000000005</v>
      </c>
      <c r="O369" s="169">
        <f t="shared" si="23"/>
        <v>62.997</v>
      </c>
      <c r="Z369" s="219"/>
      <c r="AA369" s="219"/>
    </row>
    <row r="370" spans="1:27" x14ac:dyDescent="0.3">
      <c r="A370" s="88">
        <v>368</v>
      </c>
      <c r="B370" s="173">
        <v>266</v>
      </c>
      <c r="C370" s="159"/>
      <c r="D370" s="88" t="s">
        <v>510</v>
      </c>
      <c r="E370" s="88" t="s">
        <v>763</v>
      </c>
      <c r="F370" s="88" t="s">
        <v>1108</v>
      </c>
      <c r="G370" s="88" t="s">
        <v>1118</v>
      </c>
      <c r="H370" s="88">
        <v>311257966400003</v>
      </c>
      <c r="I370" s="88" t="s">
        <v>718</v>
      </c>
      <c r="J370" s="49">
        <v>1</v>
      </c>
      <c r="K370" s="49">
        <v>45</v>
      </c>
      <c r="L370" s="169">
        <f t="shared" si="20"/>
        <v>45</v>
      </c>
      <c r="M370" s="169">
        <f t="shared" si="21"/>
        <v>1</v>
      </c>
      <c r="N370" s="169">
        <f t="shared" si="22"/>
        <v>6.75</v>
      </c>
      <c r="O370" s="169">
        <f t="shared" si="23"/>
        <v>51.75</v>
      </c>
      <c r="Z370" s="219"/>
      <c r="AA370" s="219"/>
    </row>
    <row r="371" spans="1:27" x14ac:dyDescent="0.3">
      <c r="A371" s="88">
        <v>369</v>
      </c>
      <c r="B371" s="173">
        <v>266</v>
      </c>
      <c r="C371" s="159"/>
      <c r="D371" s="88" t="s">
        <v>510</v>
      </c>
      <c r="E371" s="88" t="s">
        <v>763</v>
      </c>
      <c r="F371" s="88" t="s">
        <v>1109</v>
      </c>
      <c r="G371" s="88" t="s">
        <v>1118</v>
      </c>
      <c r="H371" s="88">
        <v>311257966400003</v>
      </c>
      <c r="I371" s="88" t="s">
        <v>718</v>
      </c>
      <c r="J371" s="49">
        <v>1</v>
      </c>
      <c r="K371" s="49">
        <v>54.78</v>
      </c>
      <c r="L371" s="169">
        <f t="shared" si="20"/>
        <v>54.78</v>
      </c>
      <c r="M371" s="169">
        <f t="shared" si="21"/>
        <v>1</v>
      </c>
      <c r="N371" s="169">
        <f t="shared" si="22"/>
        <v>8.2170000000000005</v>
      </c>
      <c r="O371" s="169">
        <f t="shared" si="23"/>
        <v>62.997</v>
      </c>
      <c r="Z371" s="219"/>
      <c r="AA371" s="219"/>
    </row>
    <row r="372" spans="1:27" x14ac:dyDescent="0.3">
      <c r="A372" s="88">
        <v>370</v>
      </c>
      <c r="B372" s="173">
        <v>266</v>
      </c>
      <c r="C372" s="159"/>
      <c r="D372" s="88" t="s">
        <v>510</v>
      </c>
      <c r="E372" s="88" t="s">
        <v>763</v>
      </c>
      <c r="F372" s="88" t="s">
        <v>1110</v>
      </c>
      <c r="G372" s="88" t="s">
        <v>1118</v>
      </c>
      <c r="H372" s="88">
        <v>311257966400003</v>
      </c>
      <c r="I372" s="88" t="s">
        <v>1119</v>
      </c>
      <c r="J372" s="49">
        <v>2</v>
      </c>
      <c r="K372" s="49">
        <v>41.73</v>
      </c>
      <c r="L372" s="169">
        <f t="shared" si="20"/>
        <v>83.46</v>
      </c>
      <c r="M372" s="169">
        <f t="shared" si="21"/>
        <v>1</v>
      </c>
      <c r="N372" s="169">
        <f t="shared" si="22"/>
        <v>12.518999999999998</v>
      </c>
      <c r="O372" s="169">
        <f t="shared" si="23"/>
        <v>95.978999999999985</v>
      </c>
      <c r="Z372" s="219"/>
      <c r="AA372" s="219"/>
    </row>
    <row r="373" spans="1:27" x14ac:dyDescent="0.3">
      <c r="A373" s="88">
        <v>371</v>
      </c>
      <c r="B373" s="173">
        <v>266</v>
      </c>
      <c r="C373" s="159"/>
      <c r="D373" s="88" t="s">
        <v>510</v>
      </c>
      <c r="E373" s="88" t="s">
        <v>763</v>
      </c>
      <c r="F373" s="88" t="s">
        <v>1111</v>
      </c>
      <c r="G373" s="88" t="s">
        <v>1118</v>
      </c>
      <c r="H373" s="88">
        <v>311257966400003</v>
      </c>
      <c r="I373" s="88" t="s">
        <v>718</v>
      </c>
      <c r="J373" s="49">
        <v>2</v>
      </c>
      <c r="K373" s="49">
        <v>29.56</v>
      </c>
      <c r="L373" s="169">
        <f t="shared" si="20"/>
        <v>59.12</v>
      </c>
      <c r="M373" s="169">
        <f t="shared" si="21"/>
        <v>1</v>
      </c>
      <c r="N373" s="169">
        <f t="shared" si="22"/>
        <v>8.8679999999999986</v>
      </c>
      <c r="O373" s="169">
        <f t="shared" si="23"/>
        <v>67.988</v>
      </c>
      <c r="Z373" s="219"/>
      <c r="AA373" s="219"/>
    </row>
    <row r="374" spans="1:27" x14ac:dyDescent="0.3">
      <c r="A374" s="88">
        <v>372</v>
      </c>
      <c r="B374" s="173">
        <v>266</v>
      </c>
      <c r="C374" s="159"/>
      <c r="D374" s="88" t="s">
        <v>510</v>
      </c>
      <c r="E374" s="88" t="s">
        <v>763</v>
      </c>
      <c r="F374" s="88" t="s">
        <v>1112</v>
      </c>
      <c r="G374" s="88" t="s">
        <v>1118</v>
      </c>
      <c r="H374" s="88">
        <v>311257966400003</v>
      </c>
      <c r="I374" s="88" t="s">
        <v>718</v>
      </c>
      <c r="J374" s="49">
        <v>1</v>
      </c>
      <c r="K374" s="49">
        <v>20</v>
      </c>
      <c r="L374" s="169">
        <f t="shared" si="20"/>
        <v>20</v>
      </c>
      <c r="M374" s="169">
        <f t="shared" si="21"/>
        <v>1</v>
      </c>
      <c r="N374" s="169">
        <f t="shared" si="22"/>
        <v>3</v>
      </c>
      <c r="O374" s="169">
        <f t="shared" si="23"/>
        <v>23</v>
      </c>
      <c r="Z374" s="219"/>
      <c r="AA374" s="219"/>
    </row>
    <row r="375" spans="1:27" x14ac:dyDescent="0.3">
      <c r="A375" s="88">
        <v>373</v>
      </c>
      <c r="B375" s="173">
        <v>266</v>
      </c>
      <c r="C375" s="159"/>
      <c r="D375" s="88" t="s">
        <v>510</v>
      </c>
      <c r="E375" s="88" t="s">
        <v>763</v>
      </c>
      <c r="F375" s="88" t="s">
        <v>1113</v>
      </c>
      <c r="G375" s="88" t="s">
        <v>1118</v>
      </c>
      <c r="H375" s="88">
        <v>311257966400003</v>
      </c>
      <c r="I375" s="88" t="s">
        <v>718</v>
      </c>
      <c r="J375" s="49">
        <v>1</v>
      </c>
      <c r="K375" s="49">
        <v>29.56</v>
      </c>
      <c r="L375" s="169">
        <f t="shared" si="20"/>
        <v>29.56</v>
      </c>
      <c r="M375" s="169">
        <f t="shared" si="21"/>
        <v>1</v>
      </c>
      <c r="N375" s="169">
        <f t="shared" si="22"/>
        <v>4.4339999999999993</v>
      </c>
      <c r="O375" s="169">
        <f t="shared" si="23"/>
        <v>33.994</v>
      </c>
      <c r="Z375" s="219"/>
      <c r="AA375" s="219"/>
    </row>
    <row r="376" spans="1:27" x14ac:dyDescent="0.3">
      <c r="A376" s="88">
        <v>374</v>
      </c>
      <c r="B376" s="173">
        <v>266</v>
      </c>
      <c r="C376" s="159"/>
      <c r="D376" s="88" t="s">
        <v>510</v>
      </c>
      <c r="E376" s="88" t="s">
        <v>763</v>
      </c>
      <c r="F376" s="88" t="s">
        <v>1114</v>
      </c>
      <c r="G376" s="88" t="s">
        <v>1118</v>
      </c>
      <c r="H376" s="88">
        <v>311257966400003</v>
      </c>
      <c r="I376" s="88" t="s">
        <v>718</v>
      </c>
      <c r="J376" s="49">
        <v>1</v>
      </c>
      <c r="K376" s="49">
        <v>29.56</v>
      </c>
      <c r="L376" s="169">
        <f t="shared" si="20"/>
        <v>29.56</v>
      </c>
      <c r="M376" s="169">
        <f t="shared" si="21"/>
        <v>1</v>
      </c>
      <c r="N376" s="169">
        <f t="shared" si="22"/>
        <v>4.4339999999999993</v>
      </c>
      <c r="O376" s="169">
        <f t="shared" si="23"/>
        <v>33.994</v>
      </c>
      <c r="Z376" s="219"/>
      <c r="AA376" s="219"/>
    </row>
    <row r="377" spans="1:27" x14ac:dyDescent="0.3">
      <c r="A377" s="88">
        <v>375</v>
      </c>
      <c r="B377" s="173">
        <v>266</v>
      </c>
      <c r="C377" s="159"/>
      <c r="D377" s="88" t="s">
        <v>510</v>
      </c>
      <c r="E377" s="88" t="s">
        <v>763</v>
      </c>
      <c r="F377" s="88" t="s">
        <v>1115</v>
      </c>
      <c r="G377" s="88" t="s">
        <v>1118</v>
      </c>
      <c r="H377" s="88">
        <v>311257966400003</v>
      </c>
      <c r="I377" s="88" t="s">
        <v>718</v>
      </c>
      <c r="J377" s="49">
        <v>1</v>
      </c>
      <c r="K377" s="49">
        <v>91.3</v>
      </c>
      <c r="L377" s="169">
        <f t="shared" si="20"/>
        <v>91.3</v>
      </c>
      <c r="M377" s="169">
        <f t="shared" si="21"/>
        <v>1</v>
      </c>
      <c r="N377" s="169">
        <f t="shared" si="22"/>
        <v>13.694999999999999</v>
      </c>
      <c r="O377" s="169">
        <f t="shared" si="23"/>
        <v>104.99499999999999</v>
      </c>
      <c r="Z377" s="219"/>
      <c r="AA377" s="219"/>
    </row>
    <row r="378" spans="1:27" x14ac:dyDescent="0.3">
      <c r="A378" s="88">
        <v>376</v>
      </c>
      <c r="B378" s="173">
        <v>266</v>
      </c>
      <c r="C378" s="159"/>
      <c r="D378" s="88" t="s">
        <v>510</v>
      </c>
      <c r="E378" s="88" t="s">
        <v>763</v>
      </c>
      <c r="F378" s="88" t="s">
        <v>1116</v>
      </c>
      <c r="G378" s="88" t="s">
        <v>1118</v>
      </c>
      <c r="H378" s="88">
        <v>311257966400003</v>
      </c>
      <c r="I378" s="88" t="s">
        <v>718</v>
      </c>
      <c r="J378" s="49">
        <v>1</v>
      </c>
      <c r="K378" s="49">
        <v>302.60000000000002</v>
      </c>
      <c r="L378" s="169">
        <f t="shared" si="20"/>
        <v>302.60000000000002</v>
      </c>
      <c r="M378" s="169">
        <f t="shared" si="21"/>
        <v>1</v>
      </c>
      <c r="N378" s="169">
        <f t="shared" si="22"/>
        <v>45.39</v>
      </c>
      <c r="O378" s="169">
        <f t="shared" si="23"/>
        <v>347.99</v>
      </c>
      <c r="Z378" s="219"/>
      <c r="AA378" s="219"/>
    </row>
    <row r="379" spans="1:27" x14ac:dyDescent="0.3">
      <c r="A379" s="88">
        <v>377</v>
      </c>
      <c r="B379" s="173">
        <v>266</v>
      </c>
      <c r="C379" s="159"/>
      <c r="D379" s="88" t="s">
        <v>510</v>
      </c>
      <c r="E379" s="88" t="s">
        <v>763</v>
      </c>
      <c r="F379" s="88" t="s">
        <v>1117</v>
      </c>
      <c r="G379" s="88" t="s">
        <v>1118</v>
      </c>
      <c r="H379" s="88">
        <v>311257966400003</v>
      </c>
      <c r="I379" s="88" t="s">
        <v>718</v>
      </c>
      <c r="J379" s="49">
        <v>5</v>
      </c>
      <c r="K379" s="49">
        <v>9.56</v>
      </c>
      <c r="L379" s="169">
        <f t="shared" si="20"/>
        <v>47.800000000000004</v>
      </c>
      <c r="M379" s="169">
        <f t="shared" si="21"/>
        <v>1</v>
      </c>
      <c r="N379" s="169">
        <f t="shared" si="22"/>
        <v>7.1700000000000008</v>
      </c>
      <c r="O379" s="169">
        <f t="shared" si="23"/>
        <v>54.970000000000006</v>
      </c>
      <c r="Z379" s="219"/>
      <c r="AA379" s="219"/>
    </row>
    <row r="380" spans="1:27" x14ac:dyDescent="0.3">
      <c r="A380" s="88">
        <v>378</v>
      </c>
      <c r="B380" s="173">
        <v>267</v>
      </c>
      <c r="C380" s="159"/>
      <c r="D380" s="88" t="s">
        <v>510</v>
      </c>
      <c r="E380" s="88" t="s">
        <v>763</v>
      </c>
      <c r="F380" s="88" t="s">
        <v>1120</v>
      </c>
      <c r="G380" s="88" t="s">
        <v>1118</v>
      </c>
      <c r="H380" s="88">
        <v>311257966400003</v>
      </c>
      <c r="I380" s="88" t="s">
        <v>718</v>
      </c>
      <c r="J380" s="49">
        <v>1</v>
      </c>
      <c r="K380" s="49">
        <v>14.34</v>
      </c>
      <c r="L380" s="169">
        <f t="shared" si="20"/>
        <v>14.34</v>
      </c>
      <c r="M380" s="169">
        <f t="shared" si="21"/>
        <v>1</v>
      </c>
      <c r="N380" s="169">
        <f t="shared" si="22"/>
        <v>2.1509999999999998</v>
      </c>
      <c r="O380" s="169">
        <f t="shared" si="23"/>
        <v>16.491</v>
      </c>
      <c r="Z380" s="219"/>
      <c r="AA380" s="219"/>
    </row>
    <row r="381" spans="1:27" x14ac:dyDescent="0.3">
      <c r="A381" s="88">
        <v>379</v>
      </c>
      <c r="B381" s="173">
        <v>267</v>
      </c>
      <c r="C381" s="159"/>
      <c r="D381" s="88" t="s">
        <v>510</v>
      </c>
      <c r="E381" s="88" t="s">
        <v>763</v>
      </c>
      <c r="F381" s="88" t="s">
        <v>1121</v>
      </c>
      <c r="G381" s="88" t="s">
        <v>1118</v>
      </c>
      <c r="H381" s="88">
        <v>311257966400003</v>
      </c>
      <c r="I381" s="88" t="s">
        <v>718</v>
      </c>
      <c r="J381" s="49">
        <v>1</v>
      </c>
      <c r="K381" s="49">
        <v>20</v>
      </c>
      <c r="L381" s="169">
        <f t="shared" si="20"/>
        <v>20</v>
      </c>
      <c r="M381" s="169">
        <f t="shared" si="21"/>
        <v>1</v>
      </c>
      <c r="N381" s="169">
        <f t="shared" si="22"/>
        <v>3</v>
      </c>
      <c r="O381" s="169">
        <f t="shared" si="23"/>
        <v>23</v>
      </c>
      <c r="Z381" s="219"/>
      <c r="AA381" s="219"/>
    </row>
    <row r="382" spans="1:27" x14ac:dyDescent="0.3">
      <c r="A382" s="88">
        <v>380</v>
      </c>
      <c r="B382" s="173">
        <v>267</v>
      </c>
      <c r="C382" s="159"/>
      <c r="D382" s="88" t="s">
        <v>510</v>
      </c>
      <c r="E382" s="88" t="s">
        <v>763</v>
      </c>
      <c r="F382" s="88" t="s">
        <v>1122</v>
      </c>
      <c r="G382" s="88" t="s">
        <v>1118</v>
      </c>
      <c r="H382" s="88">
        <v>311257966400003</v>
      </c>
      <c r="I382" s="88" t="s">
        <v>718</v>
      </c>
      <c r="J382" s="49">
        <v>1</v>
      </c>
      <c r="K382" s="49">
        <v>164.34</v>
      </c>
      <c r="L382" s="169">
        <f t="shared" si="20"/>
        <v>164.34</v>
      </c>
      <c r="M382" s="169">
        <f t="shared" si="21"/>
        <v>1</v>
      </c>
      <c r="N382" s="169">
        <f t="shared" si="22"/>
        <v>24.651</v>
      </c>
      <c r="O382" s="169">
        <f t="shared" si="23"/>
        <v>188.99100000000001</v>
      </c>
      <c r="Z382" s="219"/>
      <c r="AA382" s="219"/>
    </row>
    <row r="383" spans="1:27" x14ac:dyDescent="0.3">
      <c r="A383" s="88">
        <v>381</v>
      </c>
      <c r="B383" s="173">
        <v>267</v>
      </c>
      <c r="C383" s="159"/>
      <c r="D383" s="88" t="s">
        <v>510</v>
      </c>
      <c r="E383" s="88" t="s">
        <v>763</v>
      </c>
      <c r="F383" s="88" t="s">
        <v>1123</v>
      </c>
      <c r="G383" s="88" t="s">
        <v>1118</v>
      </c>
      <c r="H383" s="88">
        <v>311257966400003</v>
      </c>
      <c r="I383" s="88" t="s">
        <v>718</v>
      </c>
      <c r="J383" s="49">
        <v>1</v>
      </c>
      <c r="K383" s="49">
        <v>215.65</v>
      </c>
      <c r="L383" s="169">
        <f t="shared" si="20"/>
        <v>215.65</v>
      </c>
      <c r="M383" s="169">
        <f t="shared" si="21"/>
        <v>1</v>
      </c>
      <c r="N383" s="169">
        <f t="shared" si="22"/>
        <v>32.347499999999997</v>
      </c>
      <c r="O383" s="169">
        <f t="shared" si="23"/>
        <v>247.9975</v>
      </c>
      <c r="Z383" s="219"/>
      <c r="AA383" s="219"/>
    </row>
    <row r="384" spans="1:27" x14ac:dyDescent="0.3">
      <c r="A384" s="88">
        <v>382</v>
      </c>
      <c r="B384" s="173">
        <v>267</v>
      </c>
      <c r="C384" s="159"/>
      <c r="D384" s="88" t="s">
        <v>510</v>
      </c>
      <c r="E384" s="88" t="s">
        <v>763</v>
      </c>
      <c r="F384" s="88" t="s">
        <v>1124</v>
      </c>
      <c r="G384" s="88" t="s">
        <v>1118</v>
      </c>
      <c r="H384" s="88">
        <v>311257966400003</v>
      </c>
      <c r="I384" s="88" t="s">
        <v>718</v>
      </c>
      <c r="J384" s="49">
        <v>2</v>
      </c>
      <c r="K384" s="49">
        <v>164.34</v>
      </c>
      <c r="L384" s="169">
        <f t="shared" si="20"/>
        <v>328.68</v>
      </c>
      <c r="M384" s="169">
        <f t="shared" si="21"/>
        <v>1</v>
      </c>
      <c r="N384" s="169">
        <f t="shared" si="22"/>
        <v>49.302</v>
      </c>
      <c r="O384" s="169">
        <f t="shared" si="23"/>
        <v>377.98200000000003</v>
      </c>
      <c r="Z384" s="219"/>
      <c r="AA384" s="219"/>
    </row>
    <row r="385" spans="1:27" x14ac:dyDescent="0.3">
      <c r="A385" s="88">
        <v>383</v>
      </c>
      <c r="B385" s="173">
        <v>267</v>
      </c>
      <c r="C385" s="159"/>
      <c r="D385" s="88" t="s">
        <v>510</v>
      </c>
      <c r="E385" s="88" t="s">
        <v>763</v>
      </c>
      <c r="F385" s="88" t="s">
        <v>1125</v>
      </c>
      <c r="G385" s="88" t="s">
        <v>1118</v>
      </c>
      <c r="H385" s="88">
        <v>311257966400003</v>
      </c>
      <c r="I385" s="88" t="s">
        <v>718</v>
      </c>
      <c r="J385" s="49">
        <v>3</v>
      </c>
      <c r="K385" s="49">
        <v>95.65</v>
      </c>
      <c r="L385" s="169">
        <f t="shared" si="20"/>
        <v>286.95000000000005</v>
      </c>
      <c r="M385" s="169">
        <f t="shared" si="21"/>
        <v>1</v>
      </c>
      <c r="N385" s="169">
        <f t="shared" si="22"/>
        <v>43.042500000000004</v>
      </c>
      <c r="O385" s="169">
        <f t="shared" si="23"/>
        <v>329.99250000000006</v>
      </c>
      <c r="Z385" s="219"/>
      <c r="AA385" s="219"/>
    </row>
    <row r="386" spans="1:27" x14ac:dyDescent="0.3">
      <c r="A386" s="88">
        <v>384</v>
      </c>
      <c r="B386" s="173">
        <v>267</v>
      </c>
      <c r="C386" s="159"/>
      <c r="D386" s="88" t="s">
        <v>510</v>
      </c>
      <c r="E386" s="88" t="s">
        <v>763</v>
      </c>
      <c r="F386" s="88" t="s">
        <v>1126</v>
      </c>
      <c r="G386" s="88" t="s">
        <v>1118</v>
      </c>
      <c r="H386" s="88">
        <v>311257966400003</v>
      </c>
      <c r="I386" s="88" t="s">
        <v>718</v>
      </c>
      <c r="J386" s="49">
        <v>1</v>
      </c>
      <c r="K386" s="49">
        <v>146.08000000000001</v>
      </c>
      <c r="L386" s="169">
        <f t="shared" si="20"/>
        <v>146.08000000000001</v>
      </c>
      <c r="M386" s="169">
        <f t="shared" si="21"/>
        <v>1</v>
      </c>
      <c r="N386" s="169">
        <f t="shared" si="22"/>
        <v>21.912000000000003</v>
      </c>
      <c r="O386" s="169">
        <f t="shared" si="23"/>
        <v>167.99200000000002</v>
      </c>
      <c r="Z386" s="219"/>
      <c r="AA386" s="219"/>
    </row>
    <row r="387" spans="1:27" x14ac:dyDescent="0.3">
      <c r="A387" s="88">
        <v>385</v>
      </c>
      <c r="B387" s="173">
        <v>267</v>
      </c>
      <c r="C387" s="159"/>
      <c r="D387" s="88" t="s">
        <v>510</v>
      </c>
      <c r="E387" s="88" t="s">
        <v>763</v>
      </c>
      <c r="F387" s="88" t="s">
        <v>1127</v>
      </c>
      <c r="G387" s="88" t="s">
        <v>1118</v>
      </c>
      <c r="H387" s="88">
        <v>311257966400003</v>
      </c>
      <c r="I387" s="88" t="s">
        <v>718</v>
      </c>
      <c r="J387" s="49">
        <v>1</v>
      </c>
      <c r="K387" s="49">
        <v>21.73</v>
      </c>
      <c r="L387" s="169">
        <f t="shared" si="20"/>
        <v>21.73</v>
      </c>
      <c r="M387" s="169">
        <f t="shared" si="21"/>
        <v>1</v>
      </c>
      <c r="N387" s="169">
        <f t="shared" si="22"/>
        <v>3.2595000000000001</v>
      </c>
      <c r="O387" s="169">
        <f t="shared" si="23"/>
        <v>24.9895</v>
      </c>
      <c r="Z387" s="219"/>
      <c r="AA387" s="219"/>
    </row>
    <row r="388" spans="1:27" x14ac:dyDescent="0.3">
      <c r="A388" s="88">
        <v>386</v>
      </c>
      <c r="B388" s="173">
        <v>268</v>
      </c>
      <c r="C388" s="159"/>
      <c r="D388" s="88" t="s">
        <v>510</v>
      </c>
      <c r="E388" s="88" t="s">
        <v>763</v>
      </c>
      <c r="F388" s="88" t="s">
        <v>1128</v>
      </c>
      <c r="G388" s="88" t="s">
        <v>1129</v>
      </c>
      <c r="H388" s="88">
        <v>300022682400003</v>
      </c>
      <c r="I388" s="88" t="s">
        <v>718</v>
      </c>
      <c r="J388" s="49">
        <v>10</v>
      </c>
      <c r="K388" s="49">
        <v>15.65</v>
      </c>
      <c r="L388" s="169">
        <f t="shared" ref="L388:L451" si="24">K388*J388</f>
        <v>156.5</v>
      </c>
      <c r="M388" s="169">
        <f t="shared" ref="M388:M451" si="25">IF(H388="",0,1)</f>
        <v>1</v>
      </c>
      <c r="N388" s="169">
        <f t="shared" ref="N388:N451" si="26">M388*L388*15%</f>
        <v>23.474999999999998</v>
      </c>
      <c r="O388" s="169">
        <f t="shared" ref="O388:O451" si="27">N388+L388</f>
        <v>179.97499999999999</v>
      </c>
      <c r="Z388" s="219"/>
      <c r="AA388" s="219"/>
    </row>
    <row r="389" spans="1:27" x14ac:dyDescent="0.3">
      <c r="A389" s="88">
        <v>387</v>
      </c>
      <c r="B389" s="173">
        <v>269</v>
      </c>
      <c r="C389" s="159"/>
      <c r="D389" s="88" t="s">
        <v>510</v>
      </c>
      <c r="E389" s="88" t="s">
        <v>763</v>
      </c>
      <c r="F389" s="88" t="s">
        <v>1130</v>
      </c>
      <c r="G389" s="88" t="s">
        <v>1131</v>
      </c>
      <c r="H389" s="88">
        <v>311125165200003</v>
      </c>
      <c r="I389" s="88" t="s">
        <v>718</v>
      </c>
      <c r="J389" s="49">
        <v>3</v>
      </c>
      <c r="K389" s="49">
        <v>86.96</v>
      </c>
      <c r="L389" s="169">
        <f t="shared" si="24"/>
        <v>260.88</v>
      </c>
      <c r="M389" s="169">
        <f t="shared" si="25"/>
        <v>1</v>
      </c>
      <c r="N389" s="169">
        <f t="shared" si="26"/>
        <v>39.131999999999998</v>
      </c>
      <c r="O389" s="169">
        <f t="shared" si="27"/>
        <v>300.012</v>
      </c>
      <c r="Z389" s="219"/>
      <c r="AA389" s="219"/>
    </row>
    <row r="390" spans="1:27" x14ac:dyDescent="0.3">
      <c r="A390" s="88">
        <v>388</v>
      </c>
      <c r="B390" s="173">
        <v>270</v>
      </c>
      <c r="C390" s="159"/>
      <c r="D390" s="88" t="s">
        <v>510</v>
      </c>
      <c r="E390" s="88" t="s">
        <v>820</v>
      </c>
      <c r="F390" s="88" t="s">
        <v>1132</v>
      </c>
      <c r="G390" s="88" t="s">
        <v>1134</v>
      </c>
      <c r="H390" s="88">
        <v>300570104100003</v>
      </c>
      <c r="I390" s="88" t="s">
        <v>739</v>
      </c>
      <c r="J390" s="49">
        <v>2.82</v>
      </c>
      <c r="K390" s="49">
        <v>26.08</v>
      </c>
      <c r="L390" s="169">
        <f t="shared" si="24"/>
        <v>73.545599999999993</v>
      </c>
      <c r="M390" s="169">
        <f t="shared" si="25"/>
        <v>1</v>
      </c>
      <c r="N390" s="169">
        <f t="shared" si="26"/>
        <v>11.031839999999999</v>
      </c>
      <c r="O390" s="169">
        <f t="shared" si="27"/>
        <v>84.577439999999996</v>
      </c>
      <c r="Z390" s="219"/>
      <c r="AA390" s="219"/>
    </row>
    <row r="391" spans="1:27" x14ac:dyDescent="0.3">
      <c r="A391" s="88">
        <v>389</v>
      </c>
      <c r="B391" s="173">
        <v>270</v>
      </c>
      <c r="C391" s="159"/>
      <c r="D391" s="88" t="s">
        <v>510</v>
      </c>
      <c r="E391" s="88" t="s">
        <v>820</v>
      </c>
      <c r="F391" s="88" t="s">
        <v>1133</v>
      </c>
      <c r="G391" s="88" t="s">
        <v>1134</v>
      </c>
      <c r="H391" s="88">
        <v>300570104100003</v>
      </c>
      <c r="I391" s="88" t="s">
        <v>739</v>
      </c>
      <c r="J391" s="49">
        <v>1.9</v>
      </c>
      <c r="K391" s="49">
        <v>50</v>
      </c>
      <c r="L391" s="169">
        <f t="shared" si="24"/>
        <v>95</v>
      </c>
      <c r="M391" s="169">
        <f t="shared" si="25"/>
        <v>1</v>
      </c>
      <c r="N391" s="169">
        <f t="shared" si="26"/>
        <v>14.25</v>
      </c>
      <c r="O391" s="169">
        <f t="shared" si="27"/>
        <v>109.25</v>
      </c>
      <c r="Z391" s="219"/>
      <c r="AA391" s="219"/>
    </row>
    <row r="392" spans="1:27" x14ac:dyDescent="0.3">
      <c r="A392" s="88">
        <v>390</v>
      </c>
      <c r="B392" s="173">
        <v>271</v>
      </c>
      <c r="C392" s="159"/>
      <c r="D392" s="88" t="s">
        <v>510</v>
      </c>
      <c r="E392" s="88" t="s">
        <v>709</v>
      </c>
      <c r="F392" s="88" t="s">
        <v>1135</v>
      </c>
      <c r="G392" s="88" t="s">
        <v>860</v>
      </c>
      <c r="H392" s="88">
        <v>300698075900003</v>
      </c>
      <c r="I392" s="88" t="s">
        <v>861</v>
      </c>
      <c r="J392" s="49">
        <v>1</v>
      </c>
      <c r="K392" s="49">
        <v>20.87</v>
      </c>
      <c r="L392" s="169">
        <f t="shared" si="24"/>
        <v>20.87</v>
      </c>
      <c r="M392" s="169">
        <f t="shared" si="25"/>
        <v>1</v>
      </c>
      <c r="N392" s="169">
        <f t="shared" si="26"/>
        <v>3.1305000000000001</v>
      </c>
      <c r="O392" s="169">
        <f t="shared" si="27"/>
        <v>24.000500000000002</v>
      </c>
      <c r="Z392" s="219"/>
      <c r="AA392" s="219"/>
    </row>
    <row r="393" spans="1:27" x14ac:dyDescent="0.3">
      <c r="A393" s="88">
        <v>391</v>
      </c>
      <c r="B393" s="173">
        <v>271</v>
      </c>
      <c r="C393" s="159"/>
      <c r="D393" s="88" t="s">
        <v>510</v>
      </c>
      <c r="E393" s="88" t="s">
        <v>709</v>
      </c>
      <c r="F393" s="88" t="s">
        <v>1136</v>
      </c>
      <c r="G393" s="88" t="s">
        <v>860</v>
      </c>
      <c r="H393" s="88">
        <v>300698075900003</v>
      </c>
      <c r="I393" s="88" t="s">
        <v>861</v>
      </c>
      <c r="J393" s="49">
        <v>1</v>
      </c>
      <c r="K393" s="49">
        <v>13.913</v>
      </c>
      <c r="L393" s="169">
        <f t="shared" si="24"/>
        <v>13.913</v>
      </c>
      <c r="M393" s="169">
        <f t="shared" si="25"/>
        <v>1</v>
      </c>
      <c r="N393" s="169">
        <f t="shared" si="26"/>
        <v>2.0869499999999999</v>
      </c>
      <c r="O393" s="169">
        <f t="shared" si="27"/>
        <v>15.99995</v>
      </c>
      <c r="Z393" s="219"/>
      <c r="AA393" s="219"/>
    </row>
    <row r="394" spans="1:27" x14ac:dyDescent="0.3">
      <c r="A394" s="88">
        <v>392</v>
      </c>
      <c r="B394" s="173">
        <v>272</v>
      </c>
      <c r="C394" s="159"/>
      <c r="D394" s="88" t="s">
        <v>510</v>
      </c>
      <c r="E394" s="88" t="s">
        <v>709</v>
      </c>
      <c r="F394" s="88" t="s">
        <v>1137</v>
      </c>
      <c r="G394" s="88" t="s">
        <v>860</v>
      </c>
      <c r="H394" s="88">
        <v>300698075900003</v>
      </c>
      <c r="I394" s="88" t="s">
        <v>718</v>
      </c>
      <c r="J394" s="49">
        <v>1</v>
      </c>
      <c r="K394" s="49">
        <v>27</v>
      </c>
      <c r="L394" s="169">
        <f t="shared" si="24"/>
        <v>27</v>
      </c>
      <c r="M394" s="169">
        <f t="shared" si="25"/>
        <v>1</v>
      </c>
      <c r="N394" s="169">
        <f t="shared" si="26"/>
        <v>4.05</v>
      </c>
      <c r="O394" s="169">
        <f t="shared" si="27"/>
        <v>31.05</v>
      </c>
      <c r="Z394" s="219"/>
      <c r="AA394" s="219"/>
    </row>
    <row r="395" spans="1:27" x14ac:dyDescent="0.3">
      <c r="A395" s="88">
        <v>393</v>
      </c>
      <c r="B395" s="173">
        <v>272</v>
      </c>
      <c r="C395" s="159"/>
      <c r="D395" s="88" t="s">
        <v>510</v>
      </c>
      <c r="E395" s="88" t="s">
        <v>709</v>
      </c>
      <c r="F395" s="88" t="s">
        <v>1138</v>
      </c>
      <c r="G395" s="88" t="s">
        <v>860</v>
      </c>
      <c r="H395" s="88">
        <v>300698075900003</v>
      </c>
      <c r="I395" s="88" t="s">
        <v>861</v>
      </c>
      <c r="J395" s="49">
        <v>2</v>
      </c>
      <c r="K395" s="49">
        <v>9</v>
      </c>
      <c r="L395" s="169">
        <f t="shared" si="24"/>
        <v>18</v>
      </c>
      <c r="M395" s="169">
        <f t="shared" si="25"/>
        <v>1</v>
      </c>
      <c r="N395" s="169">
        <f t="shared" si="26"/>
        <v>2.6999999999999997</v>
      </c>
      <c r="O395" s="169">
        <f t="shared" si="27"/>
        <v>20.7</v>
      </c>
      <c r="Z395" s="219"/>
      <c r="AA395" s="219"/>
    </row>
    <row r="396" spans="1:27" x14ac:dyDescent="0.3">
      <c r="A396" s="88">
        <v>394</v>
      </c>
      <c r="B396" s="173">
        <v>272</v>
      </c>
      <c r="C396" s="159"/>
      <c r="D396" s="88" t="s">
        <v>510</v>
      </c>
      <c r="E396" s="88" t="s">
        <v>709</v>
      </c>
      <c r="F396" s="88" t="s">
        <v>1139</v>
      </c>
      <c r="G396" s="88" t="s">
        <v>860</v>
      </c>
      <c r="H396" s="88">
        <v>300698075900003</v>
      </c>
      <c r="I396" s="88" t="s">
        <v>861</v>
      </c>
      <c r="J396" s="49">
        <v>2</v>
      </c>
      <c r="K396" s="49">
        <v>6</v>
      </c>
      <c r="L396" s="169">
        <f t="shared" si="24"/>
        <v>12</v>
      </c>
      <c r="M396" s="169">
        <f t="shared" si="25"/>
        <v>1</v>
      </c>
      <c r="N396" s="169">
        <f t="shared" si="26"/>
        <v>1.7999999999999998</v>
      </c>
      <c r="O396" s="169">
        <f t="shared" si="27"/>
        <v>13.8</v>
      </c>
      <c r="Z396" s="219"/>
      <c r="AA396" s="219"/>
    </row>
    <row r="397" spans="1:27" x14ac:dyDescent="0.3">
      <c r="A397" s="88">
        <v>395</v>
      </c>
      <c r="B397" s="173">
        <v>272</v>
      </c>
      <c r="C397" s="159"/>
      <c r="D397" s="88" t="s">
        <v>510</v>
      </c>
      <c r="E397" s="88" t="s">
        <v>709</v>
      </c>
      <c r="F397" s="88" t="s">
        <v>1140</v>
      </c>
      <c r="G397" s="88" t="s">
        <v>860</v>
      </c>
      <c r="H397" s="88">
        <v>300698075900003</v>
      </c>
      <c r="I397" s="88" t="s">
        <v>861</v>
      </c>
      <c r="J397" s="49">
        <v>2</v>
      </c>
      <c r="K397" s="49">
        <v>18</v>
      </c>
      <c r="L397" s="169">
        <f t="shared" si="24"/>
        <v>36</v>
      </c>
      <c r="M397" s="169">
        <f t="shared" si="25"/>
        <v>1</v>
      </c>
      <c r="N397" s="169">
        <f t="shared" si="26"/>
        <v>5.3999999999999995</v>
      </c>
      <c r="O397" s="169">
        <f t="shared" si="27"/>
        <v>41.4</v>
      </c>
      <c r="Z397" s="219"/>
      <c r="AA397" s="219"/>
    </row>
    <row r="398" spans="1:27" x14ac:dyDescent="0.3">
      <c r="A398" s="88">
        <v>396</v>
      </c>
      <c r="B398" s="173">
        <v>272</v>
      </c>
      <c r="C398" s="159"/>
      <c r="D398" s="88" t="s">
        <v>510</v>
      </c>
      <c r="E398" s="88" t="s">
        <v>709</v>
      </c>
      <c r="F398" s="88" t="s">
        <v>1141</v>
      </c>
      <c r="G398" s="88" t="s">
        <v>860</v>
      </c>
      <c r="H398" s="88">
        <v>300698075900003</v>
      </c>
      <c r="I398" s="88" t="s">
        <v>861</v>
      </c>
      <c r="J398" s="49">
        <v>2</v>
      </c>
      <c r="K398" s="49">
        <v>30</v>
      </c>
      <c r="L398" s="169">
        <f t="shared" si="24"/>
        <v>60</v>
      </c>
      <c r="M398" s="169">
        <f t="shared" si="25"/>
        <v>1</v>
      </c>
      <c r="N398" s="169">
        <f t="shared" si="26"/>
        <v>9</v>
      </c>
      <c r="O398" s="169">
        <f t="shared" si="27"/>
        <v>69</v>
      </c>
      <c r="Z398" s="219"/>
      <c r="AA398" s="219"/>
    </row>
    <row r="399" spans="1:27" x14ac:dyDescent="0.3">
      <c r="A399" s="88">
        <v>397</v>
      </c>
      <c r="B399" s="173">
        <v>272</v>
      </c>
      <c r="C399" s="159"/>
      <c r="D399" s="88" t="s">
        <v>510</v>
      </c>
      <c r="E399" s="88" t="s">
        <v>709</v>
      </c>
      <c r="F399" s="88" t="s">
        <v>1142</v>
      </c>
      <c r="G399" s="88" t="s">
        <v>860</v>
      </c>
      <c r="H399" s="88">
        <v>300698075900003</v>
      </c>
      <c r="I399" s="88" t="s">
        <v>776</v>
      </c>
      <c r="J399" s="49">
        <v>5</v>
      </c>
      <c r="K399" s="49">
        <v>2</v>
      </c>
      <c r="L399" s="169">
        <f t="shared" si="24"/>
        <v>10</v>
      </c>
      <c r="M399" s="169">
        <f t="shared" si="25"/>
        <v>1</v>
      </c>
      <c r="N399" s="169">
        <f t="shared" si="26"/>
        <v>1.5</v>
      </c>
      <c r="O399" s="169">
        <f t="shared" si="27"/>
        <v>11.5</v>
      </c>
      <c r="Z399" s="219"/>
      <c r="AA399" s="219"/>
    </row>
    <row r="400" spans="1:27" x14ac:dyDescent="0.3">
      <c r="A400" s="88">
        <v>398</v>
      </c>
      <c r="B400" s="173">
        <v>272</v>
      </c>
      <c r="C400" s="159"/>
      <c r="D400" s="88" t="s">
        <v>510</v>
      </c>
      <c r="E400" s="88" t="s">
        <v>709</v>
      </c>
      <c r="F400" s="88" t="s">
        <v>1143</v>
      </c>
      <c r="G400" s="88" t="s">
        <v>860</v>
      </c>
      <c r="H400" s="88">
        <v>300698075900003</v>
      </c>
      <c r="I400" s="88" t="s">
        <v>718</v>
      </c>
      <c r="J400" s="49">
        <v>5</v>
      </c>
      <c r="K400" s="49">
        <v>4</v>
      </c>
      <c r="L400" s="169">
        <f t="shared" si="24"/>
        <v>20</v>
      </c>
      <c r="M400" s="169">
        <f t="shared" si="25"/>
        <v>1</v>
      </c>
      <c r="N400" s="169">
        <f t="shared" si="26"/>
        <v>3</v>
      </c>
      <c r="O400" s="169">
        <f t="shared" si="27"/>
        <v>23</v>
      </c>
      <c r="Z400" s="219"/>
      <c r="AA400" s="219"/>
    </row>
    <row r="401" spans="1:27" x14ac:dyDescent="0.3">
      <c r="A401" s="88">
        <v>399</v>
      </c>
      <c r="B401" s="173">
        <v>272</v>
      </c>
      <c r="C401" s="159"/>
      <c r="D401" s="88" t="s">
        <v>510</v>
      </c>
      <c r="E401" s="88" t="s">
        <v>709</v>
      </c>
      <c r="F401" s="88" t="s">
        <v>1144</v>
      </c>
      <c r="G401" s="88" t="s">
        <v>860</v>
      </c>
      <c r="H401" s="88">
        <v>300698075900003</v>
      </c>
      <c r="I401" s="88" t="s">
        <v>776</v>
      </c>
      <c r="J401" s="49">
        <v>1</v>
      </c>
      <c r="K401" s="49">
        <v>52</v>
      </c>
      <c r="L401" s="169">
        <f t="shared" si="24"/>
        <v>52</v>
      </c>
      <c r="M401" s="169">
        <f t="shared" si="25"/>
        <v>1</v>
      </c>
      <c r="N401" s="169">
        <f t="shared" si="26"/>
        <v>7.8</v>
      </c>
      <c r="O401" s="169">
        <f t="shared" si="27"/>
        <v>59.8</v>
      </c>
      <c r="Z401" s="219"/>
      <c r="AA401" s="219"/>
    </row>
    <row r="402" spans="1:27" x14ac:dyDescent="0.3">
      <c r="A402" s="88">
        <v>400</v>
      </c>
      <c r="B402" s="173">
        <v>272</v>
      </c>
      <c r="C402" s="159"/>
      <c r="D402" s="88" t="s">
        <v>510</v>
      </c>
      <c r="E402" s="88" t="s">
        <v>709</v>
      </c>
      <c r="F402" s="88" t="s">
        <v>1145</v>
      </c>
      <c r="G402" s="88" t="s">
        <v>860</v>
      </c>
      <c r="H402" s="88">
        <v>300698075900003</v>
      </c>
      <c r="I402" s="88" t="s">
        <v>861</v>
      </c>
      <c r="J402" s="49">
        <v>2</v>
      </c>
      <c r="K402" s="49">
        <v>30</v>
      </c>
      <c r="L402" s="169">
        <f t="shared" si="24"/>
        <v>60</v>
      </c>
      <c r="M402" s="169">
        <f t="shared" si="25"/>
        <v>1</v>
      </c>
      <c r="N402" s="169">
        <f t="shared" si="26"/>
        <v>9</v>
      </c>
      <c r="O402" s="169">
        <f t="shared" si="27"/>
        <v>69</v>
      </c>
      <c r="Z402" s="219"/>
      <c r="AA402" s="219"/>
    </row>
    <row r="403" spans="1:27" x14ac:dyDescent="0.3">
      <c r="A403" s="88">
        <v>401</v>
      </c>
      <c r="B403" s="173">
        <v>272</v>
      </c>
      <c r="C403" s="159"/>
      <c r="D403" s="88" t="s">
        <v>510</v>
      </c>
      <c r="E403" s="88" t="s">
        <v>709</v>
      </c>
      <c r="F403" s="88" t="s">
        <v>1146</v>
      </c>
      <c r="G403" s="88" t="s">
        <v>860</v>
      </c>
      <c r="H403" s="88">
        <v>300698075900003</v>
      </c>
      <c r="I403" s="88" t="s">
        <v>776</v>
      </c>
      <c r="J403" s="49">
        <v>1</v>
      </c>
      <c r="K403" s="49">
        <v>120</v>
      </c>
      <c r="L403" s="169">
        <f t="shared" si="24"/>
        <v>120</v>
      </c>
      <c r="M403" s="169">
        <f t="shared" si="25"/>
        <v>1</v>
      </c>
      <c r="N403" s="169">
        <f t="shared" si="26"/>
        <v>18</v>
      </c>
      <c r="O403" s="169">
        <f t="shared" si="27"/>
        <v>138</v>
      </c>
      <c r="Z403" s="219"/>
      <c r="AA403" s="219"/>
    </row>
    <row r="404" spans="1:27" x14ac:dyDescent="0.3">
      <c r="A404" s="88">
        <v>402</v>
      </c>
      <c r="B404" s="173">
        <v>272</v>
      </c>
      <c r="C404" s="159"/>
      <c r="D404" s="88" t="s">
        <v>510</v>
      </c>
      <c r="E404" s="88" t="s">
        <v>709</v>
      </c>
      <c r="F404" s="88" t="s">
        <v>850</v>
      </c>
      <c r="G404" s="88" t="s">
        <v>860</v>
      </c>
      <c r="H404" s="88">
        <v>300698075900003</v>
      </c>
      <c r="I404" s="88" t="s">
        <v>861</v>
      </c>
      <c r="J404" s="49">
        <v>2</v>
      </c>
      <c r="K404" s="49">
        <v>10</v>
      </c>
      <c r="L404" s="169">
        <f t="shared" si="24"/>
        <v>20</v>
      </c>
      <c r="M404" s="169">
        <f t="shared" si="25"/>
        <v>1</v>
      </c>
      <c r="N404" s="169">
        <f t="shared" si="26"/>
        <v>3</v>
      </c>
      <c r="O404" s="169">
        <f t="shared" si="27"/>
        <v>23</v>
      </c>
      <c r="Z404" s="219"/>
      <c r="AA404" s="219"/>
    </row>
    <row r="405" spans="1:27" x14ac:dyDescent="0.3">
      <c r="A405" s="88">
        <v>403</v>
      </c>
      <c r="B405" s="173">
        <v>272</v>
      </c>
      <c r="C405" s="159"/>
      <c r="D405" s="88" t="s">
        <v>510</v>
      </c>
      <c r="E405" s="88" t="s">
        <v>709</v>
      </c>
      <c r="F405" s="88" t="s">
        <v>1147</v>
      </c>
      <c r="G405" s="88" t="s">
        <v>860</v>
      </c>
      <c r="H405" s="88">
        <v>300698075900003</v>
      </c>
      <c r="I405" s="88" t="s">
        <v>861</v>
      </c>
      <c r="J405" s="49">
        <v>1</v>
      </c>
      <c r="K405" s="49">
        <v>15</v>
      </c>
      <c r="L405" s="169">
        <f t="shared" si="24"/>
        <v>15</v>
      </c>
      <c r="M405" s="169">
        <f t="shared" si="25"/>
        <v>1</v>
      </c>
      <c r="N405" s="169">
        <f t="shared" si="26"/>
        <v>2.25</v>
      </c>
      <c r="O405" s="169">
        <f t="shared" si="27"/>
        <v>17.25</v>
      </c>
      <c r="Z405" s="219"/>
      <c r="AA405" s="219"/>
    </row>
    <row r="406" spans="1:27" x14ac:dyDescent="0.3">
      <c r="A406" s="88">
        <v>404</v>
      </c>
      <c r="B406" s="173">
        <v>273</v>
      </c>
      <c r="C406" s="159"/>
      <c r="D406" s="88" t="s">
        <v>510</v>
      </c>
      <c r="E406" s="88" t="s">
        <v>763</v>
      </c>
      <c r="F406" s="88" t="s">
        <v>1148</v>
      </c>
      <c r="G406" s="88" t="s">
        <v>1158</v>
      </c>
      <c r="H406" s="88">
        <v>302022718600003</v>
      </c>
      <c r="I406" s="88"/>
      <c r="J406" s="49">
        <v>1</v>
      </c>
      <c r="K406" s="49">
        <v>6</v>
      </c>
      <c r="L406" s="169">
        <f t="shared" si="24"/>
        <v>6</v>
      </c>
      <c r="M406" s="169">
        <f t="shared" si="25"/>
        <v>1</v>
      </c>
      <c r="N406" s="169">
        <f t="shared" si="26"/>
        <v>0.89999999999999991</v>
      </c>
      <c r="O406" s="169">
        <f t="shared" si="27"/>
        <v>6.9</v>
      </c>
      <c r="Z406" s="219"/>
      <c r="AA406" s="219"/>
    </row>
    <row r="407" spans="1:27" x14ac:dyDescent="0.3">
      <c r="A407" s="88">
        <v>405</v>
      </c>
      <c r="B407" s="173">
        <v>273</v>
      </c>
      <c r="C407" s="159"/>
      <c r="D407" s="88" t="s">
        <v>510</v>
      </c>
      <c r="E407" s="88" t="s">
        <v>763</v>
      </c>
      <c r="F407" s="88" t="s">
        <v>1149</v>
      </c>
      <c r="G407" s="88" t="s">
        <v>1158</v>
      </c>
      <c r="H407" s="88">
        <v>302022718600003</v>
      </c>
      <c r="I407" s="88"/>
      <c r="J407" s="49">
        <v>1</v>
      </c>
      <c r="K407" s="49">
        <v>24</v>
      </c>
      <c r="L407" s="169">
        <f t="shared" si="24"/>
        <v>24</v>
      </c>
      <c r="M407" s="169">
        <f t="shared" si="25"/>
        <v>1</v>
      </c>
      <c r="N407" s="169">
        <f t="shared" si="26"/>
        <v>3.5999999999999996</v>
      </c>
      <c r="O407" s="169">
        <f t="shared" si="27"/>
        <v>27.6</v>
      </c>
      <c r="Z407" s="219"/>
      <c r="AA407" s="219"/>
    </row>
    <row r="408" spans="1:27" x14ac:dyDescent="0.3">
      <c r="A408" s="88">
        <v>406</v>
      </c>
      <c r="B408" s="173">
        <v>273</v>
      </c>
      <c r="C408" s="159"/>
      <c r="D408" s="88" t="s">
        <v>510</v>
      </c>
      <c r="E408" s="88" t="s">
        <v>763</v>
      </c>
      <c r="F408" s="88" t="s">
        <v>1023</v>
      </c>
      <c r="G408" s="88" t="s">
        <v>1158</v>
      </c>
      <c r="H408" s="88">
        <v>302022718600003</v>
      </c>
      <c r="I408" s="88"/>
      <c r="J408" s="49">
        <v>1</v>
      </c>
      <c r="K408" s="49">
        <v>100</v>
      </c>
      <c r="L408" s="169">
        <f t="shared" si="24"/>
        <v>100</v>
      </c>
      <c r="M408" s="169">
        <f t="shared" si="25"/>
        <v>1</v>
      </c>
      <c r="N408" s="169">
        <f t="shared" si="26"/>
        <v>15</v>
      </c>
      <c r="O408" s="169">
        <f t="shared" si="27"/>
        <v>115</v>
      </c>
      <c r="Z408" s="219"/>
      <c r="AA408" s="219"/>
    </row>
    <row r="409" spans="1:27" x14ac:dyDescent="0.3">
      <c r="A409" s="88">
        <v>407</v>
      </c>
      <c r="B409" s="173">
        <v>273</v>
      </c>
      <c r="C409" s="159"/>
      <c r="D409" s="88" t="s">
        <v>510</v>
      </c>
      <c r="E409" s="88" t="s">
        <v>763</v>
      </c>
      <c r="F409" s="88" t="s">
        <v>1150</v>
      </c>
      <c r="G409" s="88" t="s">
        <v>1158</v>
      </c>
      <c r="H409" s="88">
        <v>302022718600003</v>
      </c>
      <c r="I409" s="88"/>
      <c r="J409" s="49">
        <v>1</v>
      </c>
      <c r="K409" s="49">
        <v>4</v>
      </c>
      <c r="L409" s="169">
        <f t="shared" si="24"/>
        <v>4</v>
      </c>
      <c r="M409" s="169">
        <f t="shared" si="25"/>
        <v>1</v>
      </c>
      <c r="N409" s="169">
        <f t="shared" si="26"/>
        <v>0.6</v>
      </c>
      <c r="O409" s="169">
        <f t="shared" si="27"/>
        <v>4.5999999999999996</v>
      </c>
      <c r="Z409" s="219"/>
      <c r="AA409" s="219"/>
    </row>
    <row r="410" spans="1:27" x14ac:dyDescent="0.3">
      <c r="A410" s="88">
        <v>408</v>
      </c>
      <c r="B410" s="173">
        <v>273</v>
      </c>
      <c r="C410" s="159"/>
      <c r="D410" s="88" t="s">
        <v>510</v>
      </c>
      <c r="E410" s="88" t="s">
        <v>763</v>
      </c>
      <c r="F410" s="88" t="s">
        <v>1151</v>
      </c>
      <c r="G410" s="88" t="s">
        <v>1158</v>
      </c>
      <c r="H410" s="88">
        <v>302022718600003</v>
      </c>
      <c r="I410" s="88"/>
      <c r="J410" s="49">
        <v>5</v>
      </c>
      <c r="K410" s="49">
        <v>3</v>
      </c>
      <c r="L410" s="169">
        <f t="shared" si="24"/>
        <v>15</v>
      </c>
      <c r="M410" s="169">
        <f t="shared" si="25"/>
        <v>1</v>
      </c>
      <c r="N410" s="169">
        <f t="shared" si="26"/>
        <v>2.25</v>
      </c>
      <c r="O410" s="169">
        <f t="shared" si="27"/>
        <v>17.25</v>
      </c>
      <c r="Z410" s="219"/>
      <c r="AA410" s="219"/>
    </row>
    <row r="411" spans="1:27" x14ac:dyDescent="0.3">
      <c r="A411" s="88">
        <v>409</v>
      </c>
      <c r="B411" s="173">
        <v>273</v>
      </c>
      <c r="C411" s="159"/>
      <c r="D411" s="88" t="s">
        <v>510</v>
      </c>
      <c r="E411" s="88" t="s">
        <v>763</v>
      </c>
      <c r="F411" s="88" t="s">
        <v>1152</v>
      </c>
      <c r="G411" s="88" t="s">
        <v>1158</v>
      </c>
      <c r="H411" s="88">
        <v>302022718600003</v>
      </c>
      <c r="I411" s="88"/>
      <c r="J411" s="49">
        <v>1</v>
      </c>
      <c r="K411" s="49">
        <v>4</v>
      </c>
      <c r="L411" s="169">
        <f t="shared" si="24"/>
        <v>4</v>
      </c>
      <c r="M411" s="169">
        <f t="shared" si="25"/>
        <v>1</v>
      </c>
      <c r="N411" s="169">
        <f t="shared" si="26"/>
        <v>0.6</v>
      </c>
      <c r="O411" s="169">
        <f t="shared" si="27"/>
        <v>4.5999999999999996</v>
      </c>
      <c r="Z411" s="219"/>
      <c r="AA411" s="219"/>
    </row>
    <row r="412" spans="1:27" x14ac:dyDescent="0.3">
      <c r="A412" s="88">
        <v>410</v>
      </c>
      <c r="B412" s="173">
        <v>273</v>
      </c>
      <c r="C412" s="159"/>
      <c r="D412" s="88" t="s">
        <v>510</v>
      </c>
      <c r="E412" s="88" t="s">
        <v>763</v>
      </c>
      <c r="F412" s="88" t="s">
        <v>1153</v>
      </c>
      <c r="G412" s="88" t="s">
        <v>1158</v>
      </c>
      <c r="H412" s="88">
        <v>302022718600003</v>
      </c>
      <c r="I412" s="88"/>
      <c r="J412" s="49">
        <v>1</v>
      </c>
      <c r="K412" s="49">
        <v>8</v>
      </c>
      <c r="L412" s="169">
        <f t="shared" si="24"/>
        <v>8</v>
      </c>
      <c r="M412" s="169">
        <f t="shared" si="25"/>
        <v>1</v>
      </c>
      <c r="N412" s="169">
        <f t="shared" si="26"/>
        <v>1.2</v>
      </c>
      <c r="O412" s="169">
        <f t="shared" si="27"/>
        <v>9.1999999999999993</v>
      </c>
      <c r="Z412" s="219"/>
      <c r="AA412" s="219"/>
    </row>
    <row r="413" spans="1:27" x14ac:dyDescent="0.3">
      <c r="A413" s="88">
        <v>411</v>
      </c>
      <c r="B413" s="173">
        <v>273</v>
      </c>
      <c r="C413" s="159"/>
      <c r="D413" s="88" t="s">
        <v>510</v>
      </c>
      <c r="E413" s="88" t="s">
        <v>763</v>
      </c>
      <c r="F413" s="88" t="s">
        <v>1154</v>
      </c>
      <c r="G413" s="88" t="s">
        <v>1158</v>
      </c>
      <c r="H413" s="88">
        <v>302022718600003</v>
      </c>
      <c r="I413" s="88"/>
      <c r="J413" s="49">
        <v>2</v>
      </c>
      <c r="K413" s="49">
        <v>15</v>
      </c>
      <c r="L413" s="169">
        <f t="shared" si="24"/>
        <v>30</v>
      </c>
      <c r="M413" s="169">
        <f t="shared" si="25"/>
        <v>1</v>
      </c>
      <c r="N413" s="169">
        <f t="shared" si="26"/>
        <v>4.5</v>
      </c>
      <c r="O413" s="169">
        <f t="shared" si="27"/>
        <v>34.5</v>
      </c>
      <c r="Z413" s="219"/>
      <c r="AA413" s="219"/>
    </row>
    <row r="414" spans="1:27" x14ac:dyDescent="0.3">
      <c r="A414" s="88">
        <v>412</v>
      </c>
      <c r="B414" s="173">
        <v>273</v>
      </c>
      <c r="C414" s="159"/>
      <c r="D414" s="88" t="s">
        <v>510</v>
      </c>
      <c r="E414" s="88" t="s">
        <v>763</v>
      </c>
      <c r="F414" s="88" t="s">
        <v>1155</v>
      </c>
      <c r="G414" s="88" t="s">
        <v>1158</v>
      </c>
      <c r="H414" s="88">
        <v>302022718600003</v>
      </c>
      <c r="I414" s="88"/>
      <c r="J414" s="49">
        <v>3</v>
      </c>
      <c r="K414" s="49">
        <v>9</v>
      </c>
      <c r="L414" s="169">
        <f t="shared" si="24"/>
        <v>27</v>
      </c>
      <c r="M414" s="169">
        <f t="shared" si="25"/>
        <v>1</v>
      </c>
      <c r="N414" s="169">
        <f t="shared" si="26"/>
        <v>4.05</v>
      </c>
      <c r="O414" s="169">
        <f t="shared" si="27"/>
        <v>31.05</v>
      </c>
      <c r="Z414" s="219"/>
      <c r="AA414" s="219"/>
    </row>
    <row r="415" spans="1:27" x14ac:dyDescent="0.3">
      <c r="A415" s="88">
        <v>413</v>
      </c>
      <c r="B415" s="173">
        <v>273</v>
      </c>
      <c r="C415" s="159"/>
      <c r="D415" s="88" t="s">
        <v>510</v>
      </c>
      <c r="E415" s="88" t="s">
        <v>763</v>
      </c>
      <c r="F415" s="88" t="s">
        <v>1156</v>
      </c>
      <c r="G415" s="88" t="s">
        <v>1158</v>
      </c>
      <c r="H415" s="88">
        <v>302022718600003</v>
      </c>
      <c r="I415" s="88"/>
      <c r="J415" s="49">
        <v>2</v>
      </c>
      <c r="K415" s="49">
        <v>2</v>
      </c>
      <c r="L415" s="169">
        <f t="shared" si="24"/>
        <v>4</v>
      </c>
      <c r="M415" s="169">
        <f t="shared" si="25"/>
        <v>1</v>
      </c>
      <c r="N415" s="169">
        <f t="shared" si="26"/>
        <v>0.6</v>
      </c>
      <c r="O415" s="169">
        <f t="shared" si="27"/>
        <v>4.5999999999999996</v>
      </c>
      <c r="Z415" s="219"/>
      <c r="AA415" s="219"/>
    </row>
    <row r="416" spans="1:27" x14ac:dyDescent="0.3">
      <c r="A416" s="88">
        <v>414</v>
      </c>
      <c r="B416" s="173">
        <v>273</v>
      </c>
      <c r="C416" s="159"/>
      <c r="D416" s="88" t="s">
        <v>510</v>
      </c>
      <c r="E416" s="88" t="s">
        <v>763</v>
      </c>
      <c r="F416" s="88" t="s">
        <v>1157</v>
      </c>
      <c r="G416" s="88" t="s">
        <v>1158</v>
      </c>
      <c r="H416" s="88">
        <v>302022718600003</v>
      </c>
      <c r="I416" s="88"/>
      <c r="J416" s="49">
        <v>2</v>
      </c>
      <c r="K416" s="49">
        <v>15</v>
      </c>
      <c r="L416" s="169">
        <f t="shared" si="24"/>
        <v>30</v>
      </c>
      <c r="M416" s="169">
        <f t="shared" si="25"/>
        <v>1</v>
      </c>
      <c r="N416" s="169">
        <f t="shared" si="26"/>
        <v>4.5</v>
      </c>
      <c r="O416" s="169">
        <f t="shared" si="27"/>
        <v>34.5</v>
      </c>
      <c r="Z416" s="219"/>
      <c r="AA416" s="219"/>
    </row>
    <row r="417" spans="1:27" x14ac:dyDescent="0.3">
      <c r="A417" s="88">
        <v>415</v>
      </c>
      <c r="B417" s="173">
        <v>274</v>
      </c>
      <c r="C417" s="159"/>
      <c r="D417" s="88" t="s">
        <v>510</v>
      </c>
      <c r="E417" s="88" t="s">
        <v>763</v>
      </c>
      <c r="F417" s="88" t="s">
        <v>1159</v>
      </c>
      <c r="G417" s="88" t="s">
        <v>1158</v>
      </c>
      <c r="H417" s="88">
        <v>302022718600003</v>
      </c>
      <c r="I417" s="88"/>
      <c r="J417" s="49">
        <v>1</v>
      </c>
      <c r="K417" s="49">
        <v>200</v>
      </c>
      <c r="L417" s="169">
        <f t="shared" si="24"/>
        <v>200</v>
      </c>
      <c r="M417" s="169">
        <f t="shared" si="25"/>
        <v>1</v>
      </c>
      <c r="N417" s="169">
        <f t="shared" si="26"/>
        <v>30</v>
      </c>
      <c r="O417" s="169">
        <f t="shared" si="27"/>
        <v>230</v>
      </c>
      <c r="Z417" s="219"/>
      <c r="AA417" s="219"/>
    </row>
    <row r="418" spans="1:27" x14ac:dyDescent="0.3">
      <c r="A418" s="88"/>
      <c r="B418" s="173">
        <v>275</v>
      </c>
      <c r="C418" s="159"/>
      <c r="D418" s="88" t="s">
        <v>510</v>
      </c>
      <c r="E418" s="88" t="s">
        <v>709</v>
      </c>
      <c r="F418" s="88" t="s">
        <v>1160</v>
      </c>
      <c r="G418" s="88" t="s">
        <v>1161</v>
      </c>
      <c r="H418" s="88">
        <v>310809452600003</v>
      </c>
      <c r="I418" s="88" t="s">
        <v>862</v>
      </c>
      <c r="J418" s="49">
        <v>1</v>
      </c>
      <c r="K418" s="26">
        <v>153</v>
      </c>
      <c r="L418" s="169">
        <f t="shared" si="24"/>
        <v>153</v>
      </c>
      <c r="M418" s="169">
        <v>1</v>
      </c>
      <c r="N418" s="169">
        <v>22.95</v>
      </c>
      <c r="O418" s="169">
        <v>175.95</v>
      </c>
      <c r="Z418" s="219"/>
      <c r="AA418" s="219"/>
    </row>
    <row r="419" spans="1:27" x14ac:dyDescent="0.3">
      <c r="A419" s="88">
        <v>417</v>
      </c>
      <c r="B419" s="173">
        <v>276</v>
      </c>
      <c r="C419" s="159"/>
      <c r="D419" s="88" t="s">
        <v>510</v>
      </c>
      <c r="E419" s="88" t="s">
        <v>709</v>
      </c>
      <c r="F419" s="88" t="s">
        <v>1162</v>
      </c>
      <c r="G419" s="88" t="s">
        <v>1161</v>
      </c>
      <c r="H419" s="88">
        <v>310809452600003</v>
      </c>
      <c r="I419" s="88" t="s">
        <v>1172</v>
      </c>
      <c r="J419" s="49">
        <v>1</v>
      </c>
      <c r="K419" s="49">
        <v>91</v>
      </c>
      <c r="L419" s="169">
        <f t="shared" si="24"/>
        <v>91</v>
      </c>
      <c r="M419" s="169">
        <f t="shared" si="25"/>
        <v>1</v>
      </c>
      <c r="N419" s="169"/>
      <c r="O419" s="169">
        <f t="shared" si="27"/>
        <v>91</v>
      </c>
      <c r="Z419" s="219"/>
      <c r="AA419" s="219"/>
    </row>
    <row r="420" spans="1:27" x14ac:dyDescent="0.3">
      <c r="A420" s="88">
        <v>418</v>
      </c>
      <c r="B420" s="173">
        <v>276</v>
      </c>
      <c r="C420" s="159"/>
      <c r="D420" s="88" t="s">
        <v>510</v>
      </c>
      <c r="E420" s="88" t="s">
        <v>709</v>
      </c>
      <c r="F420" s="88" t="s">
        <v>1163</v>
      </c>
      <c r="G420" s="88" t="s">
        <v>1161</v>
      </c>
      <c r="H420" s="88">
        <v>310809452600003</v>
      </c>
      <c r="I420" s="88" t="s">
        <v>1173</v>
      </c>
      <c r="J420" s="49">
        <v>1</v>
      </c>
      <c r="K420" s="49">
        <v>186</v>
      </c>
      <c r="L420" s="169">
        <f t="shared" si="24"/>
        <v>186</v>
      </c>
      <c r="M420" s="169">
        <f t="shared" si="25"/>
        <v>1</v>
      </c>
      <c r="N420" s="169">
        <f t="shared" si="26"/>
        <v>27.9</v>
      </c>
      <c r="O420" s="169">
        <f t="shared" si="27"/>
        <v>213.9</v>
      </c>
      <c r="Z420" s="219"/>
      <c r="AA420" s="219"/>
    </row>
    <row r="421" spans="1:27" x14ac:dyDescent="0.3">
      <c r="A421" s="88">
        <v>419</v>
      </c>
      <c r="B421" s="173">
        <v>276</v>
      </c>
      <c r="C421" s="159"/>
      <c r="D421" s="88" t="s">
        <v>510</v>
      </c>
      <c r="E421" s="88" t="s">
        <v>709</v>
      </c>
      <c r="F421" s="88" t="s">
        <v>1164</v>
      </c>
      <c r="G421" s="88" t="s">
        <v>1161</v>
      </c>
      <c r="H421" s="88">
        <v>310809452600003</v>
      </c>
      <c r="I421" s="88" t="s">
        <v>862</v>
      </c>
      <c r="J421" s="49">
        <v>1</v>
      </c>
      <c r="K421" s="49">
        <v>20</v>
      </c>
      <c r="L421" s="169">
        <f t="shared" si="24"/>
        <v>20</v>
      </c>
      <c r="M421" s="169">
        <f t="shared" si="25"/>
        <v>1</v>
      </c>
      <c r="N421" s="169">
        <f t="shared" si="26"/>
        <v>3</v>
      </c>
      <c r="O421" s="169">
        <f t="shared" si="27"/>
        <v>23</v>
      </c>
      <c r="Z421" s="219"/>
      <c r="AA421" s="219"/>
    </row>
    <row r="422" spans="1:27" x14ac:dyDescent="0.3">
      <c r="A422" s="88">
        <v>420</v>
      </c>
      <c r="B422" s="173">
        <v>276</v>
      </c>
      <c r="C422" s="159"/>
      <c r="D422" s="88" t="s">
        <v>510</v>
      </c>
      <c r="E422" s="88" t="s">
        <v>709</v>
      </c>
      <c r="F422" s="88" t="s">
        <v>1165</v>
      </c>
      <c r="G422" s="88" t="s">
        <v>1161</v>
      </c>
      <c r="H422" s="88">
        <v>310809452600003</v>
      </c>
      <c r="I422" s="88" t="s">
        <v>1174</v>
      </c>
      <c r="J422" s="49">
        <v>1</v>
      </c>
      <c r="K422" s="49">
        <v>95</v>
      </c>
      <c r="L422" s="169">
        <f t="shared" si="24"/>
        <v>95</v>
      </c>
      <c r="M422" s="169">
        <f t="shared" si="25"/>
        <v>1</v>
      </c>
      <c r="N422" s="169">
        <f t="shared" si="26"/>
        <v>14.25</v>
      </c>
      <c r="O422" s="169">
        <f t="shared" si="27"/>
        <v>109.25</v>
      </c>
      <c r="Z422" s="219"/>
      <c r="AA422" s="219"/>
    </row>
    <row r="423" spans="1:27" x14ac:dyDescent="0.3">
      <c r="A423" s="88">
        <v>421</v>
      </c>
      <c r="B423" s="173">
        <v>276</v>
      </c>
      <c r="C423" s="159"/>
      <c r="D423" s="88" t="s">
        <v>510</v>
      </c>
      <c r="E423" s="88" t="s">
        <v>709</v>
      </c>
      <c r="F423" s="67" t="s">
        <v>1166</v>
      </c>
      <c r="G423" s="88" t="s">
        <v>1161</v>
      </c>
      <c r="H423" s="88">
        <v>310809452600003</v>
      </c>
      <c r="I423" s="88" t="s">
        <v>718</v>
      </c>
      <c r="J423" s="49">
        <v>1</v>
      </c>
      <c r="K423" s="49">
        <v>31</v>
      </c>
      <c r="L423" s="169">
        <f t="shared" si="24"/>
        <v>31</v>
      </c>
      <c r="M423" s="169">
        <f t="shared" si="25"/>
        <v>1</v>
      </c>
      <c r="N423" s="169">
        <f t="shared" si="26"/>
        <v>4.6499999999999995</v>
      </c>
      <c r="O423" s="169">
        <f t="shared" si="27"/>
        <v>35.65</v>
      </c>
      <c r="Z423" s="219"/>
      <c r="AA423" s="219"/>
    </row>
    <row r="424" spans="1:27" x14ac:dyDescent="0.3">
      <c r="A424" s="88">
        <v>422</v>
      </c>
      <c r="B424" s="173">
        <v>276</v>
      </c>
      <c r="C424" s="159"/>
      <c r="D424" s="88" t="s">
        <v>510</v>
      </c>
      <c r="E424" s="88" t="s">
        <v>709</v>
      </c>
      <c r="F424" s="175" t="s">
        <v>1167</v>
      </c>
      <c r="G424" s="88" t="s">
        <v>1161</v>
      </c>
      <c r="H424" s="88">
        <v>310809452600003</v>
      </c>
      <c r="I424" s="88" t="s">
        <v>718</v>
      </c>
      <c r="J424" s="49">
        <v>5</v>
      </c>
      <c r="K424" s="49">
        <v>10</v>
      </c>
      <c r="L424" s="169">
        <f t="shared" si="24"/>
        <v>50</v>
      </c>
      <c r="M424" s="169">
        <f t="shared" si="25"/>
        <v>1</v>
      </c>
      <c r="N424" s="169">
        <f t="shared" si="26"/>
        <v>7.5</v>
      </c>
      <c r="O424" s="169">
        <f t="shared" si="27"/>
        <v>57.5</v>
      </c>
      <c r="Z424" s="219"/>
      <c r="AA424" s="219"/>
    </row>
    <row r="425" spans="1:27" x14ac:dyDescent="0.3">
      <c r="A425" s="88">
        <v>423</v>
      </c>
      <c r="B425" s="173">
        <v>276</v>
      </c>
      <c r="C425" s="159"/>
      <c r="D425" s="88" t="s">
        <v>510</v>
      </c>
      <c r="E425" s="88" t="s">
        <v>709</v>
      </c>
      <c r="F425" s="88" t="s">
        <v>1168</v>
      </c>
      <c r="G425" s="88" t="s">
        <v>1161</v>
      </c>
      <c r="H425" s="88">
        <v>310809452600003</v>
      </c>
      <c r="I425" s="88" t="s">
        <v>776</v>
      </c>
      <c r="J425" s="49">
        <v>1</v>
      </c>
      <c r="K425" s="49">
        <v>26</v>
      </c>
      <c r="L425" s="169">
        <f t="shared" si="24"/>
        <v>26</v>
      </c>
      <c r="M425" s="169">
        <f t="shared" si="25"/>
        <v>1</v>
      </c>
      <c r="N425" s="169">
        <f t="shared" si="26"/>
        <v>3.9</v>
      </c>
      <c r="O425" s="169">
        <f t="shared" si="27"/>
        <v>29.9</v>
      </c>
      <c r="Z425" s="219"/>
      <c r="AA425" s="219"/>
    </row>
    <row r="426" spans="1:27" x14ac:dyDescent="0.3">
      <c r="A426" s="88">
        <v>424</v>
      </c>
      <c r="B426" s="173">
        <v>276</v>
      </c>
      <c r="C426" s="159"/>
      <c r="D426" s="88" t="s">
        <v>510</v>
      </c>
      <c r="E426" s="88" t="s">
        <v>709</v>
      </c>
      <c r="F426" s="88" t="s">
        <v>1169</v>
      </c>
      <c r="G426" s="88" t="s">
        <v>1161</v>
      </c>
      <c r="H426" s="88">
        <v>310809452600003</v>
      </c>
      <c r="I426" s="175" t="s">
        <v>1175</v>
      </c>
      <c r="J426" s="49">
        <v>1</v>
      </c>
      <c r="K426" s="49">
        <v>62</v>
      </c>
      <c r="L426" s="169">
        <v>62</v>
      </c>
      <c r="M426" s="169">
        <f t="shared" si="25"/>
        <v>1</v>
      </c>
      <c r="N426" s="169">
        <f t="shared" si="26"/>
        <v>9.2999999999999989</v>
      </c>
      <c r="O426" s="169">
        <f t="shared" si="27"/>
        <v>71.3</v>
      </c>
      <c r="Z426" s="219"/>
      <c r="AA426" s="219"/>
    </row>
    <row r="427" spans="1:27" x14ac:dyDescent="0.3">
      <c r="A427" s="88">
        <v>425</v>
      </c>
      <c r="B427" s="173">
        <v>276</v>
      </c>
      <c r="C427" s="159"/>
      <c r="D427" s="88" t="s">
        <v>510</v>
      </c>
      <c r="E427" s="88" t="s">
        <v>709</v>
      </c>
      <c r="F427" s="88" t="s">
        <v>1170</v>
      </c>
      <c r="G427" s="88" t="s">
        <v>1161</v>
      </c>
      <c r="H427" s="88">
        <v>310809452600003</v>
      </c>
      <c r="I427" s="88" t="s">
        <v>1175</v>
      </c>
      <c r="J427" s="49">
        <v>1</v>
      </c>
      <c r="K427" s="49">
        <v>180</v>
      </c>
      <c r="L427" s="169">
        <f t="shared" si="24"/>
        <v>180</v>
      </c>
      <c r="M427" s="169">
        <f t="shared" si="25"/>
        <v>1</v>
      </c>
      <c r="N427" s="169">
        <f t="shared" si="26"/>
        <v>27</v>
      </c>
      <c r="O427" s="169">
        <f t="shared" si="27"/>
        <v>207</v>
      </c>
      <c r="Z427" s="219"/>
      <c r="AA427" s="219"/>
    </row>
    <row r="428" spans="1:27" x14ac:dyDescent="0.3">
      <c r="A428" s="88">
        <v>426</v>
      </c>
      <c r="B428" s="173">
        <v>276</v>
      </c>
      <c r="C428" s="159"/>
      <c r="D428" s="88" t="s">
        <v>510</v>
      </c>
      <c r="E428" s="88" t="s">
        <v>709</v>
      </c>
      <c r="F428" s="88" t="s">
        <v>1171</v>
      </c>
      <c r="G428" s="88" t="s">
        <v>1161</v>
      </c>
      <c r="H428" s="88">
        <v>310809452600003</v>
      </c>
      <c r="I428" s="88" t="s">
        <v>861</v>
      </c>
      <c r="J428" s="49">
        <v>1</v>
      </c>
      <c r="K428" s="49">
        <v>24</v>
      </c>
      <c r="L428" s="169">
        <f t="shared" si="24"/>
        <v>24</v>
      </c>
      <c r="M428" s="169">
        <f t="shared" si="25"/>
        <v>1</v>
      </c>
      <c r="N428" s="169">
        <f t="shared" si="26"/>
        <v>3.5999999999999996</v>
      </c>
      <c r="O428" s="169">
        <f t="shared" si="27"/>
        <v>27.6</v>
      </c>
      <c r="Z428" s="219"/>
      <c r="AA428" s="219"/>
    </row>
    <row r="429" spans="1:27" x14ac:dyDescent="0.3">
      <c r="A429" s="88">
        <v>427</v>
      </c>
      <c r="B429" s="173">
        <v>276</v>
      </c>
      <c r="C429" s="159"/>
      <c r="D429" s="88" t="s">
        <v>510</v>
      </c>
      <c r="E429" s="88" t="s">
        <v>709</v>
      </c>
      <c r="F429" s="88" t="s">
        <v>1176</v>
      </c>
      <c r="G429" s="88" t="s">
        <v>1161</v>
      </c>
      <c r="H429" s="88">
        <v>310809452600003</v>
      </c>
      <c r="I429" s="88" t="s">
        <v>862</v>
      </c>
      <c r="J429" s="49">
        <v>1</v>
      </c>
      <c r="K429" s="49">
        <v>105</v>
      </c>
      <c r="L429" s="169">
        <f t="shared" si="24"/>
        <v>105</v>
      </c>
      <c r="M429" s="169">
        <f t="shared" si="25"/>
        <v>1</v>
      </c>
      <c r="N429" s="169">
        <f t="shared" si="26"/>
        <v>15.75</v>
      </c>
      <c r="O429" s="169">
        <f t="shared" si="27"/>
        <v>120.75</v>
      </c>
      <c r="Z429" s="219"/>
      <c r="AA429" s="219"/>
    </row>
    <row r="430" spans="1:27" x14ac:dyDescent="0.3">
      <c r="A430" s="88">
        <v>428</v>
      </c>
      <c r="B430" s="173">
        <v>277</v>
      </c>
      <c r="C430" s="159"/>
      <c r="D430" s="88" t="s">
        <v>510</v>
      </c>
      <c r="E430" s="88" t="s">
        <v>709</v>
      </c>
      <c r="F430" s="88" t="s">
        <v>1177</v>
      </c>
      <c r="G430" s="88" t="s">
        <v>1161</v>
      </c>
      <c r="H430" s="88">
        <v>310809452600003</v>
      </c>
      <c r="I430" s="88" t="s">
        <v>861</v>
      </c>
      <c r="J430" s="49">
        <v>1</v>
      </c>
      <c r="K430" s="49">
        <v>200.6</v>
      </c>
      <c r="L430" s="169">
        <f t="shared" si="24"/>
        <v>200.6</v>
      </c>
      <c r="M430" s="169">
        <f t="shared" si="25"/>
        <v>1</v>
      </c>
      <c r="N430" s="169">
        <f t="shared" si="26"/>
        <v>30.089999999999996</v>
      </c>
      <c r="O430" s="169">
        <f t="shared" si="27"/>
        <v>230.69</v>
      </c>
      <c r="Z430" s="219"/>
      <c r="AA430" s="219"/>
    </row>
    <row r="431" spans="1:27" x14ac:dyDescent="0.3">
      <c r="A431" s="88">
        <v>429</v>
      </c>
      <c r="B431" s="173">
        <v>277</v>
      </c>
      <c r="C431" s="159"/>
      <c r="D431" s="88" t="s">
        <v>510</v>
      </c>
      <c r="E431" s="88" t="s">
        <v>709</v>
      </c>
      <c r="F431" s="88" t="s">
        <v>1178</v>
      </c>
      <c r="G431" s="88" t="s">
        <v>1161</v>
      </c>
      <c r="H431" s="88">
        <v>310809452600003</v>
      </c>
      <c r="I431" s="88" t="s">
        <v>862</v>
      </c>
      <c r="J431" s="49">
        <v>1</v>
      </c>
      <c r="K431" s="49">
        <v>42</v>
      </c>
      <c r="L431" s="169">
        <f t="shared" si="24"/>
        <v>42</v>
      </c>
      <c r="M431" s="169">
        <f t="shared" si="25"/>
        <v>1</v>
      </c>
      <c r="N431" s="169">
        <f t="shared" si="26"/>
        <v>6.3</v>
      </c>
      <c r="O431" s="169">
        <f t="shared" si="27"/>
        <v>48.3</v>
      </c>
      <c r="Z431" s="219"/>
      <c r="AA431" s="219"/>
    </row>
    <row r="432" spans="1:27" x14ac:dyDescent="0.3">
      <c r="A432" s="88">
        <v>430</v>
      </c>
      <c r="B432" s="173">
        <v>277</v>
      </c>
      <c r="C432" s="159"/>
      <c r="D432" s="88" t="s">
        <v>510</v>
      </c>
      <c r="E432" s="88" t="s">
        <v>709</v>
      </c>
      <c r="F432" s="88" t="s">
        <v>1179</v>
      </c>
      <c r="G432" s="88" t="s">
        <v>1161</v>
      </c>
      <c r="H432" s="88">
        <v>310809452600003</v>
      </c>
      <c r="I432" s="175" t="s">
        <v>1172</v>
      </c>
      <c r="J432" s="49">
        <v>1</v>
      </c>
      <c r="K432" s="49">
        <v>136</v>
      </c>
      <c r="L432" s="169">
        <f t="shared" si="24"/>
        <v>136</v>
      </c>
      <c r="M432" s="169">
        <f t="shared" si="25"/>
        <v>1</v>
      </c>
      <c r="N432" s="169">
        <f t="shared" si="26"/>
        <v>20.399999999999999</v>
      </c>
      <c r="O432" s="169">
        <f t="shared" si="27"/>
        <v>156.4</v>
      </c>
      <c r="Z432" s="219"/>
      <c r="AA432" s="219"/>
    </row>
    <row r="433" spans="1:27" x14ac:dyDescent="0.3">
      <c r="A433" s="88">
        <v>431</v>
      </c>
      <c r="B433" s="173">
        <v>277</v>
      </c>
      <c r="C433" s="159"/>
      <c r="D433" s="88" t="s">
        <v>510</v>
      </c>
      <c r="E433" s="88" t="s">
        <v>709</v>
      </c>
      <c r="F433" s="88" t="s">
        <v>1180</v>
      </c>
      <c r="G433" s="88" t="s">
        <v>1161</v>
      </c>
      <c r="H433" s="88">
        <v>310809452600003</v>
      </c>
      <c r="I433" s="88" t="s">
        <v>862</v>
      </c>
      <c r="J433" s="49">
        <v>1</v>
      </c>
      <c r="K433" s="49">
        <v>138</v>
      </c>
      <c r="L433" s="169">
        <f t="shared" si="24"/>
        <v>138</v>
      </c>
      <c r="M433" s="169">
        <f t="shared" si="25"/>
        <v>1</v>
      </c>
      <c r="N433" s="169">
        <f t="shared" si="26"/>
        <v>20.7</v>
      </c>
      <c r="O433" s="169">
        <f t="shared" si="27"/>
        <v>158.69999999999999</v>
      </c>
      <c r="Z433" s="219"/>
      <c r="AA433" s="219"/>
    </row>
    <row r="434" spans="1:27" x14ac:dyDescent="0.3">
      <c r="A434" s="88">
        <v>432</v>
      </c>
      <c r="B434" s="173">
        <v>277</v>
      </c>
      <c r="C434" s="159"/>
      <c r="D434" s="88" t="s">
        <v>510</v>
      </c>
      <c r="E434" s="88" t="s">
        <v>709</v>
      </c>
      <c r="F434" s="88" t="s">
        <v>1181</v>
      </c>
      <c r="G434" s="88" t="s">
        <v>1161</v>
      </c>
      <c r="H434" s="88">
        <v>310809452600003</v>
      </c>
      <c r="I434" s="88" t="s">
        <v>862</v>
      </c>
      <c r="J434" s="49">
        <v>1</v>
      </c>
      <c r="K434" s="49">
        <v>210</v>
      </c>
      <c r="L434" s="169">
        <f t="shared" si="24"/>
        <v>210</v>
      </c>
      <c r="M434" s="169">
        <f t="shared" si="25"/>
        <v>1</v>
      </c>
      <c r="N434" s="169">
        <f t="shared" si="26"/>
        <v>31.5</v>
      </c>
      <c r="O434" s="169">
        <f t="shared" si="27"/>
        <v>241.5</v>
      </c>
      <c r="Z434" s="219"/>
      <c r="AA434" s="219"/>
    </row>
    <row r="435" spans="1:27" x14ac:dyDescent="0.3">
      <c r="A435" s="88">
        <v>433</v>
      </c>
      <c r="B435" s="173">
        <v>277</v>
      </c>
      <c r="C435" s="159"/>
      <c r="D435" s="88" t="s">
        <v>510</v>
      </c>
      <c r="E435" s="88" t="s">
        <v>709</v>
      </c>
      <c r="F435" s="88" t="s">
        <v>1182</v>
      </c>
      <c r="G435" s="88" t="s">
        <v>1161</v>
      </c>
      <c r="H435" s="88">
        <v>310809452600003</v>
      </c>
      <c r="I435" s="88" t="s">
        <v>1173</v>
      </c>
      <c r="J435" s="49">
        <v>1</v>
      </c>
      <c r="K435" s="49">
        <v>35</v>
      </c>
      <c r="L435" s="169">
        <f t="shared" si="24"/>
        <v>35</v>
      </c>
      <c r="M435" s="169">
        <f t="shared" si="25"/>
        <v>1</v>
      </c>
      <c r="N435" s="169">
        <f t="shared" si="26"/>
        <v>5.25</v>
      </c>
      <c r="O435" s="169">
        <f t="shared" si="27"/>
        <v>40.25</v>
      </c>
      <c r="Z435" s="219"/>
      <c r="AA435" s="219"/>
    </row>
    <row r="436" spans="1:27" x14ac:dyDescent="0.3">
      <c r="A436" s="88">
        <v>434</v>
      </c>
      <c r="B436" s="173">
        <v>277</v>
      </c>
      <c r="C436" s="159"/>
      <c r="D436" s="88" t="s">
        <v>510</v>
      </c>
      <c r="E436" s="88" t="s">
        <v>709</v>
      </c>
      <c r="F436" s="88" t="s">
        <v>1183</v>
      </c>
      <c r="G436" s="88" t="s">
        <v>1161</v>
      </c>
      <c r="H436" s="88">
        <v>310809452600003</v>
      </c>
      <c r="I436" s="88" t="s">
        <v>776</v>
      </c>
      <c r="J436" s="49">
        <v>1</v>
      </c>
      <c r="K436" s="49">
        <v>228</v>
      </c>
      <c r="L436" s="169">
        <f t="shared" si="24"/>
        <v>228</v>
      </c>
      <c r="M436" s="169">
        <f t="shared" si="25"/>
        <v>1</v>
      </c>
      <c r="N436" s="169">
        <f t="shared" si="26"/>
        <v>34.199999999999996</v>
      </c>
      <c r="O436" s="169">
        <f t="shared" si="27"/>
        <v>262.2</v>
      </c>
      <c r="Z436" s="219"/>
      <c r="AA436" s="219"/>
    </row>
    <row r="437" spans="1:27" x14ac:dyDescent="0.3">
      <c r="A437" s="88">
        <v>435</v>
      </c>
      <c r="B437" s="173">
        <v>277</v>
      </c>
      <c r="C437" s="159"/>
      <c r="D437" s="88" t="s">
        <v>510</v>
      </c>
      <c r="E437" s="88" t="s">
        <v>709</v>
      </c>
      <c r="F437" s="88" t="s">
        <v>1184</v>
      </c>
      <c r="G437" s="88" t="s">
        <v>1161</v>
      </c>
      <c r="H437" s="88">
        <v>310809452600003</v>
      </c>
      <c r="I437" s="88" t="s">
        <v>1193</v>
      </c>
      <c r="J437" s="49">
        <v>1</v>
      </c>
      <c r="K437" s="49">
        <v>198</v>
      </c>
      <c r="L437" s="169">
        <f t="shared" si="24"/>
        <v>198</v>
      </c>
      <c r="M437" s="169">
        <f t="shared" si="25"/>
        <v>1</v>
      </c>
      <c r="N437" s="169">
        <f t="shared" si="26"/>
        <v>29.7</v>
      </c>
      <c r="O437" s="169">
        <f t="shared" si="27"/>
        <v>227.7</v>
      </c>
      <c r="Z437" s="219"/>
      <c r="AA437" s="219"/>
    </row>
    <row r="438" spans="1:27" x14ac:dyDescent="0.3">
      <c r="A438" s="88">
        <v>436</v>
      </c>
      <c r="B438" s="173">
        <v>277</v>
      </c>
      <c r="C438" s="159"/>
      <c r="D438" s="88" t="s">
        <v>510</v>
      </c>
      <c r="E438" s="88" t="s">
        <v>709</v>
      </c>
      <c r="F438" s="88" t="s">
        <v>1185</v>
      </c>
      <c r="G438" s="88" t="s">
        <v>1161</v>
      </c>
      <c r="H438" s="88">
        <v>310809452600003</v>
      </c>
      <c r="I438" s="88" t="s">
        <v>1194</v>
      </c>
      <c r="J438" s="49">
        <v>1</v>
      </c>
      <c r="K438" s="49">
        <v>148</v>
      </c>
      <c r="L438" s="169">
        <f t="shared" si="24"/>
        <v>148</v>
      </c>
      <c r="M438" s="169">
        <f t="shared" si="25"/>
        <v>1</v>
      </c>
      <c r="N438" s="169">
        <f t="shared" si="26"/>
        <v>22.2</v>
      </c>
      <c r="O438" s="169">
        <f t="shared" si="27"/>
        <v>170.2</v>
      </c>
      <c r="Z438" s="219"/>
      <c r="AA438" s="219"/>
    </row>
    <row r="439" spans="1:27" x14ac:dyDescent="0.3">
      <c r="A439" s="88">
        <v>437</v>
      </c>
      <c r="B439" s="173">
        <v>277</v>
      </c>
      <c r="C439" s="159"/>
      <c r="D439" s="88" t="s">
        <v>510</v>
      </c>
      <c r="E439" s="88" t="s">
        <v>709</v>
      </c>
      <c r="F439" s="88" t="s">
        <v>1186</v>
      </c>
      <c r="G439" s="88" t="s">
        <v>1161</v>
      </c>
      <c r="H439" s="88">
        <v>310809452600003</v>
      </c>
      <c r="I439" s="88" t="s">
        <v>1172</v>
      </c>
      <c r="J439" s="49">
        <v>1</v>
      </c>
      <c r="K439" s="49">
        <v>97</v>
      </c>
      <c r="L439" s="169">
        <f t="shared" si="24"/>
        <v>97</v>
      </c>
      <c r="M439" s="169">
        <f t="shared" si="25"/>
        <v>1</v>
      </c>
      <c r="N439" s="169">
        <f t="shared" si="26"/>
        <v>14.549999999999999</v>
      </c>
      <c r="O439" s="169">
        <f t="shared" si="27"/>
        <v>111.55</v>
      </c>
      <c r="Z439" s="219"/>
      <c r="AA439" s="219"/>
    </row>
    <row r="440" spans="1:27" x14ac:dyDescent="0.3">
      <c r="A440" s="88">
        <v>438</v>
      </c>
      <c r="B440" s="173">
        <v>277</v>
      </c>
      <c r="C440" s="159"/>
      <c r="D440" s="88" t="s">
        <v>510</v>
      </c>
      <c r="E440" s="88" t="s">
        <v>709</v>
      </c>
      <c r="F440" s="88" t="s">
        <v>1187</v>
      </c>
      <c r="G440" s="88" t="s">
        <v>1161</v>
      </c>
      <c r="H440" s="88">
        <v>310809452600003</v>
      </c>
      <c r="I440" s="88" t="s">
        <v>1194</v>
      </c>
      <c r="J440" s="49">
        <v>1</v>
      </c>
      <c r="K440" s="49">
        <v>75</v>
      </c>
      <c r="L440" s="169">
        <f t="shared" si="24"/>
        <v>75</v>
      </c>
      <c r="M440" s="169">
        <f t="shared" si="25"/>
        <v>1</v>
      </c>
      <c r="N440" s="169">
        <f t="shared" si="26"/>
        <v>11.25</v>
      </c>
      <c r="O440" s="169">
        <f t="shared" si="27"/>
        <v>86.25</v>
      </c>
      <c r="Z440" s="219"/>
      <c r="AA440" s="219"/>
    </row>
    <row r="441" spans="1:27" x14ac:dyDescent="0.3">
      <c r="A441" s="88">
        <v>439</v>
      </c>
      <c r="B441" s="173">
        <v>277</v>
      </c>
      <c r="C441" s="159"/>
      <c r="D441" s="88" t="s">
        <v>510</v>
      </c>
      <c r="E441" s="88" t="s">
        <v>709</v>
      </c>
      <c r="F441" s="88" t="s">
        <v>1188</v>
      </c>
      <c r="G441" s="88" t="s">
        <v>1161</v>
      </c>
      <c r="H441" s="88">
        <v>310809452600003</v>
      </c>
      <c r="I441" s="88" t="s">
        <v>1175</v>
      </c>
      <c r="J441" s="49">
        <v>1</v>
      </c>
      <c r="K441" s="49">
        <v>58</v>
      </c>
      <c r="L441" s="169">
        <f t="shared" si="24"/>
        <v>58</v>
      </c>
      <c r="M441" s="169">
        <f t="shared" si="25"/>
        <v>1</v>
      </c>
      <c r="N441" s="169">
        <f t="shared" si="26"/>
        <v>8.6999999999999993</v>
      </c>
      <c r="O441" s="169">
        <f t="shared" si="27"/>
        <v>66.7</v>
      </c>
      <c r="Z441" s="219"/>
      <c r="AA441" s="219"/>
    </row>
    <row r="442" spans="1:27" x14ac:dyDescent="0.3">
      <c r="A442" s="88">
        <v>440</v>
      </c>
      <c r="B442" s="173">
        <v>277</v>
      </c>
      <c r="C442" s="159"/>
      <c r="D442" s="88" t="s">
        <v>510</v>
      </c>
      <c r="E442" s="88" t="s">
        <v>709</v>
      </c>
      <c r="F442" s="88" t="s">
        <v>1189</v>
      </c>
      <c r="G442" s="88" t="s">
        <v>1161</v>
      </c>
      <c r="H442" s="88">
        <v>310809452600003</v>
      </c>
      <c r="I442" s="88" t="s">
        <v>1174</v>
      </c>
      <c r="J442" s="49">
        <v>1</v>
      </c>
      <c r="K442" s="49">
        <v>175</v>
      </c>
      <c r="L442" s="169">
        <f t="shared" si="24"/>
        <v>175</v>
      </c>
      <c r="M442" s="169">
        <f t="shared" si="25"/>
        <v>1</v>
      </c>
      <c r="N442" s="169">
        <f t="shared" si="26"/>
        <v>26.25</v>
      </c>
      <c r="O442" s="169">
        <f t="shared" si="27"/>
        <v>201.25</v>
      </c>
      <c r="Z442" s="219"/>
      <c r="AA442" s="219"/>
    </row>
    <row r="443" spans="1:27" x14ac:dyDescent="0.3">
      <c r="A443" s="88">
        <v>441</v>
      </c>
      <c r="B443" s="173">
        <v>277</v>
      </c>
      <c r="C443" s="159"/>
      <c r="D443" s="88" t="s">
        <v>510</v>
      </c>
      <c r="E443" s="88" t="s">
        <v>709</v>
      </c>
      <c r="F443" s="175" t="s">
        <v>1190</v>
      </c>
      <c r="G443" s="88" t="s">
        <v>1161</v>
      </c>
      <c r="H443" s="88">
        <v>310809452600003</v>
      </c>
      <c r="I443" s="88" t="s">
        <v>1195</v>
      </c>
      <c r="J443" s="49">
        <v>1</v>
      </c>
      <c r="K443" s="49">
        <v>42</v>
      </c>
      <c r="L443" s="169">
        <f t="shared" si="24"/>
        <v>42</v>
      </c>
      <c r="M443" s="169">
        <f t="shared" si="25"/>
        <v>1</v>
      </c>
      <c r="N443" s="169">
        <f t="shared" si="26"/>
        <v>6.3</v>
      </c>
      <c r="O443" s="169">
        <f t="shared" si="27"/>
        <v>48.3</v>
      </c>
      <c r="Z443" s="219"/>
      <c r="AA443" s="219"/>
    </row>
    <row r="444" spans="1:27" x14ac:dyDescent="0.3">
      <c r="A444" s="88">
        <v>442</v>
      </c>
      <c r="B444" s="173">
        <v>277</v>
      </c>
      <c r="C444" s="159"/>
      <c r="D444" s="88" t="s">
        <v>510</v>
      </c>
      <c r="E444" s="88" t="s">
        <v>709</v>
      </c>
      <c r="F444" s="88" t="s">
        <v>1191</v>
      </c>
      <c r="G444" s="88" t="s">
        <v>1161</v>
      </c>
      <c r="H444" s="88">
        <v>310809452600003</v>
      </c>
      <c r="I444" s="88" t="s">
        <v>1172</v>
      </c>
      <c r="J444" s="49">
        <v>1</v>
      </c>
      <c r="K444" s="49">
        <v>84</v>
      </c>
      <c r="L444" s="169">
        <f t="shared" si="24"/>
        <v>84</v>
      </c>
      <c r="M444" s="169">
        <f t="shared" si="25"/>
        <v>1</v>
      </c>
      <c r="N444" s="169">
        <f t="shared" si="26"/>
        <v>12.6</v>
      </c>
      <c r="O444" s="169">
        <f t="shared" si="27"/>
        <v>96.6</v>
      </c>
      <c r="Z444" s="219"/>
      <c r="AA444" s="219"/>
    </row>
    <row r="445" spans="1:27" x14ac:dyDescent="0.3">
      <c r="A445" s="88">
        <v>443</v>
      </c>
      <c r="B445" s="173">
        <v>277</v>
      </c>
      <c r="C445" s="159"/>
      <c r="D445" s="88" t="s">
        <v>510</v>
      </c>
      <c r="E445" s="88" t="s">
        <v>709</v>
      </c>
      <c r="F445" s="88" t="s">
        <v>1192</v>
      </c>
      <c r="G445" s="88" t="s">
        <v>1161</v>
      </c>
      <c r="H445" s="88">
        <v>310809452600003</v>
      </c>
      <c r="I445" s="88" t="s">
        <v>1174</v>
      </c>
      <c r="J445" s="49">
        <v>1</v>
      </c>
      <c r="K445" s="49">
        <v>205</v>
      </c>
      <c r="L445" s="169">
        <f t="shared" si="24"/>
        <v>205</v>
      </c>
      <c r="M445" s="169">
        <f t="shared" si="25"/>
        <v>1</v>
      </c>
      <c r="N445" s="169">
        <f t="shared" si="26"/>
        <v>30.75</v>
      </c>
      <c r="O445" s="169">
        <f t="shared" si="27"/>
        <v>235.75</v>
      </c>
      <c r="Z445" s="219"/>
      <c r="AA445" s="219"/>
    </row>
    <row r="446" spans="1:27" x14ac:dyDescent="0.3">
      <c r="A446" s="88">
        <v>444</v>
      </c>
      <c r="B446" s="173">
        <v>278</v>
      </c>
      <c r="C446" s="159"/>
      <c r="D446" s="88" t="s">
        <v>510</v>
      </c>
      <c r="E446" s="88" t="s">
        <v>789</v>
      </c>
      <c r="F446" s="88" t="s">
        <v>1196</v>
      </c>
      <c r="G446" s="88" t="s">
        <v>1201</v>
      </c>
      <c r="H446" s="88">
        <v>310193267800003</v>
      </c>
      <c r="I446" s="88" t="s">
        <v>729</v>
      </c>
      <c r="J446" s="49">
        <v>1</v>
      </c>
      <c r="K446" s="49">
        <v>75</v>
      </c>
      <c r="L446" s="169">
        <f t="shared" si="24"/>
        <v>75</v>
      </c>
      <c r="M446" s="169">
        <f t="shared" si="25"/>
        <v>1</v>
      </c>
      <c r="N446" s="169">
        <f t="shared" si="26"/>
        <v>11.25</v>
      </c>
      <c r="O446" s="169">
        <f t="shared" si="27"/>
        <v>86.25</v>
      </c>
      <c r="Z446" s="219"/>
      <c r="AA446" s="219"/>
    </row>
    <row r="447" spans="1:27" x14ac:dyDescent="0.3">
      <c r="A447" s="88">
        <v>445</v>
      </c>
      <c r="B447" s="173">
        <v>278</v>
      </c>
      <c r="C447" s="159"/>
      <c r="D447" s="88" t="s">
        <v>510</v>
      </c>
      <c r="E447" s="88" t="s">
        <v>789</v>
      </c>
      <c r="F447" s="88" t="s">
        <v>1197</v>
      </c>
      <c r="G447" s="88" t="s">
        <v>1201</v>
      </c>
      <c r="H447" s="88">
        <v>310193267800003</v>
      </c>
      <c r="I447" s="88" t="s">
        <v>729</v>
      </c>
      <c r="J447" s="49">
        <v>1</v>
      </c>
      <c r="K447" s="49">
        <v>140</v>
      </c>
      <c r="L447" s="169">
        <f t="shared" si="24"/>
        <v>140</v>
      </c>
      <c r="M447" s="169">
        <f t="shared" si="25"/>
        <v>1</v>
      </c>
      <c r="N447" s="169">
        <f t="shared" si="26"/>
        <v>21</v>
      </c>
      <c r="O447" s="169">
        <f t="shared" si="27"/>
        <v>161</v>
      </c>
      <c r="Z447" s="219"/>
      <c r="AA447" s="219"/>
    </row>
    <row r="448" spans="1:27" x14ac:dyDescent="0.3">
      <c r="A448" s="88">
        <v>446</v>
      </c>
      <c r="B448" s="173">
        <v>278</v>
      </c>
      <c r="C448" s="159"/>
      <c r="D448" s="88" t="s">
        <v>510</v>
      </c>
      <c r="E448" s="88" t="s">
        <v>789</v>
      </c>
      <c r="F448" s="88" t="s">
        <v>1198</v>
      </c>
      <c r="G448" s="88" t="s">
        <v>1201</v>
      </c>
      <c r="H448" s="88">
        <v>310193267800003</v>
      </c>
      <c r="I448" s="88" t="s">
        <v>729</v>
      </c>
      <c r="J448" s="49">
        <v>1</v>
      </c>
      <c r="K448" s="49">
        <v>205</v>
      </c>
      <c r="L448" s="169">
        <f t="shared" si="24"/>
        <v>205</v>
      </c>
      <c r="M448" s="169">
        <f t="shared" si="25"/>
        <v>1</v>
      </c>
      <c r="N448" s="169">
        <f t="shared" si="26"/>
        <v>30.75</v>
      </c>
      <c r="O448" s="169">
        <f t="shared" si="27"/>
        <v>235.75</v>
      </c>
      <c r="Z448" s="219"/>
      <c r="AA448" s="219"/>
    </row>
    <row r="449" spans="1:27" x14ac:dyDescent="0.3">
      <c r="A449" s="88">
        <v>447</v>
      </c>
      <c r="B449" s="173">
        <v>278</v>
      </c>
      <c r="C449" s="159"/>
      <c r="D449" s="88" t="s">
        <v>510</v>
      </c>
      <c r="E449" s="88" t="s">
        <v>789</v>
      </c>
      <c r="F449" s="88" t="s">
        <v>1199</v>
      </c>
      <c r="G449" s="88" t="s">
        <v>1201</v>
      </c>
      <c r="H449" s="88">
        <v>310193267800003</v>
      </c>
      <c r="I449" s="88" t="s">
        <v>729</v>
      </c>
      <c r="J449" s="49">
        <v>1</v>
      </c>
      <c r="K449" s="49">
        <v>75</v>
      </c>
      <c r="L449" s="169">
        <f t="shared" si="24"/>
        <v>75</v>
      </c>
      <c r="M449" s="169">
        <f t="shared" si="25"/>
        <v>1</v>
      </c>
      <c r="N449" s="169">
        <f t="shared" si="26"/>
        <v>11.25</v>
      </c>
      <c r="O449" s="169">
        <f t="shared" si="27"/>
        <v>86.25</v>
      </c>
      <c r="Z449" s="219"/>
      <c r="AA449" s="219"/>
    </row>
    <row r="450" spans="1:27" x14ac:dyDescent="0.3">
      <c r="A450" s="88">
        <v>448</v>
      </c>
      <c r="B450" s="173">
        <v>278</v>
      </c>
      <c r="C450" s="159"/>
      <c r="D450" s="88" t="s">
        <v>510</v>
      </c>
      <c r="E450" s="88" t="s">
        <v>789</v>
      </c>
      <c r="F450" s="88" t="s">
        <v>1200</v>
      </c>
      <c r="G450" s="88" t="s">
        <v>1201</v>
      </c>
      <c r="H450" s="88">
        <v>310193267800003</v>
      </c>
      <c r="I450" s="88" t="s">
        <v>1202</v>
      </c>
      <c r="J450" s="49">
        <v>2</v>
      </c>
      <c r="K450" s="49">
        <v>50</v>
      </c>
      <c r="L450" s="169">
        <f t="shared" si="24"/>
        <v>100</v>
      </c>
      <c r="M450" s="169">
        <f t="shared" si="25"/>
        <v>1</v>
      </c>
      <c r="N450" s="169">
        <f t="shared" si="26"/>
        <v>15</v>
      </c>
      <c r="O450" s="169">
        <f t="shared" si="27"/>
        <v>115</v>
      </c>
      <c r="Z450" s="219"/>
      <c r="AA450" s="219"/>
    </row>
    <row r="451" spans="1:27" x14ac:dyDescent="0.3">
      <c r="A451" s="88">
        <v>449</v>
      </c>
      <c r="B451" s="173">
        <v>279</v>
      </c>
      <c r="C451" s="159"/>
      <c r="D451" s="88" t="s">
        <v>510</v>
      </c>
      <c r="E451" s="88" t="s">
        <v>789</v>
      </c>
      <c r="F451" s="88" t="s">
        <v>1203</v>
      </c>
      <c r="G451" s="88" t="s">
        <v>1201</v>
      </c>
      <c r="H451" s="88">
        <v>310193267800003</v>
      </c>
      <c r="I451" s="88" t="s">
        <v>729</v>
      </c>
      <c r="J451" s="49">
        <v>2</v>
      </c>
      <c r="K451" s="49">
        <v>85</v>
      </c>
      <c r="L451" s="169">
        <f t="shared" si="24"/>
        <v>170</v>
      </c>
      <c r="M451" s="169">
        <f t="shared" si="25"/>
        <v>1</v>
      </c>
      <c r="N451" s="169">
        <f t="shared" si="26"/>
        <v>25.5</v>
      </c>
      <c r="O451" s="169">
        <f t="shared" si="27"/>
        <v>195.5</v>
      </c>
      <c r="Z451" s="219"/>
      <c r="AA451" s="219"/>
    </row>
    <row r="452" spans="1:27" x14ac:dyDescent="0.3">
      <c r="A452" s="88">
        <v>450</v>
      </c>
      <c r="B452" s="173">
        <v>279</v>
      </c>
      <c r="C452" s="159"/>
      <c r="D452" s="88" t="s">
        <v>510</v>
      </c>
      <c r="E452" s="88" t="s">
        <v>789</v>
      </c>
      <c r="F452" s="88" t="s">
        <v>1204</v>
      </c>
      <c r="G452" s="88" t="s">
        <v>1201</v>
      </c>
      <c r="H452" s="88">
        <v>310193267800003</v>
      </c>
      <c r="I452" s="88" t="s">
        <v>729</v>
      </c>
      <c r="J452" s="49">
        <v>4</v>
      </c>
      <c r="K452" s="49">
        <v>60</v>
      </c>
      <c r="L452" s="169">
        <f t="shared" ref="L452:L515" si="28">K452*J452</f>
        <v>240</v>
      </c>
      <c r="M452" s="169">
        <f t="shared" ref="M452:M515" si="29">IF(H452="",0,1)</f>
        <v>1</v>
      </c>
      <c r="N452" s="169">
        <f t="shared" ref="N452:N515" si="30">M452*L452*15%</f>
        <v>36</v>
      </c>
      <c r="O452" s="169">
        <f t="shared" ref="O452:O515" si="31">N452+L452</f>
        <v>276</v>
      </c>
      <c r="Z452" s="219"/>
      <c r="AA452" s="219"/>
    </row>
    <row r="453" spans="1:27" x14ac:dyDescent="0.3">
      <c r="A453" s="88">
        <v>451</v>
      </c>
      <c r="B453" s="173">
        <v>279</v>
      </c>
      <c r="C453" s="159"/>
      <c r="D453" s="88" t="s">
        <v>510</v>
      </c>
      <c r="E453" s="88" t="s">
        <v>789</v>
      </c>
      <c r="F453" s="88" t="s">
        <v>1205</v>
      </c>
      <c r="G453" s="88" t="s">
        <v>1201</v>
      </c>
      <c r="H453" s="88">
        <v>310193267800003</v>
      </c>
      <c r="I453" s="88" t="s">
        <v>729</v>
      </c>
      <c r="J453" s="49">
        <v>4</v>
      </c>
      <c r="K453" s="49">
        <v>50</v>
      </c>
      <c r="L453" s="169">
        <f t="shared" si="28"/>
        <v>200</v>
      </c>
      <c r="M453" s="169">
        <f t="shared" si="29"/>
        <v>1</v>
      </c>
      <c r="N453" s="169">
        <f t="shared" si="30"/>
        <v>30</v>
      </c>
      <c r="O453" s="169">
        <f t="shared" si="31"/>
        <v>230</v>
      </c>
      <c r="Z453" s="219"/>
      <c r="AA453" s="219"/>
    </row>
    <row r="454" spans="1:27" x14ac:dyDescent="0.3">
      <c r="A454" s="88">
        <v>452</v>
      </c>
      <c r="B454" s="173">
        <v>279</v>
      </c>
      <c r="C454" s="159"/>
      <c r="D454" s="88" t="s">
        <v>510</v>
      </c>
      <c r="E454" s="88" t="s">
        <v>789</v>
      </c>
      <c r="F454" s="88" t="s">
        <v>1206</v>
      </c>
      <c r="G454" s="88" t="s">
        <v>1201</v>
      </c>
      <c r="H454" s="88">
        <v>310193267800003</v>
      </c>
      <c r="I454" s="88" t="s">
        <v>729</v>
      </c>
      <c r="J454" s="49">
        <v>2</v>
      </c>
      <c r="K454" s="49">
        <v>190</v>
      </c>
      <c r="L454" s="169">
        <f t="shared" si="28"/>
        <v>380</v>
      </c>
      <c r="M454" s="169">
        <f t="shared" si="29"/>
        <v>1</v>
      </c>
      <c r="N454" s="169">
        <f t="shared" si="30"/>
        <v>57</v>
      </c>
      <c r="O454" s="169">
        <f t="shared" si="31"/>
        <v>437</v>
      </c>
      <c r="Z454" s="219"/>
      <c r="AA454" s="219"/>
    </row>
    <row r="455" spans="1:27" x14ac:dyDescent="0.3">
      <c r="A455" s="88">
        <v>453</v>
      </c>
      <c r="B455" s="173">
        <v>279</v>
      </c>
      <c r="C455" s="159"/>
      <c r="D455" s="88" t="s">
        <v>510</v>
      </c>
      <c r="E455" s="88" t="s">
        <v>789</v>
      </c>
      <c r="F455" s="88" t="s">
        <v>1200</v>
      </c>
      <c r="G455" s="88" t="s">
        <v>1201</v>
      </c>
      <c r="H455" s="88">
        <v>310193267800003</v>
      </c>
      <c r="I455" s="88" t="s">
        <v>1202</v>
      </c>
      <c r="J455" s="49">
        <v>2</v>
      </c>
      <c r="K455" s="49">
        <v>50</v>
      </c>
      <c r="L455" s="169">
        <f t="shared" si="28"/>
        <v>100</v>
      </c>
      <c r="M455" s="169">
        <f t="shared" si="29"/>
        <v>1</v>
      </c>
      <c r="N455" s="169">
        <f t="shared" si="30"/>
        <v>15</v>
      </c>
      <c r="O455" s="169">
        <f t="shared" si="31"/>
        <v>115</v>
      </c>
      <c r="Z455" s="219"/>
      <c r="AA455" s="219"/>
    </row>
    <row r="456" spans="1:27" x14ac:dyDescent="0.3">
      <c r="A456" s="88">
        <v>454</v>
      </c>
      <c r="B456" s="173">
        <v>280</v>
      </c>
      <c r="C456" s="159"/>
      <c r="D456" s="88" t="s">
        <v>510</v>
      </c>
      <c r="E456" s="88" t="s">
        <v>760</v>
      </c>
      <c r="F456" s="88" t="s">
        <v>1207</v>
      </c>
      <c r="G456" s="88" t="s">
        <v>1208</v>
      </c>
      <c r="H456" s="88">
        <v>300056289500003</v>
      </c>
      <c r="I456" s="88" t="s">
        <v>718</v>
      </c>
      <c r="J456" s="49">
        <v>1</v>
      </c>
      <c r="K456" s="49">
        <v>564.35</v>
      </c>
      <c r="L456" s="169">
        <f t="shared" si="28"/>
        <v>564.35</v>
      </c>
      <c r="M456" s="169">
        <f t="shared" si="29"/>
        <v>1</v>
      </c>
      <c r="N456" s="169">
        <f t="shared" si="30"/>
        <v>84.652500000000003</v>
      </c>
      <c r="O456" s="169">
        <f t="shared" si="31"/>
        <v>649.00250000000005</v>
      </c>
      <c r="Z456" s="219"/>
      <c r="AA456" s="219"/>
    </row>
    <row r="457" spans="1:27" x14ac:dyDescent="0.3">
      <c r="A457" s="88">
        <v>455</v>
      </c>
      <c r="B457" s="173">
        <v>281</v>
      </c>
      <c r="C457" s="159"/>
      <c r="D457" s="88" t="s">
        <v>510</v>
      </c>
      <c r="E457" s="88" t="s">
        <v>743</v>
      </c>
      <c r="F457" s="88" t="s">
        <v>1209</v>
      </c>
      <c r="G457" s="88" t="s">
        <v>884</v>
      </c>
      <c r="H457" s="88"/>
      <c r="I457" s="88"/>
      <c r="J457" s="49">
        <v>1</v>
      </c>
      <c r="K457" s="49">
        <v>18</v>
      </c>
      <c r="L457" s="169">
        <f t="shared" si="28"/>
        <v>18</v>
      </c>
      <c r="M457" s="169">
        <f t="shared" si="29"/>
        <v>0</v>
      </c>
      <c r="N457" s="169">
        <f t="shared" si="30"/>
        <v>0</v>
      </c>
      <c r="O457" s="169">
        <f t="shared" si="31"/>
        <v>18</v>
      </c>
      <c r="Z457" s="219"/>
      <c r="AA457" s="219"/>
    </row>
    <row r="458" spans="1:27" x14ac:dyDescent="0.3">
      <c r="A458" s="88">
        <v>456</v>
      </c>
      <c r="B458" s="173">
        <v>282</v>
      </c>
      <c r="C458" s="159"/>
      <c r="D458" s="88" t="s">
        <v>510</v>
      </c>
      <c r="E458" s="88" t="s">
        <v>820</v>
      </c>
      <c r="F458" s="88" t="s">
        <v>1210</v>
      </c>
      <c r="G458" s="88" t="s">
        <v>1211</v>
      </c>
      <c r="H458" s="88">
        <v>310003296800003</v>
      </c>
      <c r="I458" s="88" t="s">
        <v>862</v>
      </c>
      <c r="J458" s="49">
        <v>16.420000000000002</v>
      </c>
      <c r="K458" s="49">
        <v>42</v>
      </c>
      <c r="L458" s="169">
        <f t="shared" si="28"/>
        <v>689.6400000000001</v>
      </c>
      <c r="M458" s="169">
        <f t="shared" si="29"/>
        <v>1</v>
      </c>
      <c r="N458" s="169">
        <f t="shared" si="30"/>
        <v>103.44600000000001</v>
      </c>
      <c r="O458" s="169">
        <f t="shared" si="31"/>
        <v>793.08600000000013</v>
      </c>
      <c r="Z458" s="219"/>
      <c r="AA458" s="219"/>
    </row>
    <row r="459" spans="1:27" x14ac:dyDescent="0.3">
      <c r="A459" s="88">
        <v>457</v>
      </c>
      <c r="B459" s="173">
        <v>283</v>
      </c>
      <c r="C459" s="159"/>
      <c r="D459" s="88" t="s">
        <v>510</v>
      </c>
      <c r="E459" s="88" t="s">
        <v>820</v>
      </c>
      <c r="F459" s="88" t="s">
        <v>1212</v>
      </c>
      <c r="G459" s="88" t="s">
        <v>1213</v>
      </c>
      <c r="H459" s="88">
        <v>300048707900003</v>
      </c>
      <c r="I459" s="88" t="s">
        <v>739</v>
      </c>
      <c r="J459" s="49">
        <v>22.65</v>
      </c>
      <c r="K459" s="49">
        <v>25</v>
      </c>
      <c r="L459" s="169">
        <f t="shared" si="28"/>
        <v>566.25</v>
      </c>
      <c r="M459" s="169">
        <f t="shared" si="29"/>
        <v>1</v>
      </c>
      <c r="N459" s="169">
        <f t="shared" si="30"/>
        <v>84.9375</v>
      </c>
      <c r="O459" s="169">
        <f t="shared" si="31"/>
        <v>651.1875</v>
      </c>
      <c r="Z459" s="219"/>
      <c r="AA459" s="219"/>
    </row>
    <row r="460" spans="1:27" x14ac:dyDescent="0.3">
      <c r="A460" s="88">
        <v>458</v>
      </c>
      <c r="B460" s="173">
        <v>284</v>
      </c>
      <c r="C460" s="159"/>
      <c r="D460" s="88" t="s">
        <v>510</v>
      </c>
      <c r="E460" s="88" t="s">
        <v>820</v>
      </c>
      <c r="F460" s="88" t="s">
        <v>1214</v>
      </c>
      <c r="G460" s="88" t="s">
        <v>1217</v>
      </c>
      <c r="H460" s="88">
        <v>310174707500003</v>
      </c>
      <c r="I460" s="88" t="s">
        <v>739</v>
      </c>
      <c r="J460" s="49">
        <v>9.1999999999999993</v>
      </c>
      <c r="K460" s="49">
        <v>40</v>
      </c>
      <c r="L460" s="169">
        <f t="shared" si="28"/>
        <v>368</v>
      </c>
      <c r="M460" s="169">
        <f t="shared" si="29"/>
        <v>1</v>
      </c>
      <c r="N460" s="169">
        <f t="shared" si="30"/>
        <v>55.199999999999996</v>
      </c>
      <c r="O460" s="169">
        <f t="shared" si="31"/>
        <v>423.2</v>
      </c>
      <c r="Z460" s="219"/>
      <c r="AA460" s="219"/>
    </row>
    <row r="461" spans="1:27" x14ac:dyDescent="0.3">
      <c r="A461" s="88">
        <v>459</v>
      </c>
      <c r="B461" s="173">
        <v>284</v>
      </c>
      <c r="C461" s="159"/>
      <c r="D461" s="88" t="s">
        <v>510</v>
      </c>
      <c r="E461" s="88" t="s">
        <v>820</v>
      </c>
      <c r="F461" s="88" t="s">
        <v>1215</v>
      </c>
      <c r="G461" s="88" t="s">
        <v>1217</v>
      </c>
      <c r="H461" s="88">
        <v>310174707500003</v>
      </c>
      <c r="I461" s="88" t="s">
        <v>739</v>
      </c>
      <c r="J461" s="49">
        <v>8.8000000000000007</v>
      </c>
      <c r="K461" s="49">
        <v>40</v>
      </c>
      <c r="L461" s="169">
        <f t="shared" si="28"/>
        <v>352</v>
      </c>
      <c r="M461" s="169">
        <f t="shared" si="29"/>
        <v>1</v>
      </c>
      <c r="N461" s="169">
        <f t="shared" si="30"/>
        <v>52.8</v>
      </c>
      <c r="O461" s="169">
        <f t="shared" si="31"/>
        <v>404.8</v>
      </c>
      <c r="Z461" s="219"/>
      <c r="AA461" s="219"/>
    </row>
    <row r="462" spans="1:27" x14ac:dyDescent="0.3">
      <c r="A462" s="88">
        <v>460</v>
      </c>
      <c r="B462" s="173">
        <v>284</v>
      </c>
      <c r="C462" s="159"/>
      <c r="D462" s="88" t="s">
        <v>510</v>
      </c>
      <c r="E462" s="88" t="s">
        <v>820</v>
      </c>
      <c r="F462" s="88" t="s">
        <v>1216</v>
      </c>
      <c r="G462" s="88" t="s">
        <v>1217</v>
      </c>
      <c r="H462" s="88">
        <v>310174707500003</v>
      </c>
      <c r="I462" s="88" t="s">
        <v>739</v>
      </c>
      <c r="J462" s="49">
        <v>10.4</v>
      </c>
      <c r="K462" s="49">
        <v>40</v>
      </c>
      <c r="L462" s="169">
        <f t="shared" si="28"/>
        <v>416</v>
      </c>
      <c r="M462" s="169">
        <f t="shared" si="29"/>
        <v>1</v>
      </c>
      <c r="N462" s="169">
        <f t="shared" si="30"/>
        <v>62.4</v>
      </c>
      <c r="O462" s="169">
        <f t="shared" si="31"/>
        <v>478.4</v>
      </c>
      <c r="Z462" s="219"/>
      <c r="AA462" s="219"/>
    </row>
    <row r="463" spans="1:27" x14ac:dyDescent="0.3">
      <c r="A463" s="88">
        <v>461</v>
      </c>
      <c r="B463" s="173">
        <v>285</v>
      </c>
      <c r="C463" s="159"/>
      <c r="D463" s="88" t="s">
        <v>510</v>
      </c>
      <c r="E463" s="88" t="s">
        <v>820</v>
      </c>
      <c r="F463" s="88" t="s">
        <v>1215</v>
      </c>
      <c r="G463" s="88" t="s">
        <v>1217</v>
      </c>
      <c r="H463" s="88">
        <v>310174707500003</v>
      </c>
      <c r="I463" s="88" t="s">
        <v>739</v>
      </c>
      <c r="J463" s="49">
        <v>23.06</v>
      </c>
      <c r="K463" s="49">
        <v>40</v>
      </c>
      <c r="L463" s="169">
        <f t="shared" si="28"/>
        <v>922.4</v>
      </c>
      <c r="M463" s="169">
        <f t="shared" si="29"/>
        <v>1</v>
      </c>
      <c r="N463" s="169">
        <f t="shared" si="30"/>
        <v>138.35999999999999</v>
      </c>
      <c r="O463" s="169">
        <f t="shared" si="31"/>
        <v>1060.76</v>
      </c>
      <c r="Z463" s="219"/>
      <c r="AA463" s="219"/>
    </row>
    <row r="464" spans="1:27" x14ac:dyDescent="0.3">
      <c r="A464" s="88">
        <v>462</v>
      </c>
      <c r="B464" s="173">
        <v>285</v>
      </c>
      <c r="C464" s="159"/>
      <c r="D464" s="88" t="s">
        <v>510</v>
      </c>
      <c r="E464" s="88" t="s">
        <v>820</v>
      </c>
      <c r="F464" s="88" t="s">
        <v>1216</v>
      </c>
      <c r="G464" s="88" t="s">
        <v>1217</v>
      </c>
      <c r="H464" s="88">
        <v>310174707500003</v>
      </c>
      <c r="I464" s="88" t="s">
        <v>739</v>
      </c>
      <c r="J464" s="49">
        <v>20.32</v>
      </c>
      <c r="K464" s="49">
        <v>40</v>
      </c>
      <c r="L464" s="169">
        <f t="shared" si="28"/>
        <v>812.8</v>
      </c>
      <c r="M464" s="169">
        <f t="shared" si="29"/>
        <v>1</v>
      </c>
      <c r="N464" s="169">
        <f t="shared" si="30"/>
        <v>121.91999999999999</v>
      </c>
      <c r="O464" s="169">
        <f t="shared" si="31"/>
        <v>934.71999999999991</v>
      </c>
      <c r="Z464" s="219"/>
      <c r="AA464" s="219"/>
    </row>
    <row r="465" spans="1:27" x14ac:dyDescent="0.3">
      <c r="A465" s="88">
        <v>463</v>
      </c>
      <c r="B465" s="173">
        <v>286</v>
      </c>
      <c r="C465" s="159"/>
      <c r="D465" s="88" t="s">
        <v>510</v>
      </c>
      <c r="E465" s="88" t="s">
        <v>789</v>
      </c>
      <c r="F465" s="88" t="s">
        <v>1218</v>
      </c>
      <c r="G465" s="88" t="s">
        <v>1201</v>
      </c>
      <c r="H465" s="88">
        <v>310193267800003</v>
      </c>
      <c r="I465" s="88" t="s">
        <v>729</v>
      </c>
      <c r="J465" s="49">
        <v>1</v>
      </c>
      <c r="K465" s="49">
        <v>121</v>
      </c>
      <c r="L465" s="169">
        <f t="shared" si="28"/>
        <v>121</v>
      </c>
      <c r="M465" s="169">
        <f t="shared" si="29"/>
        <v>1</v>
      </c>
      <c r="N465" s="169">
        <f t="shared" si="30"/>
        <v>18.149999999999999</v>
      </c>
      <c r="O465" s="169">
        <f t="shared" si="31"/>
        <v>139.15</v>
      </c>
      <c r="Z465" s="219"/>
      <c r="AA465" s="219"/>
    </row>
    <row r="466" spans="1:27" x14ac:dyDescent="0.3">
      <c r="A466" s="88">
        <v>464</v>
      </c>
      <c r="B466" s="173">
        <v>286</v>
      </c>
      <c r="C466" s="159"/>
      <c r="D466" s="88" t="s">
        <v>510</v>
      </c>
      <c r="E466" s="88" t="s">
        <v>789</v>
      </c>
      <c r="F466" s="88" t="s">
        <v>1219</v>
      </c>
      <c r="G466" s="88" t="s">
        <v>1201</v>
      </c>
      <c r="H466" s="88">
        <v>310193267800003</v>
      </c>
      <c r="I466" s="88" t="s">
        <v>729</v>
      </c>
      <c r="J466" s="49">
        <v>1</v>
      </c>
      <c r="K466" s="49">
        <v>105</v>
      </c>
      <c r="L466" s="169">
        <f t="shared" si="28"/>
        <v>105</v>
      </c>
      <c r="M466" s="169">
        <f t="shared" si="29"/>
        <v>1</v>
      </c>
      <c r="N466" s="169">
        <f t="shared" si="30"/>
        <v>15.75</v>
      </c>
      <c r="O466" s="169">
        <f t="shared" si="31"/>
        <v>120.75</v>
      </c>
      <c r="Z466" s="219"/>
      <c r="AA466" s="219"/>
    </row>
    <row r="467" spans="1:27" x14ac:dyDescent="0.3">
      <c r="A467" s="88">
        <v>465</v>
      </c>
      <c r="B467" s="173">
        <v>286</v>
      </c>
      <c r="C467" s="159"/>
      <c r="D467" s="88" t="s">
        <v>510</v>
      </c>
      <c r="E467" s="88" t="s">
        <v>789</v>
      </c>
      <c r="F467" s="88" t="s">
        <v>1205</v>
      </c>
      <c r="G467" s="88" t="s">
        <v>1201</v>
      </c>
      <c r="H467" s="88">
        <v>310193267800003</v>
      </c>
      <c r="I467" s="88" t="s">
        <v>729</v>
      </c>
      <c r="J467" s="49">
        <v>3</v>
      </c>
      <c r="K467" s="49">
        <v>50</v>
      </c>
      <c r="L467" s="169">
        <f t="shared" si="28"/>
        <v>150</v>
      </c>
      <c r="M467" s="169">
        <f t="shared" si="29"/>
        <v>1</v>
      </c>
      <c r="N467" s="169">
        <f t="shared" si="30"/>
        <v>22.5</v>
      </c>
      <c r="O467" s="169">
        <f t="shared" si="31"/>
        <v>172.5</v>
      </c>
      <c r="Z467" s="219"/>
      <c r="AA467" s="219"/>
    </row>
    <row r="468" spans="1:27" x14ac:dyDescent="0.3">
      <c r="A468" s="88">
        <v>466</v>
      </c>
      <c r="B468" s="173">
        <v>286</v>
      </c>
      <c r="C468" s="159"/>
      <c r="D468" s="88" t="s">
        <v>510</v>
      </c>
      <c r="E468" s="88" t="s">
        <v>789</v>
      </c>
      <c r="F468" s="88" t="s">
        <v>1220</v>
      </c>
      <c r="G468" s="88" t="s">
        <v>1201</v>
      </c>
      <c r="H468" s="88">
        <v>310193267800003</v>
      </c>
      <c r="I468" s="88" t="s">
        <v>729</v>
      </c>
      <c r="J468" s="49">
        <v>1</v>
      </c>
      <c r="K468" s="49">
        <v>330</v>
      </c>
      <c r="L468" s="169">
        <f t="shared" si="28"/>
        <v>330</v>
      </c>
      <c r="M468" s="169">
        <f t="shared" si="29"/>
        <v>1</v>
      </c>
      <c r="N468" s="169">
        <f t="shared" si="30"/>
        <v>49.5</v>
      </c>
      <c r="O468" s="169">
        <f t="shared" si="31"/>
        <v>379.5</v>
      </c>
      <c r="Z468" s="219"/>
      <c r="AA468" s="219"/>
    </row>
    <row r="469" spans="1:27" x14ac:dyDescent="0.3">
      <c r="A469" s="88">
        <v>467</v>
      </c>
      <c r="B469" s="173">
        <v>286</v>
      </c>
      <c r="C469" s="159"/>
      <c r="D469" s="88" t="s">
        <v>510</v>
      </c>
      <c r="E469" s="88" t="s">
        <v>789</v>
      </c>
      <c r="F469" s="88" t="s">
        <v>1203</v>
      </c>
      <c r="G469" s="88" t="s">
        <v>1201</v>
      </c>
      <c r="H469" s="88">
        <v>310193267800003</v>
      </c>
      <c r="I469" s="88" t="s">
        <v>729</v>
      </c>
      <c r="J469" s="49">
        <v>1</v>
      </c>
      <c r="K469" s="49">
        <v>85</v>
      </c>
      <c r="L469" s="169">
        <f t="shared" si="28"/>
        <v>85</v>
      </c>
      <c r="M469" s="169">
        <f t="shared" si="29"/>
        <v>1</v>
      </c>
      <c r="N469" s="169">
        <f t="shared" si="30"/>
        <v>12.75</v>
      </c>
      <c r="O469" s="169">
        <f t="shared" si="31"/>
        <v>97.75</v>
      </c>
      <c r="Z469" s="219"/>
      <c r="AA469" s="219"/>
    </row>
    <row r="470" spans="1:27" x14ac:dyDescent="0.3">
      <c r="A470" s="88">
        <v>468</v>
      </c>
      <c r="B470" s="173">
        <v>286</v>
      </c>
      <c r="C470" s="159"/>
      <c r="D470" s="88" t="s">
        <v>510</v>
      </c>
      <c r="E470" s="88" t="s">
        <v>789</v>
      </c>
      <c r="F470" s="88" t="s">
        <v>1221</v>
      </c>
      <c r="G470" s="88" t="s">
        <v>1201</v>
      </c>
      <c r="H470" s="88">
        <v>310193267800003</v>
      </c>
      <c r="I470" s="88" t="s">
        <v>729</v>
      </c>
      <c r="J470" s="49">
        <v>1</v>
      </c>
      <c r="K470" s="49">
        <v>210</v>
      </c>
      <c r="L470" s="169">
        <f t="shared" si="28"/>
        <v>210</v>
      </c>
      <c r="M470" s="169">
        <f t="shared" si="29"/>
        <v>1</v>
      </c>
      <c r="N470" s="169">
        <f t="shared" si="30"/>
        <v>31.5</v>
      </c>
      <c r="O470" s="169">
        <f t="shared" si="31"/>
        <v>241.5</v>
      </c>
      <c r="Z470" s="219"/>
      <c r="AA470" s="219"/>
    </row>
    <row r="471" spans="1:27" x14ac:dyDescent="0.3">
      <c r="A471" s="88">
        <v>469</v>
      </c>
      <c r="B471" s="173">
        <v>286</v>
      </c>
      <c r="C471" s="159"/>
      <c r="D471" s="88" t="s">
        <v>510</v>
      </c>
      <c r="E471" s="88" t="s">
        <v>789</v>
      </c>
      <c r="F471" s="88" t="s">
        <v>1206</v>
      </c>
      <c r="G471" s="88" t="s">
        <v>1201</v>
      </c>
      <c r="H471" s="88">
        <v>310193267800003</v>
      </c>
      <c r="I471" s="88" t="s">
        <v>729</v>
      </c>
      <c r="J471" s="49">
        <v>1</v>
      </c>
      <c r="K471" s="49">
        <v>190</v>
      </c>
      <c r="L471" s="169">
        <f t="shared" si="28"/>
        <v>190</v>
      </c>
      <c r="M471" s="169">
        <f t="shared" si="29"/>
        <v>1</v>
      </c>
      <c r="N471" s="169">
        <f t="shared" si="30"/>
        <v>28.5</v>
      </c>
      <c r="O471" s="169">
        <f t="shared" si="31"/>
        <v>218.5</v>
      </c>
      <c r="Z471" s="219"/>
      <c r="AA471" s="219"/>
    </row>
    <row r="472" spans="1:27" x14ac:dyDescent="0.3">
      <c r="A472" s="88">
        <v>470</v>
      </c>
      <c r="B472" s="173">
        <v>286</v>
      </c>
      <c r="C472" s="159"/>
      <c r="D472" s="88" t="s">
        <v>510</v>
      </c>
      <c r="E472" s="88" t="s">
        <v>789</v>
      </c>
      <c r="F472" s="88" t="s">
        <v>1222</v>
      </c>
      <c r="G472" s="88" t="s">
        <v>1201</v>
      </c>
      <c r="H472" s="88">
        <v>310193267800003</v>
      </c>
      <c r="I472" s="88" t="s">
        <v>729</v>
      </c>
      <c r="J472" s="49">
        <v>4</v>
      </c>
      <c r="K472" s="49">
        <v>53</v>
      </c>
      <c r="L472" s="169">
        <f t="shared" si="28"/>
        <v>212</v>
      </c>
      <c r="M472" s="169">
        <f t="shared" si="29"/>
        <v>1</v>
      </c>
      <c r="N472" s="169">
        <f t="shared" si="30"/>
        <v>31.799999999999997</v>
      </c>
      <c r="O472" s="169">
        <f t="shared" si="31"/>
        <v>243.8</v>
      </c>
      <c r="Z472" s="219"/>
      <c r="AA472" s="219"/>
    </row>
    <row r="473" spans="1:27" x14ac:dyDescent="0.3">
      <c r="A473" s="88">
        <v>471</v>
      </c>
      <c r="B473" s="173">
        <v>286</v>
      </c>
      <c r="C473" s="159"/>
      <c r="D473" s="88" t="s">
        <v>510</v>
      </c>
      <c r="E473" s="88" t="s">
        <v>789</v>
      </c>
      <c r="F473" s="88" t="s">
        <v>1223</v>
      </c>
      <c r="G473" s="88" t="s">
        <v>1201</v>
      </c>
      <c r="H473" s="88">
        <v>310193267800003</v>
      </c>
      <c r="I473" s="88" t="s">
        <v>729</v>
      </c>
      <c r="J473" s="49">
        <v>1</v>
      </c>
      <c r="K473" s="49">
        <v>88</v>
      </c>
      <c r="L473" s="169">
        <f t="shared" si="28"/>
        <v>88</v>
      </c>
      <c r="M473" s="169">
        <f t="shared" si="29"/>
        <v>1</v>
      </c>
      <c r="N473" s="169">
        <f t="shared" si="30"/>
        <v>13.2</v>
      </c>
      <c r="O473" s="169">
        <f t="shared" si="31"/>
        <v>101.2</v>
      </c>
      <c r="Z473" s="219"/>
      <c r="AA473" s="219"/>
    </row>
    <row r="474" spans="1:27" x14ac:dyDescent="0.3">
      <c r="A474" s="88">
        <v>472</v>
      </c>
      <c r="B474" s="173">
        <v>287</v>
      </c>
      <c r="C474" s="159"/>
      <c r="D474" s="88" t="s">
        <v>510</v>
      </c>
      <c r="E474" s="88" t="s">
        <v>789</v>
      </c>
      <c r="F474" s="88" t="s">
        <v>1222</v>
      </c>
      <c r="G474" s="88" t="s">
        <v>1201</v>
      </c>
      <c r="H474" s="88">
        <v>310193267800003</v>
      </c>
      <c r="I474" s="88" t="s">
        <v>729</v>
      </c>
      <c r="J474" s="49">
        <v>10</v>
      </c>
      <c r="K474" s="49">
        <v>53</v>
      </c>
      <c r="L474" s="169">
        <f t="shared" si="28"/>
        <v>530</v>
      </c>
      <c r="M474" s="169">
        <f t="shared" si="29"/>
        <v>1</v>
      </c>
      <c r="N474" s="169">
        <f t="shared" si="30"/>
        <v>79.5</v>
      </c>
      <c r="O474" s="169">
        <f t="shared" si="31"/>
        <v>609.5</v>
      </c>
      <c r="Z474" s="219"/>
      <c r="AA474" s="219"/>
    </row>
    <row r="475" spans="1:27" x14ac:dyDescent="0.3">
      <c r="A475" s="88">
        <v>473</v>
      </c>
      <c r="B475" s="173">
        <v>288</v>
      </c>
      <c r="C475" s="159"/>
      <c r="D475" s="88" t="s">
        <v>510</v>
      </c>
      <c r="E475" s="88" t="s">
        <v>771</v>
      </c>
      <c r="F475" s="88" t="s">
        <v>1225</v>
      </c>
      <c r="G475" s="88" t="s">
        <v>1224</v>
      </c>
      <c r="H475" s="88">
        <v>311145924800003</v>
      </c>
      <c r="I475" s="88"/>
      <c r="J475" s="49">
        <v>1</v>
      </c>
      <c r="K475" s="49">
        <v>29</v>
      </c>
      <c r="L475" s="169">
        <f t="shared" si="28"/>
        <v>29</v>
      </c>
      <c r="M475" s="169">
        <f t="shared" si="29"/>
        <v>1</v>
      </c>
      <c r="N475" s="169">
        <f t="shared" si="30"/>
        <v>4.3499999999999996</v>
      </c>
      <c r="O475" s="169">
        <f t="shared" si="31"/>
        <v>33.35</v>
      </c>
      <c r="Z475" s="219"/>
      <c r="AA475" s="219"/>
    </row>
    <row r="476" spans="1:27" x14ac:dyDescent="0.3">
      <c r="A476" s="88">
        <v>474</v>
      </c>
      <c r="B476" s="173">
        <v>289</v>
      </c>
      <c r="C476" s="159"/>
      <c r="D476" s="88" t="s">
        <v>510</v>
      </c>
      <c r="E476" s="88" t="s">
        <v>771</v>
      </c>
      <c r="F476" s="88" t="s">
        <v>1226</v>
      </c>
      <c r="G476" s="88" t="s">
        <v>1224</v>
      </c>
      <c r="H476" s="88">
        <v>311145924800003</v>
      </c>
      <c r="I476" s="88"/>
      <c r="J476" s="49">
        <v>1</v>
      </c>
      <c r="K476" s="49">
        <v>96</v>
      </c>
      <c r="L476" s="169">
        <f t="shared" si="28"/>
        <v>96</v>
      </c>
      <c r="M476" s="169">
        <f t="shared" si="29"/>
        <v>1</v>
      </c>
      <c r="N476" s="169">
        <f t="shared" si="30"/>
        <v>14.399999999999999</v>
      </c>
      <c r="O476" s="169">
        <f t="shared" si="31"/>
        <v>110.4</v>
      </c>
      <c r="Z476" s="219"/>
      <c r="AA476" s="219"/>
    </row>
    <row r="477" spans="1:27" x14ac:dyDescent="0.3">
      <c r="A477" s="88">
        <v>475</v>
      </c>
      <c r="B477" s="173">
        <v>290</v>
      </c>
      <c r="C477" s="159"/>
      <c r="D477" s="88" t="s">
        <v>510</v>
      </c>
      <c r="E477" s="88" t="s">
        <v>771</v>
      </c>
      <c r="F477" s="88" t="s">
        <v>1227</v>
      </c>
      <c r="G477" s="88" t="s">
        <v>1228</v>
      </c>
      <c r="H477" s="88">
        <v>311251801800003</v>
      </c>
      <c r="I477" s="88"/>
      <c r="J477" s="49">
        <v>1</v>
      </c>
      <c r="K477" s="49">
        <v>200</v>
      </c>
      <c r="L477" s="169">
        <f t="shared" si="28"/>
        <v>200</v>
      </c>
      <c r="M477" s="169">
        <f t="shared" si="29"/>
        <v>1</v>
      </c>
      <c r="N477" s="169">
        <f t="shared" si="30"/>
        <v>30</v>
      </c>
      <c r="O477" s="169">
        <f t="shared" si="31"/>
        <v>230</v>
      </c>
      <c r="Z477" s="219"/>
      <c r="AA477" s="219"/>
    </row>
    <row r="478" spans="1:27" x14ac:dyDescent="0.3">
      <c r="A478" s="88">
        <v>476</v>
      </c>
      <c r="B478" s="173">
        <v>291</v>
      </c>
      <c r="C478" s="159"/>
      <c r="D478" s="88" t="s">
        <v>510</v>
      </c>
      <c r="E478" s="88" t="s">
        <v>771</v>
      </c>
      <c r="F478" s="88" t="s">
        <v>1229</v>
      </c>
      <c r="G478" s="88" t="s">
        <v>1228</v>
      </c>
      <c r="H478" s="88">
        <v>311251801800003</v>
      </c>
      <c r="I478" s="88" t="s">
        <v>718</v>
      </c>
      <c r="J478" s="49">
        <v>4</v>
      </c>
      <c r="K478" s="49">
        <v>5</v>
      </c>
      <c r="L478" s="169">
        <f t="shared" si="28"/>
        <v>20</v>
      </c>
      <c r="M478" s="169">
        <f t="shared" si="29"/>
        <v>1</v>
      </c>
      <c r="N478" s="169">
        <f t="shared" si="30"/>
        <v>3</v>
      </c>
      <c r="O478" s="169">
        <f t="shared" si="31"/>
        <v>23</v>
      </c>
      <c r="Z478" s="219"/>
      <c r="AA478" s="219"/>
    </row>
    <row r="479" spans="1:27" x14ac:dyDescent="0.3">
      <c r="A479" s="88">
        <v>477</v>
      </c>
      <c r="B479" s="173">
        <v>291</v>
      </c>
      <c r="C479" s="159"/>
      <c r="D479" s="88" t="s">
        <v>510</v>
      </c>
      <c r="E479" s="88" t="s">
        <v>771</v>
      </c>
      <c r="F479" s="88" t="s">
        <v>1230</v>
      </c>
      <c r="G479" s="88" t="s">
        <v>1228</v>
      </c>
      <c r="H479" s="88">
        <v>311251801800003</v>
      </c>
      <c r="I479" s="88" t="s">
        <v>718</v>
      </c>
      <c r="J479" s="49">
        <v>1</v>
      </c>
      <c r="K479" s="49">
        <v>10</v>
      </c>
      <c r="L479" s="169">
        <f t="shared" si="28"/>
        <v>10</v>
      </c>
      <c r="M479" s="169">
        <f t="shared" si="29"/>
        <v>1</v>
      </c>
      <c r="N479" s="169">
        <f t="shared" si="30"/>
        <v>1.5</v>
      </c>
      <c r="O479" s="169">
        <f t="shared" si="31"/>
        <v>11.5</v>
      </c>
      <c r="Z479" s="219"/>
      <c r="AA479" s="219"/>
    </row>
    <row r="480" spans="1:27" x14ac:dyDescent="0.3">
      <c r="A480" s="88">
        <v>478</v>
      </c>
      <c r="B480" s="173">
        <v>291</v>
      </c>
      <c r="C480" s="159"/>
      <c r="D480" s="88" t="s">
        <v>510</v>
      </c>
      <c r="E480" s="88" t="s">
        <v>771</v>
      </c>
      <c r="F480" s="88" t="s">
        <v>1231</v>
      </c>
      <c r="G480" s="88" t="s">
        <v>1228</v>
      </c>
      <c r="H480" s="88">
        <v>311251801800003</v>
      </c>
      <c r="I480" s="88" t="s">
        <v>718</v>
      </c>
      <c r="J480" s="49">
        <v>2</v>
      </c>
      <c r="K480" s="49">
        <v>75</v>
      </c>
      <c r="L480" s="169">
        <f t="shared" si="28"/>
        <v>150</v>
      </c>
      <c r="M480" s="169">
        <f t="shared" si="29"/>
        <v>1</v>
      </c>
      <c r="N480" s="169">
        <f t="shared" si="30"/>
        <v>22.5</v>
      </c>
      <c r="O480" s="169">
        <f t="shared" si="31"/>
        <v>172.5</v>
      </c>
      <c r="Z480" s="219"/>
      <c r="AA480" s="219"/>
    </row>
    <row r="481" spans="1:27" x14ac:dyDescent="0.3">
      <c r="A481" s="88">
        <v>479</v>
      </c>
      <c r="B481" s="173">
        <v>292</v>
      </c>
      <c r="C481" s="159"/>
      <c r="D481" s="88" t="s">
        <v>510</v>
      </c>
      <c r="E481" s="88" t="s">
        <v>771</v>
      </c>
      <c r="F481" s="88" t="s">
        <v>1232</v>
      </c>
      <c r="G481" s="88" t="s">
        <v>1233</v>
      </c>
      <c r="H481" s="88"/>
      <c r="I481" s="88"/>
      <c r="J481" s="49">
        <v>1</v>
      </c>
      <c r="K481" s="49">
        <v>35</v>
      </c>
      <c r="L481" s="169">
        <f t="shared" si="28"/>
        <v>35</v>
      </c>
      <c r="M481" s="169">
        <f t="shared" si="29"/>
        <v>0</v>
      </c>
      <c r="N481" s="169">
        <f t="shared" si="30"/>
        <v>0</v>
      </c>
      <c r="O481" s="169">
        <f t="shared" si="31"/>
        <v>35</v>
      </c>
      <c r="Z481" s="219"/>
      <c r="AA481" s="219"/>
    </row>
    <row r="482" spans="1:27" x14ac:dyDescent="0.3">
      <c r="A482" s="88">
        <v>480</v>
      </c>
      <c r="B482" s="173">
        <v>293</v>
      </c>
      <c r="C482" s="159"/>
      <c r="D482" s="88" t="s">
        <v>510</v>
      </c>
      <c r="E482" s="88" t="s">
        <v>743</v>
      </c>
      <c r="F482" s="175" t="s">
        <v>1234</v>
      </c>
      <c r="G482" s="88" t="s">
        <v>1242</v>
      </c>
      <c r="H482" s="88">
        <v>300170158400003</v>
      </c>
      <c r="I482" s="88"/>
      <c r="J482" s="49">
        <v>1</v>
      </c>
      <c r="K482" s="49">
        <v>270</v>
      </c>
      <c r="L482" s="169">
        <f t="shared" si="28"/>
        <v>270</v>
      </c>
      <c r="M482" s="169">
        <f t="shared" si="29"/>
        <v>1</v>
      </c>
      <c r="N482" s="169">
        <f t="shared" si="30"/>
        <v>40.5</v>
      </c>
      <c r="O482" s="169">
        <f t="shared" si="31"/>
        <v>310.5</v>
      </c>
      <c r="Z482" s="219"/>
      <c r="AA482" s="219"/>
    </row>
    <row r="483" spans="1:27" x14ac:dyDescent="0.3">
      <c r="A483" s="88">
        <v>481</v>
      </c>
      <c r="B483" s="173">
        <v>293</v>
      </c>
      <c r="C483" s="159"/>
      <c r="D483" s="88" t="s">
        <v>510</v>
      </c>
      <c r="E483" s="88" t="s">
        <v>743</v>
      </c>
      <c r="F483" s="88" t="s">
        <v>1235</v>
      </c>
      <c r="G483" s="88" t="s">
        <v>1242</v>
      </c>
      <c r="H483" s="88">
        <v>300170158400003</v>
      </c>
      <c r="I483" s="88"/>
      <c r="J483" s="49">
        <v>1</v>
      </c>
      <c r="K483" s="49">
        <v>100</v>
      </c>
      <c r="L483" s="169">
        <f t="shared" si="28"/>
        <v>100</v>
      </c>
      <c r="M483" s="169">
        <f t="shared" si="29"/>
        <v>1</v>
      </c>
      <c r="N483" s="169">
        <f t="shared" si="30"/>
        <v>15</v>
      </c>
      <c r="O483" s="169">
        <f t="shared" si="31"/>
        <v>115</v>
      </c>
      <c r="Z483" s="219"/>
      <c r="AA483" s="219"/>
    </row>
    <row r="484" spans="1:27" x14ac:dyDescent="0.3">
      <c r="A484" s="88">
        <v>482</v>
      </c>
      <c r="B484" s="173">
        <v>293</v>
      </c>
      <c r="C484" s="159"/>
      <c r="D484" s="88" t="s">
        <v>510</v>
      </c>
      <c r="E484" s="88" t="s">
        <v>743</v>
      </c>
      <c r="F484" s="88" t="s">
        <v>1236</v>
      </c>
      <c r="G484" s="88" t="s">
        <v>1242</v>
      </c>
      <c r="H484" s="88">
        <v>300170158400003</v>
      </c>
      <c r="I484" s="88"/>
      <c r="J484" s="49">
        <v>1</v>
      </c>
      <c r="K484" s="49">
        <v>190</v>
      </c>
      <c r="L484" s="169">
        <f t="shared" si="28"/>
        <v>190</v>
      </c>
      <c r="M484" s="169">
        <f t="shared" si="29"/>
        <v>1</v>
      </c>
      <c r="N484" s="169">
        <f t="shared" si="30"/>
        <v>28.5</v>
      </c>
      <c r="O484" s="169">
        <f t="shared" si="31"/>
        <v>218.5</v>
      </c>
      <c r="Z484" s="219"/>
      <c r="AA484" s="219"/>
    </row>
    <row r="485" spans="1:27" x14ac:dyDescent="0.3">
      <c r="A485" s="88">
        <v>483</v>
      </c>
      <c r="B485" s="173">
        <v>293</v>
      </c>
      <c r="C485" s="159"/>
      <c r="D485" s="88" t="s">
        <v>510</v>
      </c>
      <c r="E485" s="88" t="s">
        <v>743</v>
      </c>
      <c r="F485" s="88" t="s">
        <v>1237</v>
      </c>
      <c r="G485" s="88" t="s">
        <v>1242</v>
      </c>
      <c r="H485" s="88">
        <v>300170158400003</v>
      </c>
      <c r="I485" s="88"/>
      <c r="J485" s="49">
        <v>1</v>
      </c>
      <c r="K485" s="49">
        <v>350</v>
      </c>
      <c r="L485" s="169">
        <f t="shared" si="28"/>
        <v>350</v>
      </c>
      <c r="M485" s="169">
        <f t="shared" si="29"/>
        <v>1</v>
      </c>
      <c r="N485" s="169">
        <f t="shared" si="30"/>
        <v>52.5</v>
      </c>
      <c r="O485" s="169">
        <f t="shared" si="31"/>
        <v>402.5</v>
      </c>
      <c r="Z485" s="219"/>
      <c r="AA485" s="219"/>
    </row>
    <row r="486" spans="1:27" x14ac:dyDescent="0.3">
      <c r="A486" s="88">
        <v>484</v>
      </c>
      <c r="B486" s="173">
        <v>293</v>
      </c>
      <c r="C486" s="159"/>
      <c r="D486" s="88" t="s">
        <v>510</v>
      </c>
      <c r="E486" s="88" t="s">
        <v>743</v>
      </c>
      <c r="F486" s="88" t="s">
        <v>1238</v>
      </c>
      <c r="G486" s="88" t="s">
        <v>1242</v>
      </c>
      <c r="H486" s="88">
        <v>300170158400003</v>
      </c>
      <c r="I486" s="88"/>
      <c r="J486" s="49">
        <v>1</v>
      </c>
      <c r="K486" s="49">
        <v>135</v>
      </c>
      <c r="L486" s="169">
        <f t="shared" si="28"/>
        <v>135</v>
      </c>
      <c r="M486" s="169">
        <f t="shared" si="29"/>
        <v>1</v>
      </c>
      <c r="N486" s="169">
        <f t="shared" si="30"/>
        <v>20.25</v>
      </c>
      <c r="O486" s="169">
        <f t="shared" si="31"/>
        <v>155.25</v>
      </c>
      <c r="Z486" s="219"/>
      <c r="AA486" s="219"/>
    </row>
    <row r="487" spans="1:27" x14ac:dyDescent="0.3">
      <c r="A487" s="88">
        <v>485</v>
      </c>
      <c r="B487" s="173">
        <v>293</v>
      </c>
      <c r="C487" s="159"/>
      <c r="D487" s="88" t="s">
        <v>510</v>
      </c>
      <c r="E487" s="88" t="s">
        <v>743</v>
      </c>
      <c r="F487" s="88" t="s">
        <v>1239</v>
      </c>
      <c r="G487" s="88" t="s">
        <v>1242</v>
      </c>
      <c r="H487" s="88">
        <v>300170158400003</v>
      </c>
      <c r="I487" s="88"/>
      <c r="J487" s="49">
        <v>1</v>
      </c>
      <c r="K487" s="49">
        <v>95</v>
      </c>
      <c r="L487" s="169">
        <f t="shared" si="28"/>
        <v>95</v>
      </c>
      <c r="M487" s="169">
        <f t="shared" si="29"/>
        <v>1</v>
      </c>
      <c r="N487" s="169">
        <f t="shared" si="30"/>
        <v>14.25</v>
      </c>
      <c r="O487" s="169">
        <f t="shared" si="31"/>
        <v>109.25</v>
      </c>
      <c r="Z487" s="219"/>
      <c r="AA487" s="219"/>
    </row>
    <row r="488" spans="1:27" x14ac:dyDescent="0.3">
      <c r="A488" s="88">
        <v>486</v>
      </c>
      <c r="B488" s="173">
        <v>293</v>
      </c>
      <c r="C488" s="159"/>
      <c r="D488" s="88" t="s">
        <v>510</v>
      </c>
      <c r="E488" s="88" t="s">
        <v>743</v>
      </c>
      <c r="F488" s="88" t="s">
        <v>1240</v>
      </c>
      <c r="G488" s="88" t="s">
        <v>1242</v>
      </c>
      <c r="H488" s="88">
        <v>300170158400003</v>
      </c>
      <c r="I488" s="88"/>
      <c r="J488" s="49">
        <v>1</v>
      </c>
      <c r="K488" s="49">
        <v>90</v>
      </c>
      <c r="L488" s="169">
        <f t="shared" si="28"/>
        <v>90</v>
      </c>
      <c r="M488" s="169">
        <f t="shared" si="29"/>
        <v>1</v>
      </c>
      <c r="N488" s="169">
        <f t="shared" si="30"/>
        <v>13.5</v>
      </c>
      <c r="O488" s="169">
        <f t="shared" si="31"/>
        <v>103.5</v>
      </c>
      <c r="Z488" s="219"/>
      <c r="AA488" s="219"/>
    </row>
    <row r="489" spans="1:27" x14ac:dyDescent="0.3">
      <c r="A489" s="88">
        <v>487</v>
      </c>
      <c r="B489" s="173">
        <v>293</v>
      </c>
      <c r="C489" s="159"/>
      <c r="D489" s="88" t="s">
        <v>510</v>
      </c>
      <c r="E489" s="88" t="s">
        <v>743</v>
      </c>
      <c r="F489" s="88" t="s">
        <v>1241</v>
      </c>
      <c r="G489" s="88" t="s">
        <v>1242</v>
      </c>
      <c r="H489" s="88">
        <v>300170158400003</v>
      </c>
      <c r="I489" s="88"/>
      <c r="J489" s="49">
        <v>1</v>
      </c>
      <c r="K489" s="49">
        <v>120</v>
      </c>
      <c r="L489" s="169">
        <f t="shared" si="28"/>
        <v>120</v>
      </c>
      <c r="M489" s="169">
        <f t="shared" si="29"/>
        <v>1</v>
      </c>
      <c r="N489" s="169">
        <f t="shared" si="30"/>
        <v>18</v>
      </c>
      <c r="O489" s="169">
        <f t="shared" si="31"/>
        <v>138</v>
      </c>
      <c r="Z489" s="219"/>
      <c r="AA489" s="219"/>
    </row>
    <row r="490" spans="1:27" x14ac:dyDescent="0.3">
      <c r="A490" s="88">
        <v>488</v>
      </c>
      <c r="B490" s="173">
        <v>294</v>
      </c>
      <c r="C490" s="159"/>
      <c r="D490" s="88" t="s">
        <v>500</v>
      </c>
      <c r="E490" s="88" t="s">
        <v>740</v>
      </c>
      <c r="F490" s="88" t="s">
        <v>1243</v>
      </c>
      <c r="G490" s="88" t="s">
        <v>742</v>
      </c>
      <c r="H490" s="88">
        <v>300498479600003</v>
      </c>
      <c r="I490" s="88"/>
      <c r="J490" s="49">
        <v>7</v>
      </c>
      <c r="K490" s="49">
        <v>1</v>
      </c>
      <c r="L490" s="169">
        <f t="shared" si="28"/>
        <v>7</v>
      </c>
      <c r="M490" s="169">
        <f t="shared" si="29"/>
        <v>1</v>
      </c>
      <c r="N490" s="169">
        <f t="shared" si="30"/>
        <v>1.05</v>
      </c>
      <c r="O490" s="169">
        <f t="shared" si="31"/>
        <v>8.0500000000000007</v>
      </c>
      <c r="Z490" s="219"/>
      <c r="AA490" s="219"/>
    </row>
    <row r="491" spans="1:27" x14ac:dyDescent="0.3">
      <c r="A491" s="88">
        <v>489</v>
      </c>
      <c r="B491" s="173">
        <v>295</v>
      </c>
      <c r="C491" s="159"/>
      <c r="D491" s="88" t="s">
        <v>500</v>
      </c>
      <c r="E491" s="88" t="s">
        <v>740</v>
      </c>
      <c r="F491" s="88" t="s">
        <v>1243</v>
      </c>
      <c r="G491" s="88" t="s">
        <v>742</v>
      </c>
      <c r="H491" s="88">
        <v>300498479600003</v>
      </c>
      <c r="I491" s="88"/>
      <c r="J491" s="49">
        <v>7</v>
      </c>
      <c r="K491" s="49">
        <v>1</v>
      </c>
      <c r="L491" s="169">
        <f t="shared" si="28"/>
        <v>7</v>
      </c>
      <c r="M491" s="169">
        <f t="shared" si="29"/>
        <v>1</v>
      </c>
      <c r="N491" s="169">
        <f t="shared" si="30"/>
        <v>1.05</v>
      </c>
      <c r="O491" s="169">
        <f t="shared" si="31"/>
        <v>8.0500000000000007</v>
      </c>
      <c r="Z491" s="219"/>
      <c r="AA491" s="219"/>
    </row>
    <row r="492" spans="1:27" x14ac:dyDescent="0.3">
      <c r="A492" s="88">
        <v>490</v>
      </c>
      <c r="B492" s="173">
        <v>296</v>
      </c>
      <c r="C492" s="159"/>
      <c r="D492" s="88" t="s">
        <v>500</v>
      </c>
      <c r="E492" s="88" t="s">
        <v>740</v>
      </c>
      <c r="F492" s="88" t="s">
        <v>741</v>
      </c>
      <c r="G492" s="88" t="s">
        <v>742</v>
      </c>
      <c r="H492" s="88">
        <v>300498479600003</v>
      </c>
      <c r="I492" s="88"/>
      <c r="J492" s="49">
        <v>7</v>
      </c>
      <c r="K492" s="49">
        <v>1</v>
      </c>
      <c r="L492" s="169">
        <f t="shared" si="28"/>
        <v>7</v>
      </c>
      <c r="M492" s="169">
        <f t="shared" si="29"/>
        <v>1</v>
      </c>
      <c r="N492" s="169">
        <f t="shared" si="30"/>
        <v>1.05</v>
      </c>
      <c r="O492" s="169">
        <f t="shared" si="31"/>
        <v>8.0500000000000007</v>
      </c>
      <c r="Z492" s="219"/>
      <c r="AA492" s="219"/>
    </row>
    <row r="493" spans="1:27" x14ac:dyDescent="0.3">
      <c r="A493" s="88">
        <v>491</v>
      </c>
      <c r="B493" s="173">
        <v>297</v>
      </c>
      <c r="C493" s="159"/>
      <c r="D493" s="88" t="s">
        <v>500</v>
      </c>
      <c r="E493" s="88" t="s">
        <v>740</v>
      </c>
      <c r="F493" s="88" t="s">
        <v>1244</v>
      </c>
      <c r="G493" s="88" t="s">
        <v>742</v>
      </c>
      <c r="H493" s="88">
        <v>300498479600003</v>
      </c>
      <c r="I493" s="88"/>
      <c r="J493" s="49">
        <v>1</v>
      </c>
      <c r="K493" s="49">
        <v>6.3</v>
      </c>
      <c r="L493" s="169">
        <f t="shared" si="28"/>
        <v>6.3</v>
      </c>
      <c r="M493" s="169">
        <f t="shared" si="29"/>
        <v>1</v>
      </c>
      <c r="N493" s="169">
        <f t="shared" si="30"/>
        <v>0.94499999999999995</v>
      </c>
      <c r="O493" s="169">
        <f t="shared" si="31"/>
        <v>7.2450000000000001</v>
      </c>
      <c r="Z493" s="219"/>
      <c r="AA493" s="219"/>
    </row>
    <row r="494" spans="1:27" x14ac:dyDescent="0.3">
      <c r="A494" s="88">
        <v>492</v>
      </c>
      <c r="B494" s="173">
        <v>298</v>
      </c>
      <c r="C494" s="159"/>
      <c r="D494" s="88" t="s">
        <v>500</v>
      </c>
      <c r="E494" s="88" t="s">
        <v>740</v>
      </c>
      <c r="F494" s="88" t="s">
        <v>741</v>
      </c>
      <c r="G494" s="88" t="s">
        <v>742</v>
      </c>
      <c r="H494" s="88">
        <v>300498479600003</v>
      </c>
      <c r="I494" s="88"/>
      <c r="J494" s="49">
        <v>7</v>
      </c>
      <c r="K494" s="49">
        <v>1</v>
      </c>
      <c r="L494" s="169">
        <f t="shared" si="28"/>
        <v>7</v>
      </c>
      <c r="M494" s="169">
        <f t="shared" si="29"/>
        <v>1</v>
      </c>
      <c r="N494" s="169">
        <f t="shared" si="30"/>
        <v>1.05</v>
      </c>
      <c r="O494" s="169">
        <f t="shared" si="31"/>
        <v>8.0500000000000007</v>
      </c>
      <c r="Z494" s="219"/>
      <c r="AA494" s="219"/>
    </row>
    <row r="495" spans="1:27" x14ac:dyDescent="0.3">
      <c r="A495" s="88">
        <v>493</v>
      </c>
      <c r="B495" s="173">
        <v>299</v>
      </c>
      <c r="C495" s="159"/>
      <c r="D495" s="88" t="s">
        <v>500</v>
      </c>
      <c r="E495" s="88" t="s">
        <v>740</v>
      </c>
      <c r="F495" s="88" t="s">
        <v>741</v>
      </c>
      <c r="G495" s="88" t="s">
        <v>742</v>
      </c>
      <c r="H495" s="88">
        <v>300498479600003</v>
      </c>
      <c r="I495" s="88"/>
      <c r="J495" s="49">
        <v>7</v>
      </c>
      <c r="K495" s="49">
        <v>1</v>
      </c>
      <c r="L495" s="169">
        <f t="shared" si="28"/>
        <v>7</v>
      </c>
      <c r="M495" s="169">
        <f t="shared" si="29"/>
        <v>1</v>
      </c>
      <c r="N495" s="169">
        <f t="shared" si="30"/>
        <v>1.05</v>
      </c>
      <c r="O495" s="169">
        <f t="shared" si="31"/>
        <v>8.0500000000000007</v>
      </c>
      <c r="Z495" s="219"/>
      <c r="AA495" s="219"/>
    </row>
    <row r="496" spans="1:27" x14ac:dyDescent="0.3">
      <c r="A496" s="88">
        <v>494</v>
      </c>
      <c r="B496" s="173">
        <v>300</v>
      </c>
      <c r="C496" s="159"/>
      <c r="D496" s="88" t="s">
        <v>500</v>
      </c>
      <c r="E496" s="88" t="s">
        <v>740</v>
      </c>
      <c r="F496" s="88" t="s">
        <v>741</v>
      </c>
      <c r="G496" s="88" t="s">
        <v>742</v>
      </c>
      <c r="H496" s="88">
        <v>300498479600003</v>
      </c>
      <c r="I496" s="88"/>
      <c r="J496" s="49">
        <v>7</v>
      </c>
      <c r="K496" s="49">
        <v>1</v>
      </c>
      <c r="L496" s="169">
        <f t="shared" si="28"/>
        <v>7</v>
      </c>
      <c r="M496" s="169">
        <f t="shared" si="29"/>
        <v>1</v>
      </c>
      <c r="N496" s="169">
        <f t="shared" si="30"/>
        <v>1.05</v>
      </c>
      <c r="O496" s="169">
        <f t="shared" si="31"/>
        <v>8.0500000000000007</v>
      </c>
      <c r="Z496" s="219"/>
      <c r="AA496" s="219"/>
    </row>
    <row r="497" spans="1:27" x14ac:dyDescent="0.3">
      <c r="A497" s="88">
        <v>495</v>
      </c>
      <c r="B497" s="173">
        <v>301</v>
      </c>
      <c r="C497" s="159"/>
      <c r="D497" s="88" t="s">
        <v>500</v>
      </c>
      <c r="E497" s="88" t="s">
        <v>740</v>
      </c>
      <c r="F497" s="88" t="s">
        <v>922</v>
      </c>
      <c r="G497" s="88" t="s">
        <v>742</v>
      </c>
      <c r="H497" s="88">
        <v>300498479600003</v>
      </c>
      <c r="I497" s="88"/>
      <c r="J497" s="49">
        <v>2</v>
      </c>
      <c r="K497" s="49">
        <v>1.3</v>
      </c>
      <c r="L497" s="169">
        <f t="shared" si="28"/>
        <v>2.6</v>
      </c>
      <c r="M497" s="169">
        <f t="shared" si="29"/>
        <v>1</v>
      </c>
      <c r="N497" s="169">
        <f t="shared" si="30"/>
        <v>0.39</v>
      </c>
      <c r="O497" s="169">
        <f t="shared" si="31"/>
        <v>2.99</v>
      </c>
      <c r="Z497" s="219"/>
      <c r="AA497" s="219"/>
    </row>
    <row r="498" spans="1:27" x14ac:dyDescent="0.3">
      <c r="A498" s="88">
        <v>496</v>
      </c>
      <c r="B498" s="173">
        <v>302</v>
      </c>
      <c r="C498" s="159"/>
      <c r="D498" s="88" t="s">
        <v>500</v>
      </c>
      <c r="E498" s="88" t="s">
        <v>740</v>
      </c>
      <c r="F498" s="88" t="s">
        <v>741</v>
      </c>
      <c r="G498" s="88" t="s">
        <v>742</v>
      </c>
      <c r="H498" s="88">
        <v>300498479600003</v>
      </c>
      <c r="I498" s="88"/>
      <c r="J498" s="49">
        <v>7</v>
      </c>
      <c r="K498" s="49">
        <v>1</v>
      </c>
      <c r="L498" s="169">
        <f t="shared" si="28"/>
        <v>7</v>
      </c>
      <c r="M498" s="169">
        <f t="shared" si="29"/>
        <v>1</v>
      </c>
      <c r="N498" s="169">
        <f t="shared" si="30"/>
        <v>1.05</v>
      </c>
      <c r="O498" s="169">
        <f t="shared" si="31"/>
        <v>8.0500000000000007</v>
      </c>
      <c r="Z498" s="219"/>
      <c r="AA498" s="219"/>
    </row>
    <row r="499" spans="1:27" x14ac:dyDescent="0.3">
      <c r="A499" s="88">
        <v>497</v>
      </c>
      <c r="B499" s="173">
        <v>303</v>
      </c>
      <c r="C499" s="159"/>
      <c r="D499" s="88" t="s">
        <v>500</v>
      </c>
      <c r="E499" s="88" t="s">
        <v>740</v>
      </c>
      <c r="F499" s="88" t="s">
        <v>741</v>
      </c>
      <c r="G499" s="88" t="s">
        <v>742</v>
      </c>
      <c r="H499" s="88">
        <v>300498479600003</v>
      </c>
      <c r="I499" s="88"/>
      <c r="J499" s="49">
        <v>7</v>
      </c>
      <c r="K499" s="49">
        <v>1</v>
      </c>
      <c r="L499" s="169">
        <f t="shared" si="28"/>
        <v>7</v>
      </c>
      <c r="M499" s="169">
        <f t="shared" si="29"/>
        <v>1</v>
      </c>
      <c r="N499" s="169">
        <f t="shared" si="30"/>
        <v>1.05</v>
      </c>
      <c r="O499" s="169">
        <f t="shared" si="31"/>
        <v>8.0500000000000007</v>
      </c>
      <c r="Z499" s="219"/>
      <c r="AA499" s="219"/>
    </row>
    <row r="500" spans="1:27" x14ac:dyDescent="0.3">
      <c r="A500" s="88">
        <v>498</v>
      </c>
      <c r="B500" s="173">
        <v>304</v>
      </c>
      <c r="C500" s="159"/>
      <c r="D500" s="88" t="s">
        <v>500</v>
      </c>
      <c r="E500" s="88" t="s">
        <v>740</v>
      </c>
      <c r="F500" s="88" t="s">
        <v>1244</v>
      </c>
      <c r="G500" s="88" t="s">
        <v>742</v>
      </c>
      <c r="H500" s="88">
        <v>300498479600003</v>
      </c>
      <c r="I500" s="88"/>
      <c r="J500" s="49">
        <v>1</v>
      </c>
      <c r="K500" s="49">
        <v>7.6</v>
      </c>
      <c r="L500" s="169">
        <f t="shared" si="28"/>
        <v>7.6</v>
      </c>
      <c r="M500" s="169">
        <f t="shared" si="29"/>
        <v>1</v>
      </c>
      <c r="N500" s="169">
        <f t="shared" si="30"/>
        <v>1.1399999999999999</v>
      </c>
      <c r="O500" s="169">
        <f t="shared" si="31"/>
        <v>8.74</v>
      </c>
      <c r="Z500" s="219"/>
      <c r="AA500" s="219"/>
    </row>
    <row r="501" spans="1:27" x14ac:dyDescent="0.3">
      <c r="A501" s="88">
        <v>499</v>
      </c>
      <c r="B501" s="173">
        <v>305</v>
      </c>
      <c r="C501" s="159"/>
      <c r="D501" s="88" t="s">
        <v>500</v>
      </c>
      <c r="E501" s="88" t="s">
        <v>740</v>
      </c>
      <c r="F501" s="88" t="s">
        <v>1244</v>
      </c>
      <c r="G501" s="88" t="s">
        <v>742</v>
      </c>
      <c r="H501" s="88">
        <v>300498479600003</v>
      </c>
      <c r="I501" s="88"/>
      <c r="J501" s="49">
        <v>1</v>
      </c>
      <c r="K501" s="49">
        <v>6.3</v>
      </c>
      <c r="L501" s="169">
        <f t="shared" si="28"/>
        <v>6.3</v>
      </c>
      <c r="M501" s="169">
        <f t="shared" si="29"/>
        <v>1</v>
      </c>
      <c r="N501" s="169">
        <f t="shared" si="30"/>
        <v>0.94499999999999995</v>
      </c>
      <c r="O501" s="169">
        <f t="shared" si="31"/>
        <v>7.2450000000000001</v>
      </c>
      <c r="Z501" s="219"/>
      <c r="AA501" s="219"/>
    </row>
    <row r="502" spans="1:27" x14ac:dyDescent="0.3">
      <c r="A502" s="88">
        <v>500</v>
      </c>
      <c r="B502" s="173">
        <v>306</v>
      </c>
      <c r="C502" s="159"/>
      <c r="D502" s="88" t="s">
        <v>500</v>
      </c>
      <c r="E502" s="88" t="s">
        <v>714</v>
      </c>
      <c r="F502" s="88" t="s">
        <v>1245</v>
      </c>
      <c r="G502" s="88" t="s">
        <v>1246</v>
      </c>
      <c r="H502" s="88">
        <v>310228610300003</v>
      </c>
      <c r="I502" s="88"/>
      <c r="J502" s="49">
        <v>1</v>
      </c>
      <c r="K502" s="49">
        <v>20</v>
      </c>
      <c r="L502" s="169">
        <f t="shared" si="28"/>
        <v>20</v>
      </c>
      <c r="M502" s="169">
        <f t="shared" si="29"/>
        <v>1</v>
      </c>
      <c r="N502" s="169">
        <f t="shared" si="30"/>
        <v>3</v>
      </c>
      <c r="O502" s="169">
        <f t="shared" si="31"/>
        <v>23</v>
      </c>
      <c r="Z502" s="219"/>
      <c r="AA502" s="219"/>
    </row>
    <row r="503" spans="1:27" x14ac:dyDescent="0.3">
      <c r="A503" s="88">
        <v>501</v>
      </c>
      <c r="B503" s="173">
        <v>307</v>
      </c>
      <c r="C503" s="159"/>
      <c r="D503" s="88" t="s">
        <v>500</v>
      </c>
      <c r="E503" s="88" t="s">
        <v>708</v>
      </c>
      <c r="F503" s="88" t="s">
        <v>1247</v>
      </c>
      <c r="G503" s="88" t="s">
        <v>1248</v>
      </c>
      <c r="H503" s="88"/>
      <c r="I503" s="88"/>
      <c r="J503" s="49">
        <v>1</v>
      </c>
      <c r="K503" s="49">
        <v>2</v>
      </c>
      <c r="L503" s="169">
        <f t="shared" si="28"/>
        <v>2</v>
      </c>
      <c r="M503" s="169">
        <f t="shared" si="29"/>
        <v>0</v>
      </c>
      <c r="N503" s="169">
        <f t="shared" si="30"/>
        <v>0</v>
      </c>
      <c r="O503" s="169">
        <f t="shared" si="31"/>
        <v>2</v>
      </c>
      <c r="Z503" s="219"/>
      <c r="AA503" s="219"/>
    </row>
    <row r="504" spans="1:27" x14ac:dyDescent="0.3">
      <c r="A504" s="88">
        <v>502</v>
      </c>
      <c r="B504" s="173">
        <v>308</v>
      </c>
      <c r="C504" s="159"/>
      <c r="D504" s="88" t="s">
        <v>500</v>
      </c>
      <c r="E504" s="88" t="s">
        <v>722</v>
      </c>
      <c r="F504" s="88" t="s">
        <v>1249</v>
      </c>
      <c r="G504" s="88" t="s">
        <v>801</v>
      </c>
      <c r="H504" s="88">
        <v>300272021500003</v>
      </c>
      <c r="I504" s="88"/>
      <c r="J504" s="49">
        <v>2</v>
      </c>
      <c r="K504" s="49">
        <v>5.6520000000000001</v>
      </c>
      <c r="L504" s="169">
        <f t="shared" si="28"/>
        <v>11.304</v>
      </c>
      <c r="M504" s="169">
        <f t="shared" si="29"/>
        <v>1</v>
      </c>
      <c r="N504" s="169">
        <f t="shared" si="30"/>
        <v>1.6956</v>
      </c>
      <c r="O504" s="169">
        <f t="shared" si="31"/>
        <v>12.999600000000001</v>
      </c>
      <c r="Z504" s="219"/>
      <c r="AA504" s="219"/>
    </row>
    <row r="505" spans="1:27" x14ac:dyDescent="0.3">
      <c r="A505" s="88">
        <v>503</v>
      </c>
      <c r="B505" s="173">
        <v>309</v>
      </c>
      <c r="C505" s="159"/>
      <c r="D505" s="88" t="s">
        <v>500</v>
      </c>
      <c r="E505" s="88" t="s">
        <v>760</v>
      </c>
      <c r="F505" s="88" t="s">
        <v>1250</v>
      </c>
      <c r="G505" s="88" t="s">
        <v>1251</v>
      </c>
      <c r="H505" s="88">
        <v>310384620100003</v>
      </c>
      <c r="I505" s="88"/>
      <c r="J505" s="49">
        <v>1</v>
      </c>
      <c r="K505" s="49">
        <v>0.86950000000000005</v>
      </c>
      <c r="L505" s="169">
        <f t="shared" si="28"/>
        <v>0.86950000000000005</v>
      </c>
      <c r="M505" s="169">
        <f t="shared" si="29"/>
        <v>1</v>
      </c>
      <c r="N505" s="169">
        <f t="shared" si="30"/>
        <v>0.13042500000000001</v>
      </c>
      <c r="O505" s="169">
        <f t="shared" si="31"/>
        <v>0.99992500000000006</v>
      </c>
      <c r="Z505" s="219"/>
      <c r="AA505" s="219"/>
    </row>
    <row r="506" spans="1:27" x14ac:dyDescent="0.3">
      <c r="A506" s="88">
        <v>504</v>
      </c>
      <c r="B506" s="173">
        <v>309</v>
      </c>
      <c r="C506" s="159"/>
      <c r="D506" s="88" t="s">
        <v>500</v>
      </c>
      <c r="E506" s="88" t="s">
        <v>760</v>
      </c>
      <c r="F506" s="88" t="s">
        <v>1252</v>
      </c>
      <c r="G506" s="88" t="s">
        <v>1251</v>
      </c>
      <c r="H506" s="88">
        <v>310384620100003</v>
      </c>
      <c r="I506" s="88"/>
      <c r="J506" s="49">
        <v>2</v>
      </c>
      <c r="K506" s="49">
        <v>6.0869999999999997</v>
      </c>
      <c r="L506" s="169">
        <f t="shared" si="28"/>
        <v>12.173999999999999</v>
      </c>
      <c r="M506" s="169">
        <f t="shared" si="29"/>
        <v>1</v>
      </c>
      <c r="N506" s="169">
        <f t="shared" si="30"/>
        <v>1.8260999999999998</v>
      </c>
      <c r="O506" s="169">
        <f t="shared" si="31"/>
        <v>14.0001</v>
      </c>
      <c r="Z506" s="219"/>
      <c r="AA506" s="219"/>
    </row>
    <row r="507" spans="1:27" x14ac:dyDescent="0.3">
      <c r="A507" s="88">
        <v>505</v>
      </c>
      <c r="B507" s="173">
        <v>310</v>
      </c>
      <c r="C507" s="159"/>
      <c r="D507" s="88" t="s">
        <v>500</v>
      </c>
      <c r="E507" s="88" t="s">
        <v>760</v>
      </c>
      <c r="F507" s="88" t="s">
        <v>1253</v>
      </c>
      <c r="G507" s="88" t="s">
        <v>1251</v>
      </c>
      <c r="H507" s="88">
        <v>310384620100003</v>
      </c>
      <c r="I507" s="88"/>
      <c r="J507" s="49">
        <v>2</v>
      </c>
      <c r="K507" s="49">
        <v>1.74</v>
      </c>
      <c r="L507" s="169">
        <f t="shared" si="28"/>
        <v>3.48</v>
      </c>
      <c r="M507" s="169">
        <f t="shared" si="29"/>
        <v>1</v>
      </c>
      <c r="N507" s="169">
        <f t="shared" si="30"/>
        <v>0.52200000000000002</v>
      </c>
      <c r="O507" s="169">
        <f t="shared" si="31"/>
        <v>4.0019999999999998</v>
      </c>
      <c r="Z507" s="219"/>
      <c r="AA507" s="219"/>
    </row>
    <row r="508" spans="1:27" x14ac:dyDescent="0.3">
      <c r="A508" s="88">
        <v>506</v>
      </c>
      <c r="B508" s="173">
        <v>311</v>
      </c>
      <c r="C508" s="159"/>
      <c r="D508" s="88" t="s">
        <v>500</v>
      </c>
      <c r="E508" s="88" t="s">
        <v>760</v>
      </c>
      <c r="F508" s="88" t="s">
        <v>1253</v>
      </c>
      <c r="G508" s="88" t="s">
        <v>1251</v>
      </c>
      <c r="H508" s="88">
        <v>310384620100003</v>
      </c>
      <c r="I508" s="88"/>
      <c r="J508" s="49">
        <v>3</v>
      </c>
      <c r="K508" s="49">
        <v>1.74</v>
      </c>
      <c r="L508" s="169">
        <f t="shared" si="28"/>
        <v>5.22</v>
      </c>
      <c r="M508" s="169">
        <f t="shared" si="29"/>
        <v>1</v>
      </c>
      <c r="N508" s="169">
        <f t="shared" si="30"/>
        <v>0.78299999999999992</v>
      </c>
      <c r="O508" s="169">
        <f t="shared" si="31"/>
        <v>6.0030000000000001</v>
      </c>
      <c r="Z508" s="219"/>
      <c r="AA508" s="219"/>
    </row>
    <row r="509" spans="1:27" x14ac:dyDescent="0.3">
      <c r="A509" s="88">
        <v>507</v>
      </c>
      <c r="B509" s="173">
        <v>312</v>
      </c>
      <c r="C509" s="159"/>
      <c r="D509" s="88" t="s">
        <v>500</v>
      </c>
      <c r="E509" s="88" t="s">
        <v>763</v>
      </c>
      <c r="F509" s="88" t="s">
        <v>1254</v>
      </c>
      <c r="G509" s="88" t="s">
        <v>906</v>
      </c>
      <c r="H509" s="88">
        <v>300844969700003</v>
      </c>
      <c r="I509" s="88"/>
      <c r="J509" s="49">
        <v>1</v>
      </c>
      <c r="K509" s="49">
        <v>6.0869999999999997</v>
      </c>
      <c r="L509" s="169">
        <f t="shared" si="28"/>
        <v>6.0869999999999997</v>
      </c>
      <c r="M509" s="169">
        <f t="shared" si="29"/>
        <v>1</v>
      </c>
      <c r="N509" s="169">
        <f t="shared" si="30"/>
        <v>0.91304999999999992</v>
      </c>
      <c r="O509" s="169">
        <f t="shared" si="31"/>
        <v>7.0000499999999999</v>
      </c>
      <c r="Z509" s="219"/>
      <c r="AA509" s="219"/>
    </row>
    <row r="510" spans="1:27" x14ac:dyDescent="0.3">
      <c r="A510" s="88">
        <v>508</v>
      </c>
      <c r="B510" s="173">
        <v>313</v>
      </c>
      <c r="C510" s="159"/>
      <c r="D510" s="88" t="s">
        <v>500</v>
      </c>
      <c r="E510" s="88" t="s">
        <v>763</v>
      </c>
      <c r="F510" s="88" t="s">
        <v>1254</v>
      </c>
      <c r="G510" s="88" t="s">
        <v>906</v>
      </c>
      <c r="H510" s="88">
        <v>300844969700003</v>
      </c>
      <c r="I510" s="88"/>
      <c r="J510" s="49">
        <v>1</v>
      </c>
      <c r="K510" s="49">
        <v>6.09</v>
      </c>
      <c r="L510" s="169">
        <f t="shared" si="28"/>
        <v>6.09</v>
      </c>
      <c r="M510" s="169">
        <f t="shared" si="29"/>
        <v>1</v>
      </c>
      <c r="N510" s="169">
        <f t="shared" si="30"/>
        <v>0.91349999999999998</v>
      </c>
      <c r="O510" s="169">
        <f t="shared" si="31"/>
        <v>7.0034999999999998</v>
      </c>
      <c r="Z510" s="219"/>
      <c r="AA510" s="219"/>
    </row>
    <row r="511" spans="1:27" x14ac:dyDescent="0.3">
      <c r="A511" s="88">
        <v>509</v>
      </c>
      <c r="B511" s="173">
        <v>314</v>
      </c>
      <c r="C511" s="159"/>
      <c r="D511" s="88" t="s">
        <v>500</v>
      </c>
      <c r="E511" s="88" t="s">
        <v>763</v>
      </c>
      <c r="F511" s="88" t="s">
        <v>1254</v>
      </c>
      <c r="G511" s="88" t="s">
        <v>906</v>
      </c>
      <c r="H511" s="88">
        <v>300844969700003</v>
      </c>
      <c r="I511" s="88"/>
      <c r="J511" s="49">
        <v>1</v>
      </c>
      <c r="K511" s="49">
        <v>6.09</v>
      </c>
      <c r="L511" s="169">
        <f t="shared" si="28"/>
        <v>6.09</v>
      </c>
      <c r="M511" s="169">
        <f t="shared" si="29"/>
        <v>1</v>
      </c>
      <c r="N511" s="169">
        <f t="shared" si="30"/>
        <v>0.91349999999999998</v>
      </c>
      <c r="O511" s="169">
        <f t="shared" si="31"/>
        <v>7.0034999999999998</v>
      </c>
      <c r="Z511" s="219"/>
      <c r="AA511" s="219"/>
    </row>
    <row r="512" spans="1:27" x14ac:dyDescent="0.3">
      <c r="A512" s="88">
        <v>510</v>
      </c>
      <c r="B512" s="173">
        <v>315</v>
      </c>
      <c r="C512" s="159"/>
      <c r="D512" s="88" t="s">
        <v>500</v>
      </c>
      <c r="E512" s="88" t="s">
        <v>736</v>
      </c>
      <c r="F512" s="88" t="s">
        <v>608</v>
      </c>
      <c r="G512" s="88" t="s">
        <v>1255</v>
      </c>
      <c r="H512" s="88"/>
      <c r="I512" s="88"/>
      <c r="J512" s="49">
        <v>1</v>
      </c>
      <c r="K512" s="49">
        <v>20</v>
      </c>
      <c r="L512" s="169">
        <f t="shared" si="28"/>
        <v>20</v>
      </c>
      <c r="M512" s="169">
        <f t="shared" si="29"/>
        <v>0</v>
      </c>
      <c r="N512" s="169">
        <f t="shared" si="30"/>
        <v>0</v>
      </c>
      <c r="O512" s="169">
        <f t="shared" si="31"/>
        <v>20</v>
      </c>
      <c r="Z512" s="219"/>
      <c r="AA512" s="219"/>
    </row>
    <row r="513" spans="1:27" x14ac:dyDescent="0.3">
      <c r="A513" s="88">
        <v>511</v>
      </c>
      <c r="B513" s="173">
        <v>316</v>
      </c>
      <c r="C513" s="159"/>
      <c r="D513" s="88" t="s">
        <v>500</v>
      </c>
      <c r="E513" s="88" t="s">
        <v>709</v>
      </c>
      <c r="F513" s="88" t="s">
        <v>1256</v>
      </c>
      <c r="G513" s="88" t="s">
        <v>1161</v>
      </c>
      <c r="H513" s="88">
        <v>310809452600003</v>
      </c>
      <c r="I513" s="88" t="s">
        <v>1172</v>
      </c>
      <c r="J513" s="49">
        <v>1</v>
      </c>
      <c r="K513" s="49">
        <v>170</v>
      </c>
      <c r="L513" s="169">
        <f t="shared" si="28"/>
        <v>170</v>
      </c>
      <c r="M513" s="169">
        <f t="shared" si="29"/>
        <v>1</v>
      </c>
      <c r="N513" s="169">
        <f t="shared" si="30"/>
        <v>25.5</v>
      </c>
      <c r="O513" s="169">
        <f t="shared" si="31"/>
        <v>195.5</v>
      </c>
      <c r="Z513" s="219"/>
      <c r="AA513" s="219"/>
    </row>
    <row r="514" spans="1:27" x14ac:dyDescent="0.3">
      <c r="A514" s="88">
        <v>512</v>
      </c>
      <c r="B514" s="173">
        <v>316</v>
      </c>
      <c r="C514" s="159"/>
      <c r="D514" s="88" t="s">
        <v>500</v>
      </c>
      <c r="E514" s="88" t="s">
        <v>714</v>
      </c>
      <c r="F514" s="88" t="s">
        <v>1257</v>
      </c>
      <c r="G514" s="88" t="s">
        <v>1161</v>
      </c>
      <c r="H514" s="88">
        <v>310809452600003</v>
      </c>
      <c r="I514" s="88" t="s">
        <v>862</v>
      </c>
      <c r="J514" s="49">
        <v>1</v>
      </c>
      <c r="K514" s="49">
        <v>116</v>
      </c>
      <c r="L514" s="169">
        <f t="shared" si="28"/>
        <v>116</v>
      </c>
      <c r="M514" s="169">
        <f t="shared" si="29"/>
        <v>1</v>
      </c>
      <c r="N514" s="169">
        <f t="shared" si="30"/>
        <v>17.399999999999999</v>
      </c>
      <c r="O514" s="169">
        <f t="shared" si="31"/>
        <v>133.4</v>
      </c>
      <c r="Z514" s="219"/>
      <c r="AA514" s="219"/>
    </row>
    <row r="515" spans="1:27" x14ac:dyDescent="0.3">
      <c r="A515" s="88">
        <v>513</v>
      </c>
      <c r="B515" s="173">
        <v>317</v>
      </c>
      <c r="C515" s="159"/>
      <c r="D515" s="88" t="s">
        <v>500</v>
      </c>
      <c r="E515" s="88" t="s">
        <v>757</v>
      </c>
      <c r="F515" s="88" t="s">
        <v>934</v>
      </c>
      <c r="G515" s="88" t="s">
        <v>759</v>
      </c>
      <c r="H515" s="88"/>
      <c r="I515" s="88"/>
      <c r="J515" s="49">
        <v>1</v>
      </c>
      <c r="K515" s="49">
        <v>25</v>
      </c>
      <c r="L515" s="169">
        <f t="shared" si="28"/>
        <v>25</v>
      </c>
      <c r="M515" s="169">
        <f t="shared" si="29"/>
        <v>0</v>
      </c>
      <c r="N515" s="169">
        <f t="shared" si="30"/>
        <v>0</v>
      </c>
      <c r="O515" s="169">
        <f t="shared" si="31"/>
        <v>25</v>
      </c>
      <c r="Z515" s="219"/>
      <c r="AA515" s="219"/>
    </row>
    <row r="516" spans="1:27" x14ac:dyDescent="0.3">
      <c r="A516" s="88">
        <v>514</v>
      </c>
      <c r="B516" s="173">
        <v>318</v>
      </c>
      <c r="C516" s="159"/>
      <c r="D516" s="88" t="s">
        <v>500</v>
      </c>
      <c r="E516" s="88" t="s">
        <v>771</v>
      </c>
      <c r="F516" s="88" t="s">
        <v>1258</v>
      </c>
      <c r="G516" s="88" t="s">
        <v>1259</v>
      </c>
      <c r="H516" s="88"/>
      <c r="I516" s="88"/>
      <c r="J516" s="49">
        <v>1</v>
      </c>
      <c r="K516" s="49">
        <v>100</v>
      </c>
      <c r="L516" s="169">
        <f t="shared" ref="L516:L580" si="32">K516*J516</f>
        <v>100</v>
      </c>
      <c r="M516" s="169">
        <f t="shared" ref="M516:M580" si="33">IF(H516="",0,1)</f>
        <v>0</v>
      </c>
      <c r="N516" s="169">
        <f t="shared" ref="N516:N580" si="34">M516*L516*15%</f>
        <v>0</v>
      </c>
      <c r="O516" s="169">
        <f t="shared" ref="O516:O580" si="35">N516+L516</f>
        <v>100</v>
      </c>
      <c r="Z516" s="219"/>
      <c r="AA516" s="219"/>
    </row>
    <row r="517" spans="1:27" x14ac:dyDescent="0.3">
      <c r="A517" s="88">
        <v>515</v>
      </c>
      <c r="B517" s="173">
        <v>319</v>
      </c>
      <c r="C517" s="159"/>
      <c r="D517" s="88" t="s">
        <v>500</v>
      </c>
      <c r="E517" s="88" t="s">
        <v>771</v>
      </c>
      <c r="F517" s="88" t="s">
        <v>1260</v>
      </c>
      <c r="G517" s="88" t="s">
        <v>1262</v>
      </c>
      <c r="H517" s="88">
        <v>311423860600003</v>
      </c>
      <c r="I517" s="88"/>
      <c r="J517" s="49">
        <v>1</v>
      </c>
      <c r="K517" s="49">
        <v>170</v>
      </c>
      <c r="L517" s="169">
        <f t="shared" si="32"/>
        <v>170</v>
      </c>
      <c r="M517" s="169">
        <f t="shared" si="33"/>
        <v>1</v>
      </c>
      <c r="N517" s="169">
        <f t="shared" si="34"/>
        <v>25.5</v>
      </c>
      <c r="O517" s="169">
        <f t="shared" si="35"/>
        <v>195.5</v>
      </c>
      <c r="Z517" s="219"/>
      <c r="AA517" s="219"/>
    </row>
    <row r="518" spans="1:27" x14ac:dyDescent="0.3">
      <c r="A518" s="88">
        <v>516</v>
      </c>
      <c r="B518" s="173">
        <v>319</v>
      </c>
      <c r="C518" s="159"/>
      <c r="D518" s="88" t="s">
        <v>500</v>
      </c>
      <c r="E518" s="88" t="s">
        <v>771</v>
      </c>
      <c r="F518" s="88" t="s">
        <v>1261</v>
      </c>
      <c r="G518" s="88" t="s">
        <v>1262</v>
      </c>
      <c r="H518" s="88">
        <v>311423860600003</v>
      </c>
      <c r="I518" s="88"/>
      <c r="J518" s="49">
        <v>1</v>
      </c>
      <c r="K518" s="49">
        <v>95.5</v>
      </c>
      <c r="L518" s="169">
        <f t="shared" si="32"/>
        <v>95.5</v>
      </c>
      <c r="M518" s="169">
        <f t="shared" si="33"/>
        <v>1</v>
      </c>
      <c r="N518" s="169">
        <f t="shared" si="34"/>
        <v>14.324999999999999</v>
      </c>
      <c r="O518" s="169">
        <f t="shared" si="35"/>
        <v>109.825</v>
      </c>
      <c r="Z518" s="219"/>
      <c r="AA518" s="219"/>
    </row>
    <row r="519" spans="1:27" x14ac:dyDescent="0.3">
      <c r="A519" s="88">
        <v>517</v>
      </c>
      <c r="B519" s="173">
        <v>320</v>
      </c>
      <c r="C519" s="159"/>
      <c r="D519" s="88" t="s">
        <v>500</v>
      </c>
      <c r="E519" s="88" t="s">
        <v>763</v>
      </c>
      <c r="F519" s="88" t="s">
        <v>1263</v>
      </c>
      <c r="G519" s="88" t="s">
        <v>1264</v>
      </c>
      <c r="H519" s="88">
        <v>310933804300003</v>
      </c>
      <c r="I519" s="88" t="s">
        <v>776</v>
      </c>
      <c r="J519" s="49">
        <v>10</v>
      </c>
      <c r="K519" s="49">
        <v>78.260999999999996</v>
      </c>
      <c r="L519" s="169">
        <f t="shared" si="32"/>
        <v>782.6099999999999</v>
      </c>
      <c r="M519" s="169">
        <f t="shared" si="33"/>
        <v>1</v>
      </c>
      <c r="N519" s="169">
        <f t="shared" si="34"/>
        <v>117.39149999999998</v>
      </c>
      <c r="O519" s="169">
        <f t="shared" si="35"/>
        <v>900.00149999999985</v>
      </c>
      <c r="Z519" s="219"/>
      <c r="AA519" s="219"/>
    </row>
    <row r="520" spans="1:27" x14ac:dyDescent="0.3">
      <c r="A520" s="88">
        <v>518</v>
      </c>
      <c r="B520" s="173">
        <v>321</v>
      </c>
      <c r="C520" s="159"/>
      <c r="D520" s="88" t="s">
        <v>500</v>
      </c>
      <c r="E520" s="88" t="s">
        <v>763</v>
      </c>
      <c r="F520" s="88" t="s">
        <v>1265</v>
      </c>
      <c r="G520" s="88" t="s">
        <v>733</v>
      </c>
      <c r="H520" s="88">
        <v>31117212500003</v>
      </c>
      <c r="I520" s="88"/>
      <c r="J520" s="49">
        <v>1</v>
      </c>
      <c r="K520" s="49">
        <v>5.22</v>
      </c>
      <c r="L520" s="169">
        <f t="shared" si="32"/>
        <v>5.22</v>
      </c>
      <c r="M520" s="169">
        <f t="shared" si="33"/>
        <v>1</v>
      </c>
      <c r="N520" s="169">
        <f t="shared" si="34"/>
        <v>0.78299999999999992</v>
      </c>
      <c r="O520" s="169">
        <f>N520+L520</f>
        <v>6.0030000000000001</v>
      </c>
      <c r="Z520" s="219"/>
      <c r="AA520" s="219"/>
    </row>
    <row r="521" spans="1:27" x14ac:dyDescent="0.3">
      <c r="A521" s="88">
        <v>519</v>
      </c>
      <c r="B521" s="173">
        <v>322</v>
      </c>
      <c r="C521" s="159"/>
      <c r="D521" s="88" t="s">
        <v>500</v>
      </c>
      <c r="E521" s="88" t="s">
        <v>710</v>
      </c>
      <c r="F521" s="88" t="s">
        <v>711</v>
      </c>
      <c r="G521" s="88" t="s">
        <v>1266</v>
      </c>
      <c r="H521" s="88">
        <v>310493069800003</v>
      </c>
      <c r="I521" s="88"/>
      <c r="J521" s="49">
        <v>45.872999999999998</v>
      </c>
      <c r="K521" s="49">
        <v>1.8956</v>
      </c>
      <c r="L521" s="169">
        <f t="shared" si="32"/>
        <v>86.956858799999992</v>
      </c>
      <c r="M521" s="169">
        <f t="shared" si="33"/>
        <v>1</v>
      </c>
      <c r="N521" s="169">
        <f t="shared" si="34"/>
        <v>13.043528819999999</v>
      </c>
      <c r="O521" s="169">
        <f>N521+L521</f>
        <v>100.00038762</v>
      </c>
      <c r="Z521" s="219"/>
      <c r="AA521" s="219"/>
    </row>
    <row r="522" spans="1:27" x14ac:dyDescent="0.3">
      <c r="A522" s="88">
        <v>520</v>
      </c>
      <c r="B522" s="173">
        <v>323</v>
      </c>
      <c r="C522" s="159"/>
      <c r="D522" s="88" t="s">
        <v>510</v>
      </c>
      <c r="E522" s="88" t="s">
        <v>771</v>
      </c>
      <c r="F522" s="88" t="s">
        <v>1267</v>
      </c>
      <c r="G522" s="88" t="s">
        <v>1268</v>
      </c>
      <c r="H522" s="88">
        <v>310879890500003</v>
      </c>
      <c r="I522" s="88"/>
      <c r="J522" s="49">
        <v>1</v>
      </c>
      <c r="K522" s="49">
        <v>74</v>
      </c>
      <c r="L522" s="169">
        <f t="shared" si="32"/>
        <v>74</v>
      </c>
      <c r="M522" s="169">
        <v>1</v>
      </c>
      <c r="N522" s="169">
        <f t="shared" si="34"/>
        <v>11.1</v>
      </c>
      <c r="O522" s="169">
        <f>N522+L522</f>
        <v>85.1</v>
      </c>
      <c r="Z522" s="219"/>
      <c r="AA522" s="219"/>
    </row>
    <row r="523" spans="1:27" x14ac:dyDescent="0.3">
      <c r="A523" s="88">
        <v>521</v>
      </c>
      <c r="B523" s="173">
        <v>324</v>
      </c>
      <c r="C523" s="159"/>
      <c r="D523" s="88" t="s">
        <v>510</v>
      </c>
      <c r="E523" s="88" t="s">
        <v>714</v>
      </c>
      <c r="F523" s="88" t="s">
        <v>61</v>
      </c>
      <c r="G523" s="88" t="s">
        <v>1269</v>
      </c>
      <c r="H523" s="88">
        <v>300053476600003</v>
      </c>
      <c r="I523" s="88" t="s">
        <v>862</v>
      </c>
      <c r="J523" s="49">
        <v>1</v>
      </c>
      <c r="K523" s="49">
        <v>170</v>
      </c>
      <c r="L523" s="169">
        <f t="shared" si="32"/>
        <v>170</v>
      </c>
      <c r="M523" s="169">
        <v>1</v>
      </c>
      <c r="N523" s="169">
        <f t="shared" si="34"/>
        <v>25.5</v>
      </c>
      <c r="O523" s="169">
        <f>N523+L523</f>
        <v>195.5</v>
      </c>
      <c r="Z523" s="219"/>
      <c r="AA523" s="219"/>
    </row>
    <row r="524" spans="1:27" x14ac:dyDescent="0.3">
      <c r="A524" s="88">
        <v>522</v>
      </c>
      <c r="B524" s="173">
        <v>325</v>
      </c>
      <c r="C524" s="159"/>
      <c r="D524" s="88" t="s">
        <v>500</v>
      </c>
      <c r="E524" s="88" t="s">
        <v>740</v>
      </c>
      <c r="F524" s="88" t="s">
        <v>1270</v>
      </c>
      <c r="G524" s="88" t="s">
        <v>1275</v>
      </c>
      <c r="H524" s="88">
        <v>300498479600003</v>
      </c>
      <c r="I524" s="88" t="s">
        <v>776</v>
      </c>
      <c r="J524" s="49">
        <v>2</v>
      </c>
      <c r="K524" s="49">
        <v>1.3</v>
      </c>
      <c r="L524" s="169">
        <f t="shared" si="32"/>
        <v>2.6</v>
      </c>
      <c r="M524" s="169">
        <f t="shared" si="33"/>
        <v>1</v>
      </c>
      <c r="N524" s="169">
        <f t="shared" si="34"/>
        <v>0.39</v>
      </c>
      <c r="O524" s="169">
        <f t="shared" si="35"/>
        <v>2.99</v>
      </c>
      <c r="Z524" s="219"/>
      <c r="AA524" s="219"/>
    </row>
    <row r="525" spans="1:27" x14ac:dyDescent="0.3">
      <c r="A525" s="88">
        <v>523</v>
      </c>
      <c r="B525" s="173">
        <v>326</v>
      </c>
      <c r="C525" s="159"/>
      <c r="D525" s="88" t="s">
        <v>500</v>
      </c>
      <c r="E525" s="88" t="s">
        <v>740</v>
      </c>
      <c r="F525" s="88" t="s">
        <v>1270</v>
      </c>
      <c r="G525" s="88" t="s">
        <v>1275</v>
      </c>
      <c r="H525" s="88">
        <v>300498479600003</v>
      </c>
      <c r="I525" s="88" t="s">
        <v>776</v>
      </c>
      <c r="J525" s="49">
        <v>9</v>
      </c>
      <c r="K525" s="49">
        <v>1</v>
      </c>
      <c r="L525" s="169">
        <f t="shared" si="32"/>
        <v>9</v>
      </c>
      <c r="M525" s="169">
        <f t="shared" si="33"/>
        <v>1</v>
      </c>
      <c r="N525" s="169">
        <f t="shared" si="34"/>
        <v>1.3499999999999999</v>
      </c>
      <c r="O525" s="169">
        <f t="shared" si="35"/>
        <v>10.35</v>
      </c>
      <c r="Z525" s="219"/>
      <c r="AA525" s="219"/>
    </row>
    <row r="526" spans="1:27" x14ac:dyDescent="0.3">
      <c r="A526" s="88">
        <v>524</v>
      </c>
      <c r="B526" s="173">
        <v>327</v>
      </c>
      <c r="C526" s="159"/>
      <c r="D526" s="88" t="s">
        <v>500</v>
      </c>
      <c r="E526" s="88" t="s">
        <v>740</v>
      </c>
      <c r="F526" s="88" t="s">
        <v>1270</v>
      </c>
      <c r="G526" s="88" t="s">
        <v>1271</v>
      </c>
      <c r="H526" s="88">
        <v>300498479600003</v>
      </c>
      <c r="I526" s="88" t="s">
        <v>776</v>
      </c>
      <c r="J526" s="49">
        <v>7</v>
      </c>
      <c r="K526" s="49">
        <v>1</v>
      </c>
      <c r="L526" s="169">
        <f t="shared" si="32"/>
        <v>7</v>
      </c>
      <c r="M526" s="169">
        <f t="shared" si="33"/>
        <v>1</v>
      </c>
      <c r="N526" s="169">
        <f t="shared" si="34"/>
        <v>1.05</v>
      </c>
      <c r="O526" s="169">
        <f t="shared" si="35"/>
        <v>8.0500000000000007</v>
      </c>
      <c r="Z526" s="219"/>
      <c r="AA526" s="219"/>
    </row>
    <row r="527" spans="1:27" x14ac:dyDescent="0.3">
      <c r="A527" s="88">
        <v>525</v>
      </c>
      <c r="B527" s="173">
        <v>328</v>
      </c>
      <c r="C527" s="159"/>
      <c r="D527" s="88" t="s">
        <v>500</v>
      </c>
      <c r="E527" s="88" t="s">
        <v>740</v>
      </c>
      <c r="F527" s="88" t="s">
        <v>1270</v>
      </c>
      <c r="G527" s="88" t="s">
        <v>1272</v>
      </c>
      <c r="H527" s="88">
        <v>300246619800003</v>
      </c>
      <c r="I527" s="88" t="s">
        <v>776</v>
      </c>
      <c r="J527" s="49">
        <v>1</v>
      </c>
      <c r="K527" s="49">
        <v>6.9565000000000001</v>
      </c>
      <c r="L527" s="169">
        <f t="shared" si="32"/>
        <v>6.9565000000000001</v>
      </c>
      <c r="M527" s="169">
        <f t="shared" si="33"/>
        <v>1</v>
      </c>
      <c r="N527" s="169">
        <f t="shared" si="34"/>
        <v>1.0434749999999999</v>
      </c>
      <c r="O527" s="169">
        <f t="shared" si="35"/>
        <v>7.9999750000000001</v>
      </c>
      <c r="Z527" s="219"/>
      <c r="AA527" s="219"/>
    </row>
    <row r="528" spans="1:27" x14ac:dyDescent="0.3">
      <c r="A528" s="88">
        <v>526</v>
      </c>
      <c r="B528" s="173">
        <v>329</v>
      </c>
      <c r="C528" s="159"/>
      <c r="D528" s="88" t="s">
        <v>500</v>
      </c>
      <c r="E528" s="88" t="s">
        <v>740</v>
      </c>
      <c r="F528" s="88" t="s">
        <v>1270</v>
      </c>
      <c r="G528" s="88" t="s">
        <v>1272</v>
      </c>
      <c r="H528" s="88">
        <v>300246619800003</v>
      </c>
      <c r="I528" s="88" t="s">
        <v>776</v>
      </c>
      <c r="J528" s="49">
        <v>1</v>
      </c>
      <c r="K528" s="49">
        <v>6.0869999999999997</v>
      </c>
      <c r="L528" s="169">
        <f t="shared" si="32"/>
        <v>6.0869999999999997</v>
      </c>
      <c r="M528" s="169">
        <f t="shared" si="33"/>
        <v>1</v>
      </c>
      <c r="N528" s="169">
        <f t="shared" si="34"/>
        <v>0.91304999999999992</v>
      </c>
      <c r="O528" s="169">
        <f t="shared" si="35"/>
        <v>7.0000499999999999</v>
      </c>
      <c r="Z528" s="219"/>
      <c r="AA528" s="219"/>
    </row>
    <row r="529" spans="1:27" x14ac:dyDescent="0.3">
      <c r="A529" s="88">
        <v>527</v>
      </c>
      <c r="B529" s="173">
        <v>329</v>
      </c>
      <c r="C529" s="159"/>
      <c r="D529" s="88" t="s">
        <v>500</v>
      </c>
      <c r="E529" s="88" t="s">
        <v>740</v>
      </c>
      <c r="F529" s="88" t="s">
        <v>1270</v>
      </c>
      <c r="G529" s="88" t="s">
        <v>1272</v>
      </c>
      <c r="H529" s="88">
        <v>300246619800003</v>
      </c>
      <c r="I529" s="88" t="s">
        <v>776</v>
      </c>
      <c r="J529" s="49">
        <v>1</v>
      </c>
      <c r="K529" s="49">
        <v>2.6086999999999998</v>
      </c>
      <c r="L529" s="169">
        <f t="shared" si="32"/>
        <v>2.6086999999999998</v>
      </c>
      <c r="M529" s="169">
        <f t="shared" si="33"/>
        <v>1</v>
      </c>
      <c r="N529" s="169">
        <f t="shared" si="34"/>
        <v>0.39130499999999996</v>
      </c>
      <c r="O529" s="169">
        <f t="shared" si="35"/>
        <v>3.0000049999999998</v>
      </c>
      <c r="Z529" s="219"/>
      <c r="AA529" s="219"/>
    </row>
    <row r="530" spans="1:27" x14ac:dyDescent="0.3">
      <c r="A530" s="88">
        <v>528</v>
      </c>
      <c r="B530" s="173">
        <v>330</v>
      </c>
      <c r="C530" s="159"/>
      <c r="D530" s="88" t="s">
        <v>500</v>
      </c>
      <c r="E530" s="88" t="s">
        <v>715</v>
      </c>
      <c r="F530" s="88" t="s">
        <v>1273</v>
      </c>
      <c r="G530" s="88" t="s">
        <v>1274</v>
      </c>
      <c r="H530" s="88">
        <v>300272021500003</v>
      </c>
      <c r="I530" s="88" t="s">
        <v>776</v>
      </c>
      <c r="J530" s="49">
        <v>1</v>
      </c>
      <c r="K530" s="49">
        <v>5.2169999999999996</v>
      </c>
      <c r="L530" s="169">
        <f t="shared" si="32"/>
        <v>5.2169999999999996</v>
      </c>
      <c r="M530" s="169">
        <f t="shared" si="33"/>
        <v>1</v>
      </c>
      <c r="N530" s="169">
        <f t="shared" si="34"/>
        <v>0.78254999999999997</v>
      </c>
      <c r="O530" s="169">
        <f t="shared" si="35"/>
        <v>5.9995499999999993</v>
      </c>
      <c r="Z530" s="219"/>
      <c r="AA530" s="219"/>
    </row>
    <row r="531" spans="1:27" x14ac:dyDescent="0.3">
      <c r="A531" s="88">
        <v>529</v>
      </c>
      <c r="B531" s="173">
        <v>331</v>
      </c>
      <c r="C531" s="159"/>
      <c r="D531" s="88" t="s">
        <v>500</v>
      </c>
      <c r="E531" s="88" t="s">
        <v>740</v>
      </c>
      <c r="F531" s="88" t="s">
        <v>1270</v>
      </c>
      <c r="G531" s="88" t="s">
        <v>1275</v>
      </c>
      <c r="H531" s="88">
        <v>300498479600003</v>
      </c>
      <c r="I531" s="88" t="s">
        <v>776</v>
      </c>
      <c r="J531" s="49">
        <v>7</v>
      </c>
      <c r="K531" s="49">
        <v>1</v>
      </c>
      <c r="L531" s="169">
        <f t="shared" si="32"/>
        <v>7</v>
      </c>
      <c r="M531" s="169">
        <f t="shared" si="33"/>
        <v>1</v>
      </c>
      <c r="N531" s="169">
        <f t="shared" si="34"/>
        <v>1.05</v>
      </c>
      <c r="O531" s="169">
        <f t="shared" si="35"/>
        <v>8.0500000000000007</v>
      </c>
      <c r="Z531" s="219"/>
      <c r="AA531" s="219"/>
    </row>
    <row r="532" spans="1:27" x14ac:dyDescent="0.3">
      <c r="A532" s="88">
        <v>530</v>
      </c>
      <c r="B532" s="173">
        <v>332</v>
      </c>
      <c r="C532" s="159"/>
      <c r="D532" s="88" t="s">
        <v>500</v>
      </c>
      <c r="E532" s="88" t="s">
        <v>740</v>
      </c>
      <c r="F532" s="88" t="s">
        <v>1270</v>
      </c>
      <c r="G532" s="88" t="s">
        <v>1275</v>
      </c>
      <c r="H532" s="88">
        <v>300498479600003</v>
      </c>
      <c r="I532" s="88" t="s">
        <v>776</v>
      </c>
      <c r="J532" s="49">
        <v>7</v>
      </c>
      <c r="K532" s="49">
        <v>1</v>
      </c>
      <c r="L532" s="169">
        <f t="shared" si="32"/>
        <v>7</v>
      </c>
      <c r="M532" s="169">
        <f>IF(H532="",0,1)</f>
        <v>1</v>
      </c>
      <c r="N532" s="169">
        <f t="shared" si="34"/>
        <v>1.05</v>
      </c>
      <c r="O532" s="169">
        <f t="shared" si="35"/>
        <v>8.0500000000000007</v>
      </c>
      <c r="Z532" s="219"/>
      <c r="AA532" s="219"/>
    </row>
    <row r="533" spans="1:27" x14ac:dyDescent="0.3">
      <c r="A533" s="88">
        <v>531</v>
      </c>
      <c r="B533" s="173">
        <v>333</v>
      </c>
      <c r="C533" s="159"/>
      <c r="D533" s="88" t="s">
        <v>500</v>
      </c>
      <c r="E533" s="88" t="s">
        <v>740</v>
      </c>
      <c r="F533" s="88" t="s">
        <v>1270</v>
      </c>
      <c r="G533" s="88" t="s">
        <v>1275</v>
      </c>
      <c r="H533" s="88">
        <v>300498479600003</v>
      </c>
      <c r="I533" s="88" t="s">
        <v>776</v>
      </c>
      <c r="J533" s="49">
        <v>7</v>
      </c>
      <c r="K533" s="49">
        <v>1</v>
      </c>
      <c r="L533" s="169">
        <f t="shared" si="32"/>
        <v>7</v>
      </c>
      <c r="M533" s="169">
        <f>IF(H533="",0,1)</f>
        <v>1</v>
      </c>
      <c r="N533" s="169">
        <f t="shared" si="34"/>
        <v>1.05</v>
      </c>
      <c r="O533" s="169">
        <f t="shared" si="35"/>
        <v>8.0500000000000007</v>
      </c>
      <c r="Z533" s="219"/>
      <c r="AA533" s="219"/>
    </row>
    <row r="534" spans="1:27" x14ac:dyDescent="0.3">
      <c r="A534" s="88">
        <v>532</v>
      </c>
      <c r="B534" s="173">
        <v>334</v>
      </c>
      <c r="C534" s="159"/>
      <c r="D534" s="88" t="s">
        <v>500</v>
      </c>
      <c r="E534" s="88" t="s">
        <v>740</v>
      </c>
      <c r="F534" s="88" t="s">
        <v>1270</v>
      </c>
      <c r="G534" s="88" t="s">
        <v>1275</v>
      </c>
      <c r="H534" s="88">
        <v>300498479600003</v>
      </c>
      <c r="I534" s="88" t="s">
        <v>776</v>
      </c>
      <c r="J534" s="49">
        <v>7</v>
      </c>
      <c r="K534" s="49">
        <v>1</v>
      </c>
      <c r="L534" s="169">
        <f t="shared" si="32"/>
        <v>7</v>
      </c>
      <c r="M534" s="169">
        <f t="shared" si="33"/>
        <v>1</v>
      </c>
      <c r="N534" s="169">
        <f t="shared" si="34"/>
        <v>1.05</v>
      </c>
      <c r="O534" s="169">
        <f t="shared" si="35"/>
        <v>8.0500000000000007</v>
      </c>
      <c r="Z534" s="219"/>
      <c r="AA534" s="219"/>
    </row>
    <row r="535" spans="1:27" x14ac:dyDescent="0.3">
      <c r="A535" s="88">
        <v>533</v>
      </c>
      <c r="B535" s="173">
        <v>335</v>
      </c>
      <c r="C535" s="159"/>
      <c r="D535" s="88" t="s">
        <v>500</v>
      </c>
      <c r="E535" s="88" t="s">
        <v>740</v>
      </c>
      <c r="F535" s="88" t="s">
        <v>1270</v>
      </c>
      <c r="G535" s="88" t="s">
        <v>1275</v>
      </c>
      <c r="H535" s="88">
        <v>300498479600003</v>
      </c>
      <c r="I535" s="88" t="s">
        <v>776</v>
      </c>
      <c r="J535" s="49">
        <v>7</v>
      </c>
      <c r="K535" s="49">
        <v>1</v>
      </c>
      <c r="L535" s="169">
        <f t="shared" si="32"/>
        <v>7</v>
      </c>
      <c r="M535" s="169">
        <f t="shared" si="33"/>
        <v>1</v>
      </c>
      <c r="N535" s="169">
        <f t="shared" si="34"/>
        <v>1.05</v>
      </c>
      <c r="O535" s="169">
        <f t="shared" si="35"/>
        <v>8.0500000000000007</v>
      </c>
      <c r="Z535" s="219"/>
      <c r="AA535" s="219"/>
    </row>
    <row r="536" spans="1:27" x14ac:dyDescent="0.3">
      <c r="A536" s="88">
        <v>534</v>
      </c>
      <c r="B536" s="173">
        <v>336</v>
      </c>
      <c r="C536" s="159"/>
      <c r="D536" s="88" t="s">
        <v>500</v>
      </c>
      <c r="E536" s="88" t="s">
        <v>715</v>
      </c>
      <c r="F536" s="88" t="s">
        <v>1273</v>
      </c>
      <c r="G536" s="88" t="s">
        <v>1274</v>
      </c>
      <c r="H536" s="88">
        <v>300272021500003</v>
      </c>
      <c r="I536" s="88" t="s">
        <v>776</v>
      </c>
      <c r="J536" s="49">
        <v>1</v>
      </c>
      <c r="K536" s="49">
        <v>5.2169999999999996</v>
      </c>
      <c r="L536" s="169">
        <f t="shared" si="32"/>
        <v>5.2169999999999996</v>
      </c>
      <c r="M536" s="169">
        <f t="shared" si="33"/>
        <v>1</v>
      </c>
      <c r="N536" s="169">
        <f t="shared" si="34"/>
        <v>0.78254999999999997</v>
      </c>
      <c r="O536" s="169">
        <f t="shared" si="35"/>
        <v>5.9995499999999993</v>
      </c>
      <c r="Z536" s="219"/>
      <c r="AA536" s="219"/>
    </row>
    <row r="537" spans="1:27" x14ac:dyDescent="0.3">
      <c r="A537" s="88">
        <v>535</v>
      </c>
      <c r="B537" s="173">
        <v>337</v>
      </c>
      <c r="C537" s="159"/>
      <c r="D537" s="88" t="s">
        <v>500</v>
      </c>
      <c r="E537" s="88" t="s">
        <v>740</v>
      </c>
      <c r="F537" s="88" t="s">
        <v>1270</v>
      </c>
      <c r="G537" s="88" t="s">
        <v>1275</v>
      </c>
      <c r="H537" s="88">
        <v>300498479600003</v>
      </c>
      <c r="I537" s="88" t="s">
        <v>776</v>
      </c>
      <c r="J537" s="49">
        <v>7</v>
      </c>
      <c r="K537" s="49">
        <v>1</v>
      </c>
      <c r="L537" s="169">
        <f t="shared" si="32"/>
        <v>7</v>
      </c>
      <c r="M537" s="169">
        <f t="shared" si="33"/>
        <v>1</v>
      </c>
      <c r="N537" s="169">
        <f t="shared" si="34"/>
        <v>1.05</v>
      </c>
      <c r="O537" s="169">
        <f t="shared" si="35"/>
        <v>8.0500000000000007</v>
      </c>
      <c r="Z537" s="219"/>
      <c r="AA537" s="219"/>
    </row>
    <row r="538" spans="1:27" x14ac:dyDescent="0.3">
      <c r="A538" s="88">
        <v>536</v>
      </c>
      <c r="B538" s="173">
        <v>337</v>
      </c>
      <c r="C538" s="159"/>
      <c r="D538" s="88" t="s">
        <v>500</v>
      </c>
      <c r="E538" s="88" t="s">
        <v>740</v>
      </c>
      <c r="F538" s="88" t="s">
        <v>1270</v>
      </c>
      <c r="G538" s="88" t="s">
        <v>1275</v>
      </c>
      <c r="H538" s="88">
        <v>300498479600003</v>
      </c>
      <c r="I538" s="88" t="s">
        <v>776</v>
      </c>
      <c r="J538" s="49">
        <v>1</v>
      </c>
      <c r="K538" s="49">
        <v>1.3</v>
      </c>
      <c r="L538" s="169">
        <f t="shared" si="32"/>
        <v>1.3</v>
      </c>
      <c r="M538" s="169">
        <f t="shared" si="33"/>
        <v>1</v>
      </c>
      <c r="N538" s="169">
        <f t="shared" si="34"/>
        <v>0.19500000000000001</v>
      </c>
      <c r="O538" s="169">
        <f t="shared" si="35"/>
        <v>1.4950000000000001</v>
      </c>
      <c r="Z538" s="219"/>
      <c r="AA538" s="219"/>
    </row>
    <row r="539" spans="1:27" x14ac:dyDescent="0.3">
      <c r="A539" s="88">
        <v>537</v>
      </c>
      <c r="B539" s="173">
        <v>338</v>
      </c>
      <c r="C539" s="159"/>
      <c r="D539" s="88" t="s">
        <v>500</v>
      </c>
      <c r="E539" s="88" t="s">
        <v>715</v>
      </c>
      <c r="F539" s="88" t="s">
        <v>1276</v>
      </c>
      <c r="G539" s="88" t="s">
        <v>1277</v>
      </c>
      <c r="H539" s="88"/>
      <c r="I539" s="88"/>
      <c r="J539" s="49">
        <v>1</v>
      </c>
      <c r="K539" s="49">
        <v>20</v>
      </c>
      <c r="L539" s="169">
        <f t="shared" si="32"/>
        <v>20</v>
      </c>
      <c r="M539" s="169">
        <v>1</v>
      </c>
      <c r="N539" s="169">
        <f t="shared" si="34"/>
        <v>3</v>
      </c>
      <c r="O539" s="169">
        <f t="shared" si="35"/>
        <v>23</v>
      </c>
      <c r="Z539" s="219"/>
      <c r="AA539" s="219"/>
    </row>
    <row r="540" spans="1:27" x14ac:dyDescent="0.3">
      <c r="A540" s="88">
        <v>538</v>
      </c>
      <c r="B540" s="173">
        <v>339</v>
      </c>
      <c r="C540" s="159"/>
      <c r="D540" s="88" t="s">
        <v>500</v>
      </c>
      <c r="E540" s="88" t="s">
        <v>715</v>
      </c>
      <c r="F540" s="88" t="s">
        <v>803</v>
      </c>
      <c r="G540" s="88" t="s">
        <v>1278</v>
      </c>
      <c r="H540" s="88">
        <v>300844969700003</v>
      </c>
      <c r="I540" s="88"/>
      <c r="J540" s="49">
        <v>1</v>
      </c>
      <c r="K540" s="49">
        <v>5.2169999999999996</v>
      </c>
      <c r="L540" s="169">
        <f t="shared" si="32"/>
        <v>5.2169999999999996</v>
      </c>
      <c r="M540" s="169">
        <f t="shared" si="33"/>
        <v>1</v>
      </c>
      <c r="N540" s="169">
        <f t="shared" si="34"/>
        <v>0.78254999999999997</v>
      </c>
      <c r="O540" s="169">
        <f t="shared" si="35"/>
        <v>5.9995499999999993</v>
      </c>
      <c r="Z540" s="219"/>
      <c r="AA540" s="219"/>
    </row>
    <row r="541" spans="1:27" x14ac:dyDescent="0.3">
      <c r="A541" s="88">
        <v>539</v>
      </c>
      <c r="B541" s="173">
        <v>340</v>
      </c>
      <c r="C541" s="159"/>
      <c r="D541" s="88" t="s">
        <v>500</v>
      </c>
      <c r="E541" s="88" t="s">
        <v>740</v>
      </c>
      <c r="F541" s="88" t="s">
        <v>1270</v>
      </c>
      <c r="G541" s="88" t="s">
        <v>1275</v>
      </c>
      <c r="H541" s="88">
        <v>300498479600003</v>
      </c>
      <c r="I541" s="88" t="s">
        <v>776</v>
      </c>
      <c r="J541" s="49">
        <v>7</v>
      </c>
      <c r="K541" s="49">
        <v>1</v>
      </c>
      <c r="L541" s="169">
        <f t="shared" si="32"/>
        <v>7</v>
      </c>
      <c r="M541" s="169">
        <f t="shared" si="33"/>
        <v>1</v>
      </c>
      <c r="N541" s="169">
        <f t="shared" si="34"/>
        <v>1.05</v>
      </c>
      <c r="O541" s="169">
        <f t="shared" si="35"/>
        <v>8.0500000000000007</v>
      </c>
      <c r="Z541" s="219"/>
      <c r="AA541" s="219"/>
    </row>
    <row r="542" spans="1:27" x14ac:dyDescent="0.3">
      <c r="A542" s="88">
        <v>540</v>
      </c>
      <c r="B542" s="173">
        <v>341</v>
      </c>
      <c r="C542" s="159"/>
      <c r="D542" s="88" t="s">
        <v>500</v>
      </c>
      <c r="E542" s="88" t="s">
        <v>740</v>
      </c>
      <c r="F542" s="88" t="s">
        <v>1270</v>
      </c>
      <c r="G542" s="88" t="s">
        <v>1275</v>
      </c>
      <c r="H542" s="88">
        <v>300498479600003</v>
      </c>
      <c r="I542" s="88" t="s">
        <v>776</v>
      </c>
      <c r="J542" s="49">
        <v>7</v>
      </c>
      <c r="K542" s="49">
        <v>1</v>
      </c>
      <c r="L542" s="169">
        <f t="shared" si="32"/>
        <v>7</v>
      </c>
      <c r="M542" s="169">
        <f t="shared" si="33"/>
        <v>1</v>
      </c>
      <c r="N542" s="169">
        <f t="shared" si="34"/>
        <v>1.05</v>
      </c>
      <c r="O542" s="169">
        <f t="shared" si="35"/>
        <v>8.0500000000000007</v>
      </c>
      <c r="Z542" s="219"/>
      <c r="AA542" s="219"/>
    </row>
    <row r="543" spans="1:27" x14ac:dyDescent="0.3">
      <c r="A543" s="88">
        <v>541</v>
      </c>
      <c r="B543" s="173">
        <v>342</v>
      </c>
      <c r="C543" s="159"/>
      <c r="D543" s="88" t="s">
        <v>500</v>
      </c>
      <c r="E543" s="88" t="s">
        <v>740</v>
      </c>
      <c r="F543" s="88" t="s">
        <v>1270</v>
      </c>
      <c r="G543" s="88" t="s">
        <v>1275</v>
      </c>
      <c r="H543" s="88">
        <v>300498479600003</v>
      </c>
      <c r="I543" s="88" t="s">
        <v>776</v>
      </c>
      <c r="J543" s="49">
        <v>7</v>
      </c>
      <c r="K543" s="49">
        <v>1</v>
      </c>
      <c r="L543" s="169">
        <f t="shared" si="32"/>
        <v>7</v>
      </c>
      <c r="M543" s="169">
        <f t="shared" si="33"/>
        <v>1</v>
      </c>
      <c r="N543" s="169">
        <f t="shared" si="34"/>
        <v>1.05</v>
      </c>
      <c r="O543" s="169">
        <f t="shared" si="35"/>
        <v>8.0500000000000007</v>
      </c>
      <c r="Z543" s="219"/>
      <c r="AA543" s="219"/>
    </row>
    <row r="544" spans="1:27" x14ac:dyDescent="0.3">
      <c r="A544" s="88">
        <v>542</v>
      </c>
      <c r="B544" s="173">
        <v>342</v>
      </c>
      <c r="C544" s="159"/>
      <c r="D544" s="88" t="s">
        <v>500</v>
      </c>
      <c r="E544" s="88" t="s">
        <v>740</v>
      </c>
      <c r="F544" s="88" t="s">
        <v>1270</v>
      </c>
      <c r="G544" s="88" t="s">
        <v>1275</v>
      </c>
      <c r="H544" s="88">
        <v>300498479600003</v>
      </c>
      <c r="I544" s="88" t="s">
        <v>776</v>
      </c>
      <c r="J544" s="49">
        <v>1</v>
      </c>
      <c r="K544" s="49">
        <v>1.3</v>
      </c>
      <c r="L544" s="169">
        <f>K544*J544</f>
        <v>1.3</v>
      </c>
      <c r="M544" s="169">
        <v>1</v>
      </c>
      <c r="N544" s="169">
        <f t="shared" si="34"/>
        <v>0.19500000000000001</v>
      </c>
      <c r="O544" s="169">
        <f t="shared" si="35"/>
        <v>1.4950000000000001</v>
      </c>
      <c r="Z544" s="20"/>
      <c r="AA544" s="20"/>
    </row>
    <row r="545" spans="1:27" x14ac:dyDescent="0.3">
      <c r="A545" s="88">
        <v>543</v>
      </c>
      <c r="B545" s="173">
        <v>343</v>
      </c>
      <c r="C545" s="159"/>
      <c r="D545" s="88" t="s">
        <v>500</v>
      </c>
      <c r="E545" s="88" t="s">
        <v>740</v>
      </c>
      <c r="F545" s="88" t="s">
        <v>1270</v>
      </c>
      <c r="G545" s="88" t="s">
        <v>1275</v>
      </c>
      <c r="H545" s="88">
        <v>300498479600003</v>
      </c>
      <c r="I545" s="88" t="s">
        <v>776</v>
      </c>
      <c r="J545" s="49">
        <v>7</v>
      </c>
      <c r="K545" s="49">
        <v>1</v>
      </c>
      <c r="L545" s="169">
        <f t="shared" si="32"/>
        <v>7</v>
      </c>
      <c r="M545" s="169">
        <f t="shared" si="33"/>
        <v>1</v>
      </c>
      <c r="N545" s="169">
        <f t="shared" si="34"/>
        <v>1.05</v>
      </c>
      <c r="O545" s="169">
        <f t="shared" si="35"/>
        <v>8.0500000000000007</v>
      </c>
      <c r="Z545" s="219"/>
      <c r="AA545" s="219"/>
    </row>
    <row r="546" spans="1:27" x14ac:dyDescent="0.3">
      <c r="A546" s="88">
        <v>544</v>
      </c>
      <c r="B546" s="173">
        <v>344</v>
      </c>
      <c r="C546" s="159"/>
      <c r="D546" s="88" t="s">
        <v>500</v>
      </c>
      <c r="E546" s="88" t="s">
        <v>715</v>
      </c>
      <c r="F546" s="88" t="s">
        <v>1279</v>
      </c>
      <c r="G546" s="88" t="s">
        <v>1278</v>
      </c>
      <c r="H546" s="88">
        <v>300844969700003</v>
      </c>
      <c r="I546" s="88"/>
      <c r="J546" s="49">
        <v>1</v>
      </c>
      <c r="K546" s="49">
        <v>6.0869999999999997</v>
      </c>
      <c r="L546" s="169">
        <f t="shared" si="32"/>
        <v>6.0869999999999997</v>
      </c>
      <c r="M546" s="169">
        <f t="shared" si="33"/>
        <v>1</v>
      </c>
      <c r="N546" s="169">
        <f t="shared" si="34"/>
        <v>0.91304999999999992</v>
      </c>
      <c r="O546" s="169">
        <f t="shared" si="35"/>
        <v>7.0000499999999999</v>
      </c>
      <c r="Z546" s="219"/>
      <c r="AA546" s="219"/>
    </row>
    <row r="547" spans="1:27" x14ac:dyDescent="0.3">
      <c r="A547" s="88">
        <v>545</v>
      </c>
      <c r="B547" s="173">
        <v>345</v>
      </c>
      <c r="C547" s="159"/>
      <c r="D547" s="88" t="s">
        <v>500</v>
      </c>
      <c r="E547" s="88" t="s">
        <v>715</v>
      </c>
      <c r="F547" s="88" t="s">
        <v>1279</v>
      </c>
      <c r="G547" s="88" t="s">
        <v>1280</v>
      </c>
      <c r="H547" s="88">
        <v>300844969700003</v>
      </c>
      <c r="I547" s="88"/>
      <c r="J547" s="49">
        <v>1</v>
      </c>
      <c r="K547" s="49">
        <v>6.0869999999999997</v>
      </c>
      <c r="L547" s="169">
        <f t="shared" si="32"/>
        <v>6.0869999999999997</v>
      </c>
      <c r="M547" s="169">
        <f t="shared" si="33"/>
        <v>1</v>
      </c>
      <c r="N547" s="169">
        <f t="shared" si="34"/>
        <v>0.91304999999999992</v>
      </c>
      <c r="O547" s="169">
        <f t="shared" si="35"/>
        <v>7.0000499999999999</v>
      </c>
      <c r="Z547" s="219"/>
      <c r="AA547" s="219"/>
    </row>
    <row r="548" spans="1:27" x14ac:dyDescent="0.3">
      <c r="A548" s="88">
        <v>546</v>
      </c>
      <c r="B548" s="173">
        <v>346</v>
      </c>
      <c r="C548" s="159"/>
      <c r="D548" s="88" t="s">
        <v>500</v>
      </c>
      <c r="E548" s="88" t="s">
        <v>715</v>
      </c>
      <c r="F548" s="88" t="s">
        <v>1279</v>
      </c>
      <c r="G548" s="88" t="s">
        <v>1280</v>
      </c>
      <c r="H548" s="88">
        <v>300844969700003</v>
      </c>
      <c r="I548" s="88" t="s">
        <v>776</v>
      </c>
      <c r="J548" s="49">
        <v>1</v>
      </c>
      <c r="K548" s="49">
        <v>6.0869999999999997</v>
      </c>
      <c r="L548" s="169">
        <f t="shared" si="32"/>
        <v>6.0869999999999997</v>
      </c>
      <c r="M548" s="169">
        <f t="shared" si="33"/>
        <v>1</v>
      </c>
      <c r="N548" s="169">
        <f t="shared" si="34"/>
        <v>0.91304999999999992</v>
      </c>
      <c r="O548" s="169">
        <f t="shared" si="35"/>
        <v>7.0000499999999999</v>
      </c>
      <c r="Z548" s="219"/>
      <c r="AA548" s="219"/>
    </row>
    <row r="549" spans="1:27" x14ac:dyDescent="0.3">
      <c r="A549" s="88">
        <v>547</v>
      </c>
      <c r="B549" s="173">
        <v>347</v>
      </c>
      <c r="C549" s="159"/>
      <c r="D549" s="88" t="s">
        <v>500</v>
      </c>
      <c r="E549" s="88" t="s">
        <v>988</v>
      </c>
      <c r="F549" s="88" t="s">
        <v>1281</v>
      </c>
      <c r="G549" s="88" t="s">
        <v>1282</v>
      </c>
      <c r="H549" s="88">
        <v>310266535300003</v>
      </c>
      <c r="I549" s="88" t="s">
        <v>776</v>
      </c>
      <c r="J549" s="49">
        <v>1</v>
      </c>
      <c r="K549" s="49">
        <v>8.6989999999999998</v>
      </c>
      <c r="L549" s="169">
        <f>K549*J549</f>
        <v>8.6989999999999998</v>
      </c>
      <c r="M549" s="169">
        <f t="shared" si="33"/>
        <v>1</v>
      </c>
      <c r="N549" s="169">
        <f t="shared" si="34"/>
        <v>1.3048499999999998</v>
      </c>
      <c r="O549" s="169">
        <f t="shared" si="35"/>
        <v>10.00385</v>
      </c>
      <c r="Z549" s="219"/>
      <c r="AA549" s="219"/>
    </row>
    <row r="550" spans="1:27" x14ac:dyDescent="0.3">
      <c r="A550" s="88">
        <v>548</v>
      </c>
      <c r="B550" s="173">
        <v>348</v>
      </c>
      <c r="C550" s="159"/>
      <c r="D550" s="88" t="s">
        <v>500</v>
      </c>
      <c r="E550" s="88" t="s">
        <v>715</v>
      </c>
      <c r="F550" s="88" t="s">
        <v>1279</v>
      </c>
      <c r="G550" s="88" t="s">
        <v>1280</v>
      </c>
      <c r="H550" s="88">
        <v>300844969700003</v>
      </c>
      <c r="I550" s="88"/>
      <c r="J550" s="49">
        <v>1</v>
      </c>
      <c r="K550" s="49">
        <v>6.09</v>
      </c>
      <c r="L550" s="169">
        <f t="shared" si="32"/>
        <v>6.09</v>
      </c>
      <c r="M550" s="169">
        <f t="shared" si="33"/>
        <v>1</v>
      </c>
      <c r="N550" s="169">
        <f t="shared" si="34"/>
        <v>0.91349999999999998</v>
      </c>
      <c r="O550" s="169">
        <f t="shared" si="35"/>
        <v>7.0034999999999998</v>
      </c>
      <c r="Z550" s="219"/>
      <c r="AA550" s="219"/>
    </row>
    <row r="551" spans="1:27" x14ac:dyDescent="0.3">
      <c r="A551" s="88">
        <v>549</v>
      </c>
      <c r="B551" s="173">
        <v>349</v>
      </c>
      <c r="C551" s="159"/>
      <c r="D551" s="88" t="s">
        <v>500</v>
      </c>
      <c r="E551" s="88" t="s">
        <v>740</v>
      </c>
      <c r="F551" s="88" t="s">
        <v>1270</v>
      </c>
      <c r="G551" s="88" t="s">
        <v>1275</v>
      </c>
      <c r="H551" s="88">
        <v>300498479600003</v>
      </c>
      <c r="I551" s="88" t="s">
        <v>776</v>
      </c>
      <c r="J551" s="49">
        <v>7</v>
      </c>
      <c r="K551" s="49">
        <v>1</v>
      </c>
      <c r="L551" s="169">
        <f t="shared" si="32"/>
        <v>7</v>
      </c>
      <c r="M551" s="169">
        <f t="shared" si="33"/>
        <v>1</v>
      </c>
      <c r="N551" s="169">
        <f t="shared" si="34"/>
        <v>1.05</v>
      </c>
      <c r="O551" s="169">
        <f t="shared" si="35"/>
        <v>8.0500000000000007</v>
      </c>
      <c r="Z551" s="219"/>
      <c r="AA551" s="219"/>
    </row>
    <row r="552" spans="1:27" x14ac:dyDescent="0.3">
      <c r="A552" s="88">
        <v>550</v>
      </c>
      <c r="B552" s="173">
        <v>350</v>
      </c>
      <c r="C552" s="159"/>
      <c r="D552" s="88" t="s">
        <v>500</v>
      </c>
      <c r="E552" s="88" t="s">
        <v>740</v>
      </c>
      <c r="F552" s="88" t="s">
        <v>1270</v>
      </c>
      <c r="G552" s="88" t="s">
        <v>1275</v>
      </c>
      <c r="H552" s="88">
        <v>300498479600003</v>
      </c>
      <c r="I552" s="88" t="s">
        <v>776</v>
      </c>
      <c r="J552" s="49">
        <v>7</v>
      </c>
      <c r="K552" s="49">
        <v>1</v>
      </c>
      <c r="L552" s="169">
        <f t="shared" si="32"/>
        <v>7</v>
      </c>
      <c r="M552" s="169">
        <f t="shared" si="33"/>
        <v>1</v>
      </c>
      <c r="N552" s="169">
        <f t="shared" si="34"/>
        <v>1.05</v>
      </c>
      <c r="O552" s="169">
        <f t="shared" si="35"/>
        <v>8.0500000000000007</v>
      </c>
      <c r="Z552" s="219"/>
      <c r="AA552" s="219"/>
    </row>
    <row r="553" spans="1:27" x14ac:dyDescent="0.3">
      <c r="A553" s="88">
        <v>551</v>
      </c>
      <c r="B553" s="173">
        <v>351</v>
      </c>
      <c r="C553" s="159"/>
      <c r="D553" s="88" t="s">
        <v>500</v>
      </c>
      <c r="E553" s="88" t="s">
        <v>743</v>
      </c>
      <c r="F553" s="88" t="s">
        <v>379</v>
      </c>
      <c r="G553" s="88" t="s">
        <v>1283</v>
      </c>
      <c r="H553" s="88">
        <v>310497089600003</v>
      </c>
      <c r="I553" s="88" t="s">
        <v>776</v>
      </c>
      <c r="J553" s="49">
        <v>2</v>
      </c>
      <c r="K553" s="49">
        <v>247.82599999999999</v>
      </c>
      <c r="L553" s="169">
        <f t="shared" si="32"/>
        <v>495.65199999999999</v>
      </c>
      <c r="M553" s="169">
        <f t="shared" si="33"/>
        <v>1</v>
      </c>
      <c r="N553" s="169">
        <f t="shared" si="34"/>
        <v>74.347799999999992</v>
      </c>
      <c r="O553" s="169">
        <f t="shared" si="35"/>
        <v>569.99979999999994</v>
      </c>
      <c r="Z553" s="219"/>
      <c r="AA553" s="219"/>
    </row>
    <row r="554" spans="1:27" x14ac:dyDescent="0.3">
      <c r="A554" s="88">
        <v>552</v>
      </c>
      <c r="B554" s="173">
        <v>352</v>
      </c>
      <c r="C554" s="159"/>
      <c r="D554" s="88" t="s">
        <v>500</v>
      </c>
      <c r="E554" s="88" t="s">
        <v>820</v>
      </c>
      <c r="F554" s="88" t="s">
        <v>1073</v>
      </c>
      <c r="G554" s="88" t="s">
        <v>1284</v>
      </c>
      <c r="H554" s="88">
        <v>311188904700003</v>
      </c>
      <c r="I554" s="88"/>
      <c r="J554" s="49">
        <v>2</v>
      </c>
      <c r="K554" s="49">
        <v>35</v>
      </c>
      <c r="L554" s="169">
        <f t="shared" si="32"/>
        <v>70</v>
      </c>
      <c r="M554" s="169">
        <f t="shared" si="33"/>
        <v>1</v>
      </c>
      <c r="N554" s="169">
        <f t="shared" si="34"/>
        <v>10.5</v>
      </c>
      <c r="O554" s="169">
        <f t="shared" si="35"/>
        <v>80.5</v>
      </c>
      <c r="Z554" s="219"/>
      <c r="AA554" s="219"/>
    </row>
    <row r="555" spans="1:27" x14ac:dyDescent="0.3">
      <c r="A555" s="88">
        <v>553</v>
      </c>
      <c r="B555" s="173">
        <v>353</v>
      </c>
      <c r="C555" s="159"/>
      <c r="D555" s="88" t="s">
        <v>500</v>
      </c>
      <c r="E555" s="88" t="s">
        <v>763</v>
      </c>
      <c r="F555" s="88" t="s">
        <v>1285</v>
      </c>
      <c r="G555" s="88" t="s">
        <v>1286</v>
      </c>
      <c r="H555" s="88">
        <v>311270476200003</v>
      </c>
      <c r="I555" s="88"/>
      <c r="J555" s="49">
        <v>1</v>
      </c>
      <c r="K555" s="49">
        <v>5.22</v>
      </c>
      <c r="L555" s="169">
        <f t="shared" si="32"/>
        <v>5.22</v>
      </c>
      <c r="M555" s="169">
        <f t="shared" si="33"/>
        <v>1</v>
      </c>
      <c r="N555" s="169">
        <f t="shared" si="34"/>
        <v>0.78299999999999992</v>
      </c>
      <c r="O555" s="169">
        <f t="shared" si="35"/>
        <v>6.0030000000000001</v>
      </c>
      <c r="Z555" s="219"/>
      <c r="AA555" s="219"/>
    </row>
    <row r="556" spans="1:27" x14ac:dyDescent="0.3">
      <c r="A556" s="88">
        <v>554</v>
      </c>
      <c r="B556" s="173">
        <v>353</v>
      </c>
      <c r="C556" s="159"/>
      <c r="D556" s="88" t="s">
        <v>500</v>
      </c>
      <c r="E556" s="88" t="s">
        <v>763</v>
      </c>
      <c r="F556" s="88" t="s">
        <v>1287</v>
      </c>
      <c r="G556" s="88" t="s">
        <v>1286</v>
      </c>
      <c r="H556" s="88">
        <v>311270476200003</v>
      </c>
      <c r="I556" s="88"/>
      <c r="J556" s="49">
        <v>1</v>
      </c>
      <c r="K556" s="49">
        <v>8</v>
      </c>
      <c r="L556" s="169">
        <f t="shared" si="32"/>
        <v>8</v>
      </c>
      <c r="M556" s="169">
        <f t="shared" si="33"/>
        <v>1</v>
      </c>
      <c r="N556" s="169">
        <f t="shared" si="34"/>
        <v>1.2</v>
      </c>
      <c r="O556" s="169">
        <f t="shared" si="35"/>
        <v>9.1999999999999993</v>
      </c>
      <c r="Z556" s="219"/>
      <c r="AA556" s="219"/>
    </row>
    <row r="557" spans="1:27" x14ac:dyDescent="0.3">
      <c r="A557" s="88">
        <v>555</v>
      </c>
      <c r="B557" s="173">
        <v>354</v>
      </c>
      <c r="C557" s="159"/>
      <c r="D557" s="88" t="s">
        <v>500</v>
      </c>
      <c r="E557" s="88" t="s">
        <v>715</v>
      </c>
      <c r="F557" s="88" t="s">
        <v>1279</v>
      </c>
      <c r="G557" s="88" t="s">
        <v>1280</v>
      </c>
      <c r="H557" s="88">
        <v>300844969700003</v>
      </c>
      <c r="I557" s="88"/>
      <c r="J557" s="49">
        <v>1</v>
      </c>
      <c r="K557" s="49">
        <v>5.2169999999999996</v>
      </c>
      <c r="L557" s="169">
        <f t="shared" si="32"/>
        <v>5.2169999999999996</v>
      </c>
      <c r="M557" s="169">
        <f t="shared" si="33"/>
        <v>1</v>
      </c>
      <c r="N557" s="169">
        <f t="shared" si="34"/>
        <v>0.78254999999999997</v>
      </c>
      <c r="O557" s="169">
        <f t="shared" si="35"/>
        <v>5.9995499999999993</v>
      </c>
      <c r="Z557" s="219"/>
      <c r="AA557" s="219"/>
    </row>
    <row r="558" spans="1:27" x14ac:dyDescent="0.3">
      <c r="A558" s="88">
        <v>556</v>
      </c>
      <c r="B558" s="173">
        <v>355</v>
      </c>
      <c r="C558" s="159"/>
      <c r="D558" s="88" t="s">
        <v>500</v>
      </c>
      <c r="E558" s="88" t="s">
        <v>740</v>
      </c>
      <c r="F558" s="88" t="s">
        <v>1270</v>
      </c>
      <c r="G558" s="88" t="s">
        <v>1271</v>
      </c>
      <c r="H558" s="88">
        <v>300498479600003</v>
      </c>
      <c r="I558" s="88" t="s">
        <v>776</v>
      </c>
      <c r="J558" s="49">
        <v>5</v>
      </c>
      <c r="K558" s="49">
        <v>1</v>
      </c>
      <c r="L558" s="169">
        <f t="shared" si="32"/>
        <v>5</v>
      </c>
      <c r="M558" s="169">
        <f t="shared" si="33"/>
        <v>1</v>
      </c>
      <c r="N558" s="169">
        <f t="shared" si="34"/>
        <v>0.75</v>
      </c>
      <c r="O558" s="169">
        <f t="shared" si="35"/>
        <v>5.75</v>
      </c>
      <c r="Z558" s="219"/>
      <c r="AA558" s="219"/>
    </row>
    <row r="559" spans="1:27" x14ac:dyDescent="0.3">
      <c r="A559" s="88">
        <v>557</v>
      </c>
      <c r="B559" s="173">
        <v>356</v>
      </c>
      <c r="C559" s="159"/>
      <c r="D559" s="88" t="s">
        <v>500</v>
      </c>
      <c r="E559" s="88" t="s">
        <v>740</v>
      </c>
      <c r="F559" s="88" t="s">
        <v>1270</v>
      </c>
      <c r="G559" s="88" t="s">
        <v>1271</v>
      </c>
      <c r="H559" s="88">
        <v>300498479600003</v>
      </c>
      <c r="I559" s="88" t="s">
        <v>776</v>
      </c>
      <c r="J559" s="49">
        <v>5</v>
      </c>
      <c r="K559" s="49">
        <v>1</v>
      </c>
      <c r="L559" s="169">
        <f t="shared" si="32"/>
        <v>5</v>
      </c>
      <c r="M559" s="169">
        <f t="shared" si="33"/>
        <v>1</v>
      </c>
      <c r="N559" s="169">
        <f t="shared" si="34"/>
        <v>0.75</v>
      </c>
      <c r="O559" s="169">
        <f t="shared" si="35"/>
        <v>5.75</v>
      </c>
      <c r="Z559" s="219"/>
      <c r="AA559" s="219"/>
    </row>
    <row r="560" spans="1:27" x14ac:dyDescent="0.3">
      <c r="A560" s="88">
        <v>558</v>
      </c>
      <c r="B560" s="173">
        <v>357</v>
      </c>
      <c r="C560" s="159"/>
      <c r="D560" s="88" t="s">
        <v>500</v>
      </c>
      <c r="E560" s="88" t="s">
        <v>740</v>
      </c>
      <c r="F560" s="88" t="s">
        <v>1270</v>
      </c>
      <c r="G560" s="88" t="s">
        <v>1271</v>
      </c>
      <c r="H560" s="88">
        <v>300498479600003</v>
      </c>
      <c r="I560" s="88" t="s">
        <v>776</v>
      </c>
      <c r="J560" s="49">
        <v>1</v>
      </c>
      <c r="K560" s="49">
        <v>1.3</v>
      </c>
      <c r="L560" s="169">
        <f t="shared" si="32"/>
        <v>1.3</v>
      </c>
      <c r="M560" s="169">
        <f t="shared" si="33"/>
        <v>1</v>
      </c>
      <c r="N560" s="169">
        <f t="shared" si="34"/>
        <v>0.19500000000000001</v>
      </c>
      <c r="O560" s="169">
        <f t="shared" si="35"/>
        <v>1.4950000000000001</v>
      </c>
      <c r="Z560" s="219"/>
      <c r="AA560" s="219"/>
    </row>
    <row r="561" spans="1:27" x14ac:dyDescent="0.3">
      <c r="A561" s="88">
        <v>559</v>
      </c>
      <c r="B561" s="173">
        <v>358</v>
      </c>
      <c r="C561" s="159"/>
      <c r="D561" s="88" t="s">
        <v>500</v>
      </c>
      <c r="E561" s="88" t="s">
        <v>740</v>
      </c>
      <c r="F561" s="88" t="s">
        <v>1270</v>
      </c>
      <c r="G561" s="88" t="s">
        <v>1271</v>
      </c>
      <c r="H561" s="88">
        <v>300498479600003</v>
      </c>
      <c r="I561" s="88" t="s">
        <v>776</v>
      </c>
      <c r="J561" s="49">
        <v>7</v>
      </c>
      <c r="K561" s="49">
        <v>1</v>
      </c>
      <c r="L561" s="169">
        <f t="shared" si="32"/>
        <v>7</v>
      </c>
      <c r="M561" s="169">
        <f t="shared" si="33"/>
        <v>1</v>
      </c>
      <c r="N561" s="169">
        <f t="shared" si="34"/>
        <v>1.05</v>
      </c>
      <c r="O561" s="169">
        <f t="shared" si="35"/>
        <v>8.0500000000000007</v>
      </c>
      <c r="Z561" s="219"/>
      <c r="AA561" s="219"/>
    </row>
    <row r="562" spans="1:27" x14ac:dyDescent="0.3">
      <c r="A562" s="88">
        <v>560</v>
      </c>
      <c r="B562" s="173">
        <v>359</v>
      </c>
      <c r="C562" s="159"/>
      <c r="D562" s="88" t="s">
        <v>500</v>
      </c>
      <c r="E562" s="88" t="s">
        <v>740</v>
      </c>
      <c r="F562" s="88" t="s">
        <v>1270</v>
      </c>
      <c r="G562" s="88" t="s">
        <v>1271</v>
      </c>
      <c r="H562" s="88">
        <v>300498479600003</v>
      </c>
      <c r="I562" s="88" t="s">
        <v>776</v>
      </c>
      <c r="J562" s="49">
        <v>8</v>
      </c>
      <c r="K562" s="49">
        <v>1</v>
      </c>
      <c r="L562" s="169">
        <f t="shared" si="32"/>
        <v>8</v>
      </c>
      <c r="M562" s="169">
        <f t="shared" si="33"/>
        <v>1</v>
      </c>
      <c r="N562" s="169">
        <f t="shared" si="34"/>
        <v>1.2</v>
      </c>
      <c r="O562" s="169">
        <f t="shared" si="35"/>
        <v>9.1999999999999993</v>
      </c>
      <c r="Z562" s="219"/>
      <c r="AA562" s="219"/>
    </row>
    <row r="563" spans="1:27" x14ac:dyDescent="0.3">
      <c r="A563" s="88">
        <v>561</v>
      </c>
      <c r="B563" s="173">
        <v>360</v>
      </c>
      <c r="C563" s="159"/>
      <c r="D563" s="88" t="s">
        <v>500</v>
      </c>
      <c r="E563" s="88" t="s">
        <v>740</v>
      </c>
      <c r="F563" s="88" t="s">
        <v>1270</v>
      </c>
      <c r="G563" s="88" t="s">
        <v>1271</v>
      </c>
      <c r="H563" s="88">
        <v>300498479600003</v>
      </c>
      <c r="I563" s="88" t="s">
        <v>776</v>
      </c>
      <c r="J563" s="49">
        <v>9</v>
      </c>
      <c r="K563" s="49">
        <v>1</v>
      </c>
      <c r="L563" s="169">
        <f t="shared" si="32"/>
        <v>9</v>
      </c>
      <c r="M563" s="169">
        <f t="shared" si="33"/>
        <v>1</v>
      </c>
      <c r="N563" s="169">
        <f t="shared" si="34"/>
        <v>1.3499999999999999</v>
      </c>
      <c r="O563" s="169">
        <f t="shared" si="35"/>
        <v>10.35</v>
      </c>
      <c r="Z563" s="219"/>
      <c r="AA563" s="219"/>
    </row>
    <row r="564" spans="1:27" x14ac:dyDescent="0.3">
      <c r="A564" s="88">
        <v>562</v>
      </c>
      <c r="B564" s="173">
        <v>361</v>
      </c>
      <c r="C564" s="159"/>
      <c r="D564" s="88" t="s">
        <v>500</v>
      </c>
      <c r="E564" s="88" t="s">
        <v>740</v>
      </c>
      <c r="F564" s="88" t="s">
        <v>1270</v>
      </c>
      <c r="G564" s="88" t="s">
        <v>1271</v>
      </c>
      <c r="H564" s="88">
        <v>300498479600003</v>
      </c>
      <c r="I564" s="88" t="s">
        <v>776</v>
      </c>
      <c r="J564" s="49">
        <v>3</v>
      </c>
      <c r="K564" s="49">
        <v>1.3</v>
      </c>
      <c r="L564" s="169">
        <f t="shared" si="32"/>
        <v>3.9000000000000004</v>
      </c>
      <c r="M564" s="169">
        <f t="shared" si="33"/>
        <v>1</v>
      </c>
      <c r="N564" s="169">
        <f t="shared" si="34"/>
        <v>0.58500000000000008</v>
      </c>
      <c r="O564" s="169">
        <f t="shared" si="35"/>
        <v>4.4850000000000003</v>
      </c>
      <c r="Z564" s="219"/>
      <c r="AA564" s="219"/>
    </row>
    <row r="565" spans="1:27" x14ac:dyDescent="0.3">
      <c r="A565" s="88">
        <v>563</v>
      </c>
      <c r="B565" s="173">
        <v>362</v>
      </c>
      <c r="C565" s="159"/>
      <c r="D565" s="88" t="s">
        <v>500</v>
      </c>
      <c r="E565" s="88" t="s">
        <v>740</v>
      </c>
      <c r="F565" s="88" t="s">
        <v>1270</v>
      </c>
      <c r="G565" s="88" t="s">
        <v>1271</v>
      </c>
      <c r="H565" s="88">
        <v>300498479600003</v>
      </c>
      <c r="I565" s="88" t="s">
        <v>776</v>
      </c>
      <c r="J565" s="49">
        <v>8</v>
      </c>
      <c r="K565" s="49">
        <v>1</v>
      </c>
      <c r="L565" s="169">
        <f t="shared" si="32"/>
        <v>8</v>
      </c>
      <c r="M565" s="169">
        <f t="shared" si="33"/>
        <v>1</v>
      </c>
      <c r="N565" s="169">
        <f t="shared" si="34"/>
        <v>1.2</v>
      </c>
      <c r="O565" s="169">
        <f t="shared" si="35"/>
        <v>9.1999999999999993</v>
      </c>
      <c r="Z565" s="219"/>
      <c r="AA565" s="219"/>
    </row>
    <row r="566" spans="1:27" x14ac:dyDescent="0.3">
      <c r="A566" s="88">
        <v>564</v>
      </c>
      <c r="B566" s="173">
        <v>363</v>
      </c>
      <c r="C566" s="159"/>
      <c r="D566" s="88" t="s">
        <v>500</v>
      </c>
      <c r="E566" s="88" t="s">
        <v>740</v>
      </c>
      <c r="F566" s="88" t="s">
        <v>1270</v>
      </c>
      <c r="G566" s="88" t="s">
        <v>1271</v>
      </c>
      <c r="H566" s="88">
        <v>300498479600003</v>
      </c>
      <c r="I566" s="88" t="s">
        <v>776</v>
      </c>
      <c r="J566" s="49">
        <v>7</v>
      </c>
      <c r="K566" s="49">
        <v>1</v>
      </c>
      <c r="L566" s="169">
        <f t="shared" si="32"/>
        <v>7</v>
      </c>
      <c r="M566" s="169">
        <f t="shared" si="33"/>
        <v>1</v>
      </c>
      <c r="N566" s="169">
        <f t="shared" si="34"/>
        <v>1.05</v>
      </c>
      <c r="O566" s="169">
        <f t="shared" si="35"/>
        <v>8.0500000000000007</v>
      </c>
      <c r="Z566" s="219"/>
      <c r="AA566" s="219"/>
    </row>
    <row r="567" spans="1:27" x14ac:dyDescent="0.3">
      <c r="A567" s="88">
        <v>565</v>
      </c>
      <c r="B567" s="173">
        <v>364</v>
      </c>
      <c r="C567" s="159"/>
      <c r="D567" s="88" t="s">
        <v>500</v>
      </c>
      <c r="E567" s="88" t="s">
        <v>740</v>
      </c>
      <c r="F567" s="88" t="s">
        <v>1270</v>
      </c>
      <c r="G567" s="88" t="s">
        <v>1271</v>
      </c>
      <c r="H567" s="88">
        <v>300498479600003</v>
      </c>
      <c r="I567" s="88" t="s">
        <v>776</v>
      </c>
      <c r="J567" s="49">
        <v>7</v>
      </c>
      <c r="K567" s="49">
        <v>1</v>
      </c>
      <c r="L567" s="169">
        <f t="shared" si="32"/>
        <v>7</v>
      </c>
      <c r="M567" s="169">
        <f t="shared" si="33"/>
        <v>1</v>
      </c>
      <c r="N567" s="169">
        <f t="shared" si="34"/>
        <v>1.05</v>
      </c>
      <c r="O567" s="169">
        <f t="shared" si="35"/>
        <v>8.0500000000000007</v>
      </c>
      <c r="Z567" s="219"/>
      <c r="AA567" s="219"/>
    </row>
    <row r="568" spans="1:27" x14ac:dyDescent="0.3">
      <c r="A568" s="88">
        <v>566</v>
      </c>
      <c r="B568" s="173">
        <v>365</v>
      </c>
      <c r="C568" s="159"/>
      <c r="D568" s="88" t="s">
        <v>500</v>
      </c>
      <c r="E568" s="88" t="s">
        <v>740</v>
      </c>
      <c r="F568" s="88" t="s">
        <v>1270</v>
      </c>
      <c r="G568" s="88" t="s">
        <v>1271</v>
      </c>
      <c r="H568" s="88">
        <v>300498479600003</v>
      </c>
      <c r="I568" s="88" t="s">
        <v>776</v>
      </c>
      <c r="J568" s="49">
        <v>8</v>
      </c>
      <c r="K568" s="49">
        <v>1</v>
      </c>
      <c r="L568" s="169">
        <f t="shared" si="32"/>
        <v>8</v>
      </c>
      <c r="M568" s="169">
        <f t="shared" si="33"/>
        <v>1</v>
      </c>
      <c r="N568" s="169">
        <f t="shared" si="34"/>
        <v>1.2</v>
      </c>
      <c r="O568" s="169">
        <f t="shared" si="35"/>
        <v>9.1999999999999993</v>
      </c>
      <c r="Z568" s="219"/>
      <c r="AA568" s="219"/>
    </row>
    <row r="569" spans="1:27" x14ac:dyDescent="0.3">
      <c r="A569" s="88">
        <v>567</v>
      </c>
      <c r="B569" s="173">
        <v>366</v>
      </c>
      <c r="C569" s="159"/>
      <c r="D569" s="88" t="s">
        <v>500</v>
      </c>
      <c r="E569" s="88" t="s">
        <v>740</v>
      </c>
      <c r="F569" s="88" t="s">
        <v>1270</v>
      </c>
      <c r="G569" s="88" t="s">
        <v>1271</v>
      </c>
      <c r="H569" s="88">
        <v>300498479600003</v>
      </c>
      <c r="I569" s="88" t="s">
        <v>776</v>
      </c>
      <c r="J569" s="49">
        <v>2</v>
      </c>
      <c r="K569" s="49">
        <v>1.3</v>
      </c>
      <c r="L569" s="169">
        <f t="shared" si="32"/>
        <v>2.6</v>
      </c>
      <c r="M569" s="169">
        <f t="shared" si="33"/>
        <v>1</v>
      </c>
      <c r="N569" s="169">
        <f t="shared" si="34"/>
        <v>0.39</v>
      </c>
      <c r="O569" s="169">
        <f t="shared" si="35"/>
        <v>2.99</v>
      </c>
      <c r="Z569" s="219"/>
      <c r="AA569" s="219"/>
    </row>
    <row r="570" spans="1:27" x14ac:dyDescent="0.3">
      <c r="A570" s="88">
        <v>568</v>
      </c>
      <c r="B570" s="173">
        <v>367</v>
      </c>
      <c r="C570" s="159"/>
      <c r="D570" s="88" t="s">
        <v>500</v>
      </c>
      <c r="E570" s="88" t="s">
        <v>740</v>
      </c>
      <c r="F570" s="88" t="s">
        <v>1288</v>
      </c>
      <c r="G570" s="88" t="s">
        <v>1271</v>
      </c>
      <c r="H570" s="88">
        <v>300498479600003</v>
      </c>
      <c r="I570" s="88" t="s">
        <v>776</v>
      </c>
      <c r="J570" s="49">
        <v>1</v>
      </c>
      <c r="K570" s="49">
        <v>1</v>
      </c>
      <c r="L570" s="169">
        <f t="shared" si="32"/>
        <v>1</v>
      </c>
      <c r="M570" s="169">
        <f t="shared" si="33"/>
        <v>1</v>
      </c>
      <c r="N570" s="169">
        <f t="shared" si="34"/>
        <v>0.15</v>
      </c>
      <c r="O570" s="169">
        <f t="shared" si="35"/>
        <v>1.1499999999999999</v>
      </c>
      <c r="Z570" s="219"/>
      <c r="AA570" s="219"/>
    </row>
    <row r="571" spans="1:27" x14ac:dyDescent="0.3">
      <c r="A571" s="88">
        <v>569</v>
      </c>
      <c r="B571" s="173">
        <v>367</v>
      </c>
      <c r="C571" s="159"/>
      <c r="D571" s="88" t="s">
        <v>500</v>
      </c>
      <c r="E571" s="88" t="s">
        <v>740</v>
      </c>
      <c r="F571" s="88" t="s">
        <v>1270</v>
      </c>
      <c r="G571" s="88" t="s">
        <v>1271</v>
      </c>
      <c r="H571" s="88">
        <v>300498479600003</v>
      </c>
      <c r="I571" s="88" t="s">
        <v>776</v>
      </c>
      <c r="J571" s="49">
        <v>1.3</v>
      </c>
      <c r="K571" s="49">
        <v>1</v>
      </c>
      <c r="L571" s="169">
        <f t="shared" si="32"/>
        <v>1.3</v>
      </c>
      <c r="M571" s="169">
        <f t="shared" si="33"/>
        <v>1</v>
      </c>
      <c r="N571" s="169">
        <f t="shared" si="34"/>
        <v>0.19500000000000001</v>
      </c>
      <c r="O571" s="169">
        <f t="shared" si="35"/>
        <v>1.4950000000000001</v>
      </c>
      <c r="Z571" s="219"/>
      <c r="AA571" s="219"/>
    </row>
    <row r="572" spans="1:27" x14ac:dyDescent="0.3">
      <c r="A572" s="88">
        <v>570</v>
      </c>
      <c r="B572" s="173">
        <v>368</v>
      </c>
      <c r="C572" s="159"/>
      <c r="D572" s="88" t="s">
        <v>500</v>
      </c>
      <c r="E572" s="88" t="s">
        <v>740</v>
      </c>
      <c r="F572" s="88" t="s">
        <v>1270</v>
      </c>
      <c r="G572" s="88" t="s">
        <v>1271</v>
      </c>
      <c r="H572" s="88">
        <v>300498479600003</v>
      </c>
      <c r="I572" s="88" t="s">
        <v>776</v>
      </c>
      <c r="J572" s="49">
        <v>1</v>
      </c>
      <c r="K572" s="49">
        <v>7</v>
      </c>
      <c r="L572" s="169">
        <f t="shared" si="32"/>
        <v>7</v>
      </c>
      <c r="M572" s="169">
        <f t="shared" si="33"/>
        <v>1</v>
      </c>
      <c r="N572" s="169">
        <f t="shared" si="34"/>
        <v>1.05</v>
      </c>
      <c r="O572" s="169">
        <f t="shared" si="35"/>
        <v>8.0500000000000007</v>
      </c>
      <c r="Z572" s="219"/>
      <c r="AA572" s="219"/>
    </row>
    <row r="573" spans="1:27" x14ac:dyDescent="0.3">
      <c r="A573" s="88">
        <v>571</v>
      </c>
      <c r="B573" s="173">
        <v>369</v>
      </c>
      <c r="C573" s="159"/>
      <c r="D573" s="88" t="s">
        <v>500</v>
      </c>
      <c r="E573" s="88" t="s">
        <v>740</v>
      </c>
      <c r="F573" s="88" t="s">
        <v>1270</v>
      </c>
      <c r="G573" s="88" t="s">
        <v>1271</v>
      </c>
      <c r="H573" s="88">
        <v>300498479600003</v>
      </c>
      <c r="I573" s="88" t="s">
        <v>776</v>
      </c>
      <c r="J573" s="49">
        <v>7</v>
      </c>
      <c r="K573" s="49">
        <v>1</v>
      </c>
      <c r="L573" s="169">
        <f t="shared" si="32"/>
        <v>7</v>
      </c>
      <c r="M573" s="169">
        <f t="shared" si="33"/>
        <v>1</v>
      </c>
      <c r="N573" s="169">
        <f t="shared" si="34"/>
        <v>1.05</v>
      </c>
      <c r="O573" s="169">
        <f t="shared" si="35"/>
        <v>8.0500000000000007</v>
      </c>
      <c r="Z573" s="219"/>
      <c r="AA573" s="219"/>
    </row>
    <row r="574" spans="1:27" x14ac:dyDescent="0.3">
      <c r="A574" s="88">
        <v>572</v>
      </c>
      <c r="B574" s="173">
        <v>370</v>
      </c>
      <c r="C574" s="159"/>
      <c r="D574" s="88" t="s">
        <v>500</v>
      </c>
      <c r="E574" s="88" t="s">
        <v>740</v>
      </c>
      <c r="F574" s="88" t="s">
        <v>1270</v>
      </c>
      <c r="G574" s="88" t="s">
        <v>1271</v>
      </c>
      <c r="H574" s="88">
        <v>300498479600003</v>
      </c>
      <c r="I574" s="88" t="s">
        <v>776</v>
      </c>
      <c r="J574" s="49">
        <v>2</v>
      </c>
      <c r="K574" s="49">
        <v>1.3</v>
      </c>
      <c r="L574" s="169">
        <f t="shared" si="32"/>
        <v>2.6</v>
      </c>
      <c r="M574" s="169">
        <f t="shared" si="33"/>
        <v>1</v>
      </c>
      <c r="N574" s="169">
        <f t="shared" si="34"/>
        <v>0.39</v>
      </c>
      <c r="O574" s="169">
        <f t="shared" si="35"/>
        <v>2.99</v>
      </c>
      <c r="Z574" s="219"/>
      <c r="AA574" s="219"/>
    </row>
    <row r="575" spans="1:27" x14ac:dyDescent="0.3">
      <c r="A575" s="88">
        <v>573</v>
      </c>
      <c r="B575" s="173">
        <v>370</v>
      </c>
      <c r="C575" s="159"/>
      <c r="D575" s="88" t="s">
        <v>500</v>
      </c>
      <c r="E575" s="88" t="s">
        <v>740</v>
      </c>
      <c r="F575" s="88" t="s">
        <v>1270</v>
      </c>
      <c r="G575" s="88" t="s">
        <v>1271</v>
      </c>
      <c r="H575" s="88">
        <v>300498479600003</v>
      </c>
      <c r="I575" s="88" t="s">
        <v>776</v>
      </c>
      <c r="J575" s="49">
        <v>5</v>
      </c>
      <c r="K575" s="49">
        <v>1</v>
      </c>
      <c r="L575" s="169">
        <f t="shared" si="32"/>
        <v>5</v>
      </c>
      <c r="M575" s="169">
        <f t="shared" si="33"/>
        <v>1</v>
      </c>
      <c r="N575" s="169">
        <f t="shared" si="34"/>
        <v>0.75</v>
      </c>
      <c r="O575" s="169">
        <f t="shared" si="35"/>
        <v>5.75</v>
      </c>
      <c r="Z575" s="219"/>
      <c r="AA575" s="219"/>
    </row>
    <row r="576" spans="1:27" x14ac:dyDescent="0.3">
      <c r="A576" s="88">
        <v>574</v>
      </c>
      <c r="B576" s="173">
        <v>371</v>
      </c>
      <c r="C576" s="159"/>
      <c r="D576" s="88" t="s">
        <v>500</v>
      </c>
      <c r="E576" s="88" t="s">
        <v>740</v>
      </c>
      <c r="F576" s="88" t="s">
        <v>1270</v>
      </c>
      <c r="G576" s="88" t="s">
        <v>1271</v>
      </c>
      <c r="H576" s="88">
        <v>300498479600003</v>
      </c>
      <c r="I576" s="88" t="s">
        <v>776</v>
      </c>
      <c r="J576" s="49">
        <v>2</v>
      </c>
      <c r="K576" s="49">
        <v>1.3</v>
      </c>
      <c r="L576" s="169">
        <f t="shared" si="32"/>
        <v>2.6</v>
      </c>
      <c r="M576" s="169">
        <f t="shared" si="33"/>
        <v>1</v>
      </c>
      <c r="N576" s="169">
        <f t="shared" si="34"/>
        <v>0.39</v>
      </c>
      <c r="O576" s="169">
        <f t="shared" si="35"/>
        <v>2.99</v>
      </c>
      <c r="Z576" s="219"/>
      <c r="AA576" s="219"/>
    </row>
    <row r="577" spans="1:27" x14ac:dyDescent="0.3">
      <c r="A577" s="88">
        <v>575</v>
      </c>
      <c r="B577" s="173">
        <v>371</v>
      </c>
      <c r="C577" s="159"/>
      <c r="D577" s="88" t="s">
        <v>500</v>
      </c>
      <c r="E577" s="88" t="s">
        <v>740</v>
      </c>
      <c r="F577" s="88" t="s">
        <v>1288</v>
      </c>
      <c r="G577" s="88" t="s">
        <v>1271</v>
      </c>
      <c r="H577" s="88">
        <v>300498479600003</v>
      </c>
      <c r="I577" s="88" t="s">
        <v>776</v>
      </c>
      <c r="J577" s="49">
        <v>1</v>
      </c>
      <c r="K577" s="49">
        <v>1</v>
      </c>
      <c r="L577" s="169">
        <f t="shared" si="32"/>
        <v>1</v>
      </c>
      <c r="M577" s="169">
        <f t="shared" si="33"/>
        <v>1</v>
      </c>
      <c r="N577" s="169">
        <f t="shared" si="34"/>
        <v>0.15</v>
      </c>
      <c r="O577" s="169">
        <f t="shared" si="35"/>
        <v>1.1499999999999999</v>
      </c>
      <c r="Z577" s="219"/>
      <c r="AA577" s="219"/>
    </row>
    <row r="578" spans="1:27" x14ac:dyDescent="0.3">
      <c r="A578" s="88">
        <v>576</v>
      </c>
      <c r="B578" s="173">
        <v>372</v>
      </c>
      <c r="C578" s="159"/>
      <c r="D578" s="88" t="s">
        <v>500</v>
      </c>
      <c r="E578" s="88" t="s">
        <v>740</v>
      </c>
      <c r="F578" s="88" t="s">
        <v>1270</v>
      </c>
      <c r="G578" s="88" t="s">
        <v>1271</v>
      </c>
      <c r="H578" s="88">
        <v>300498479600003</v>
      </c>
      <c r="I578" s="88" t="s">
        <v>776</v>
      </c>
      <c r="J578" s="49">
        <v>8</v>
      </c>
      <c r="K578" s="49">
        <v>1</v>
      </c>
      <c r="L578" s="169">
        <f t="shared" si="32"/>
        <v>8</v>
      </c>
      <c r="M578" s="169">
        <f t="shared" si="33"/>
        <v>1</v>
      </c>
      <c r="N578" s="169">
        <f t="shared" si="34"/>
        <v>1.2</v>
      </c>
      <c r="O578" s="169">
        <f t="shared" si="35"/>
        <v>9.1999999999999993</v>
      </c>
      <c r="Z578" s="219"/>
      <c r="AA578" s="219"/>
    </row>
    <row r="579" spans="1:27" x14ac:dyDescent="0.3">
      <c r="A579" s="88">
        <v>577</v>
      </c>
      <c r="B579" s="173">
        <v>373</v>
      </c>
      <c r="C579" s="159"/>
      <c r="D579" s="88" t="s">
        <v>500</v>
      </c>
      <c r="E579" s="88" t="s">
        <v>740</v>
      </c>
      <c r="F579" s="88" t="s">
        <v>1270</v>
      </c>
      <c r="G579" s="88" t="s">
        <v>1271</v>
      </c>
      <c r="H579" s="88">
        <v>300498479600003</v>
      </c>
      <c r="I579" s="88" t="s">
        <v>776</v>
      </c>
      <c r="J579" s="49">
        <v>7</v>
      </c>
      <c r="K579" s="49">
        <v>1</v>
      </c>
      <c r="L579" s="169">
        <f t="shared" si="32"/>
        <v>7</v>
      </c>
      <c r="M579" s="169">
        <f t="shared" si="33"/>
        <v>1</v>
      </c>
      <c r="N579" s="169">
        <f t="shared" si="34"/>
        <v>1.05</v>
      </c>
      <c r="O579" s="169">
        <f t="shared" si="35"/>
        <v>8.0500000000000007</v>
      </c>
      <c r="Z579" s="219"/>
      <c r="AA579" s="219"/>
    </row>
    <row r="580" spans="1:27" x14ac:dyDescent="0.3">
      <c r="A580" s="88">
        <v>578</v>
      </c>
      <c r="B580" s="173">
        <v>374</v>
      </c>
      <c r="C580" s="159"/>
      <c r="D580" s="88" t="s">
        <v>500</v>
      </c>
      <c r="E580" s="88" t="s">
        <v>740</v>
      </c>
      <c r="F580" s="88" t="s">
        <v>1270</v>
      </c>
      <c r="G580" s="88" t="s">
        <v>1271</v>
      </c>
      <c r="H580" s="88">
        <v>300498479600003</v>
      </c>
      <c r="I580" s="88" t="s">
        <v>776</v>
      </c>
      <c r="J580" s="49">
        <v>18</v>
      </c>
      <c r="K580" s="49">
        <v>1</v>
      </c>
      <c r="L580" s="169">
        <f t="shared" si="32"/>
        <v>18</v>
      </c>
      <c r="M580" s="169">
        <f t="shared" si="33"/>
        <v>1</v>
      </c>
      <c r="N580" s="169">
        <f t="shared" si="34"/>
        <v>2.6999999999999997</v>
      </c>
      <c r="O580" s="169">
        <f t="shared" si="35"/>
        <v>20.7</v>
      </c>
      <c r="Z580" s="219"/>
      <c r="AA580" s="219"/>
    </row>
    <row r="581" spans="1:27" x14ac:dyDescent="0.3">
      <c r="A581" s="88">
        <v>579</v>
      </c>
      <c r="B581" s="173">
        <v>375</v>
      </c>
      <c r="C581" s="159"/>
      <c r="D581" s="88" t="s">
        <v>500</v>
      </c>
      <c r="E581" s="88" t="s">
        <v>740</v>
      </c>
      <c r="F581" s="88" t="s">
        <v>1270</v>
      </c>
      <c r="G581" s="88" t="s">
        <v>1271</v>
      </c>
      <c r="H581" s="88">
        <v>300498479600003</v>
      </c>
      <c r="I581" s="88" t="s">
        <v>776</v>
      </c>
      <c r="J581" s="49">
        <v>1</v>
      </c>
      <c r="K581" s="49">
        <v>1.3</v>
      </c>
      <c r="L581" s="169">
        <f t="shared" ref="L581:L644" si="36">K581*J581</f>
        <v>1.3</v>
      </c>
      <c r="M581" s="169">
        <f t="shared" ref="M581:M644" si="37">IF(H581="",0,1)</f>
        <v>1</v>
      </c>
      <c r="N581" s="169">
        <f t="shared" ref="N581:N644" si="38">M581*L581*15%</f>
        <v>0.19500000000000001</v>
      </c>
      <c r="O581" s="169">
        <f t="shared" ref="O581:O644" si="39">N581+L581</f>
        <v>1.4950000000000001</v>
      </c>
      <c r="Z581" s="219"/>
      <c r="AA581" s="219"/>
    </row>
    <row r="582" spans="1:27" x14ac:dyDescent="0.3">
      <c r="A582" s="88">
        <v>580</v>
      </c>
      <c r="B582" s="173">
        <v>376</v>
      </c>
      <c r="C582" s="159"/>
      <c r="D582" s="88" t="s">
        <v>500</v>
      </c>
      <c r="E582" s="88" t="s">
        <v>715</v>
      </c>
      <c r="F582" s="88" t="s">
        <v>1279</v>
      </c>
      <c r="G582" s="88" t="s">
        <v>1280</v>
      </c>
      <c r="H582" s="88">
        <v>300844969700003</v>
      </c>
      <c r="I582" s="88"/>
      <c r="J582" s="49">
        <v>1</v>
      </c>
      <c r="K582" s="49">
        <v>6.0869999999999997</v>
      </c>
      <c r="L582" s="169">
        <f t="shared" si="36"/>
        <v>6.0869999999999997</v>
      </c>
      <c r="M582" s="169">
        <f t="shared" si="37"/>
        <v>1</v>
      </c>
      <c r="N582" s="169">
        <f t="shared" si="38"/>
        <v>0.91304999999999992</v>
      </c>
      <c r="O582" s="169">
        <f t="shared" si="39"/>
        <v>7.0000499999999999</v>
      </c>
      <c r="Z582" s="219"/>
      <c r="AA582" s="219"/>
    </row>
    <row r="583" spans="1:27" x14ac:dyDescent="0.3">
      <c r="A583" s="88">
        <v>581</v>
      </c>
      <c r="B583" s="173">
        <v>377</v>
      </c>
      <c r="C583" s="159"/>
      <c r="D583" s="88" t="s">
        <v>500</v>
      </c>
      <c r="E583" s="88" t="s">
        <v>743</v>
      </c>
      <c r="F583" s="88" t="s">
        <v>1290</v>
      </c>
      <c r="G583" s="88" t="s">
        <v>1291</v>
      </c>
      <c r="H583" s="88">
        <v>311285675700003</v>
      </c>
      <c r="I583" s="88"/>
      <c r="J583" s="49">
        <v>1</v>
      </c>
      <c r="K583" s="49">
        <v>345</v>
      </c>
      <c r="L583" s="169">
        <f t="shared" si="36"/>
        <v>345</v>
      </c>
      <c r="M583" s="169">
        <f t="shared" si="37"/>
        <v>1</v>
      </c>
      <c r="N583" s="169">
        <f t="shared" si="38"/>
        <v>51.75</v>
      </c>
      <c r="O583" s="169">
        <f t="shared" si="39"/>
        <v>396.75</v>
      </c>
      <c r="Z583" s="219"/>
      <c r="AA583" s="219"/>
    </row>
    <row r="584" spans="1:27" x14ac:dyDescent="0.3">
      <c r="A584" s="88">
        <v>582</v>
      </c>
      <c r="B584" s="173">
        <v>377</v>
      </c>
      <c r="C584" s="159"/>
      <c r="D584" s="88" t="s">
        <v>500</v>
      </c>
      <c r="E584" s="88" t="s">
        <v>743</v>
      </c>
      <c r="F584" s="88" t="s">
        <v>1292</v>
      </c>
      <c r="G584" s="88" t="s">
        <v>1291</v>
      </c>
      <c r="H584" s="88">
        <v>311285675700003</v>
      </c>
      <c r="I584" s="88"/>
      <c r="J584" s="49">
        <v>2</v>
      </c>
      <c r="K584" s="49">
        <v>315</v>
      </c>
      <c r="L584" s="169">
        <f t="shared" si="36"/>
        <v>630</v>
      </c>
      <c r="M584" s="169">
        <f t="shared" si="37"/>
        <v>1</v>
      </c>
      <c r="N584" s="169">
        <f t="shared" si="38"/>
        <v>94.5</v>
      </c>
      <c r="O584" s="169">
        <f t="shared" si="39"/>
        <v>724.5</v>
      </c>
      <c r="Z584" s="219"/>
      <c r="AA584" s="219"/>
    </row>
    <row r="585" spans="1:27" x14ac:dyDescent="0.3">
      <c r="A585" s="88">
        <v>583</v>
      </c>
      <c r="B585" s="173">
        <v>378</v>
      </c>
      <c r="C585" s="159"/>
      <c r="D585" s="88" t="s">
        <v>500</v>
      </c>
      <c r="E585" s="88" t="s">
        <v>789</v>
      </c>
      <c r="F585" s="88" t="s">
        <v>1206</v>
      </c>
      <c r="G585" s="88" t="s">
        <v>1201</v>
      </c>
      <c r="H585" s="88">
        <v>310193267800003</v>
      </c>
      <c r="I585" s="88" t="s">
        <v>729</v>
      </c>
      <c r="J585" s="49">
        <v>1</v>
      </c>
      <c r="K585" s="49">
        <v>190</v>
      </c>
      <c r="L585" s="169">
        <f t="shared" si="36"/>
        <v>190</v>
      </c>
      <c r="M585" s="169">
        <f t="shared" si="37"/>
        <v>1</v>
      </c>
      <c r="N585" s="169">
        <f t="shared" si="38"/>
        <v>28.5</v>
      </c>
      <c r="O585" s="169">
        <f t="shared" si="39"/>
        <v>218.5</v>
      </c>
      <c r="Z585" s="219"/>
      <c r="AA585" s="219"/>
    </row>
    <row r="586" spans="1:27" x14ac:dyDescent="0.3">
      <c r="A586" s="88">
        <v>584</v>
      </c>
      <c r="B586" s="173">
        <v>378</v>
      </c>
      <c r="C586" s="159"/>
      <c r="D586" s="88" t="s">
        <v>500</v>
      </c>
      <c r="E586" s="88" t="s">
        <v>789</v>
      </c>
      <c r="F586" s="88" t="s">
        <v>1293</v>
      </c>
      <c r="G586" s="88" t="s">
        <v>1201</v>
      </c>
      <c r="H586" s="88">
        <v>310193267800003</v>
      </c>
      <c r="I586" s="88" t="s">
        <v>729</v>
      </c>
      <c r="J586" s="49">
        <v>2</v>
      </c>
      <c r="K586" s="49">
        <v>53</v>
      </c>
      <c r="L586" s="169">
        <f t="shared" si="36"/>
        <v>106</v>
      </c>
      <c r="M586" s="169">
        <f t="shared" si="37"/>
        <v>1</v>
      </c>
      <c r="N586" s="169">
        <f t="shared" si="38"/>
        <v>15.899999999999999</v>
      </c>
      <c r="O586" s="169">
        <f t="shared" si="39"/>
        <v>121.9</v>
      </c>
      <c r="Z586" s="219"/>
      <c r="AA586" s="219"/>
    </row>
    <row r="587" spans="1:27" x14ac:dyDescent="0.3">
      <c r="A587" s="88">
        <v>585</v>
      </c>
      <c r="B587" s="173">
        <v>378</v>
      </c>
      <c r="C587" s="159"/>
      <c r="D587" s="88" t="s">
        <v>500</v>
      </c>
      <c r="E587" s="88" t="s">
        <v>789</v>
      </c>
      <c r="F587" s="88" t="s">
        <v>1294</v>
      </c>
      <c r="G587" s="88" t="s">
        <v>1201</v>
      </c>
      <c r="H587" s="88">
        <v>310193267800003</v>
      </c>
      <c r="I587" s="88" t="s">
        <v>729</v>
      </c>
      <c r="J587" s="49">
        <v>1</v>
      </c>
      <c r="K587" s="49">
        <v>85</v>
      </c>
      <c r="L587" s="169">
        <f t="shared" si="36"/>
        <v>85</v>
      </c>
      <c r="M587" s="169">
        <f t="shared" si="37"/>
        <v>1</v>
      </c>
      <c r="N587" s="169">
        <f t="shared" si="38"/>
        <v>12.75</v>
      </c>
      <c r="O587" s="169">
        <f t="shared" si="39"/>
        <v>97.75</v>
      </c>
      <c r="Z587" s="219"/>
      <c r="AA587" s="219"/>
    </row>
    <row r="588" spans="1:27" x14ac:dyDescent="0.3">
      <c r="A588" s="88">
        <v>586</v>
      </c>
      <c r="B588" s="173">
        <v>378</v>
      </c>
      <c r="C588" s="159"/>
      <c r="D588" s="88" t="s">
        <v>500</v>
      </c>
      <c r="E588" s="88" t="s">
        <v>789</v>
      </c>
      <c r="F588" s="88" t="s">
        <v>1205</v>
      </c>
      <c r="G588" s="88" t="s">
        <v>1201</v>
      </c>
      <c r="H588" s="88">
        <v>310193267800003</v>
      </c>
      <c r="I588" s="88" t="s">
        <v>729</v>
      </c>
      <c r="J588" s="49">
        <v>3</v>
      </c>
      <c r="K588" s="49">
        <v>50</v>
      </c>
      <c r="L588" s="169">
        <f t="shared" si="36"/>
        <v>150</v>
      </c>
      <c r="M588" s="169">
        <f t="shared" si="37"/>
        <v>1</v>
      </c>
      <c r="N588" s="169">
        <f t="shared" si="38"/>
        <v>22.5</v>
      </c>
      <c r="O588" s="169">
        <f t="shared" si="39"/>
        <v>172.5</v>
      </c>
      <c r="Z588" s="219"/>
      <c r="AA588" s="219"/>
    </row>
    <row r="589" spans="1:27" x14ac:dyDescent="0.3">
      <c r="A589" s="88">
        <v>587</v>
      </c>
      <c r="B589" s="173">
        <v>378</v>
      </c>
      <c r="C589" s="159"/>
      <c r="D589" s="88" t="s">
        <v>500</v>
      </c>
      <c r="E589" s="88" t="s">
        <v>789</v>
      </c>
      <c r="F589" s="88" t="s">
        <v>1295</v>
      </c>
      <c r="G589" s="88" t="s">
        <v>1201</v>
      </c>
      <c r="H589" s="88">
        <v>310193267800003</v>
      </c>
      <c r="I589" s="88" t="s">
        <v>1202</v>
      </c>
      <c r="J589" s="49">
        <v>1</v>
      </c>
      <c r="K589" s="49">
        <v>50</v>
      </c>
      <c r="L589" s="169">
        <f t="shared" si="36"/>
        <v>50</v>
      </c>
      <c r="M589" s="169">
        <v>1</v>
      </c>
      <c r="N589" s="169">
        <f t="shared" si="38"/>
        <v>7.5</v>
      </c>
      <c r="O589" s="169">
        <f t="shared" si="39"/>
        <v>57.5</v>
      </c>
      <c r="Z589" s="219"/>
      <c r="AA589" s="219"/>
    </row>
    <row r="590" spans="1:27" x14ac:dyDescent="0.3">
      <c r="A590" s="88">
        <v>588</v>
      </c>
      <c r="B590" s="173">
        <v>378</v>
      </c>
      <c r="C590" s="159"/>
      <c r="D590" s="88" t="s">
        <v>500</v>
      </c>
      <c r="E590" s="88" t="s">
        <v>789</v>
      </c>
      <c r="F590" s="88" t="s">
        <v>1296</v>
      </c>
      <c r="G590" s="88" t="s">
        <v>1201</v>
      </c>
      <c r="H590" s="88">
        <v>310193267800003</v>
      </c>
      <c r="I590" s="88" t="s">
        <v>729</v>
      </c>
      <c r="J590" s="49">
        <v>1</v>
      </c>
      <c r="K590" s="49">
        <v>347</v>
      </c>
      <c r="L590" s="169">
        <f t="shared" si="36"/>
        <v>347</v>
      </c>
      <c r="M590" s="169">
        <v>1</v>
      </c>
      <c r="N590" s="169">
        <f t="shared" si="38"/>
        <v>52.05</v>
      </c>
      <c r="O590" s="169">
        <f t="shared" si="39"/>
        <v>399.05</v>
      </c>
      <c r="Z590" s="219"/>
      <c r="AA590" s="219"/>
    </row>
    <row r="591" spans="1:27" x14ac:dyDescent="0.3">
      <c r="A591" s="88">
        <v>589</v>
      </c>
      <c r="B591" s="173">
        <v>378</v>
      </c>
      <c r="C591" s="159"/>
      <c r="D591" s="88" t="s">
        <v>500</v>
      </c>
      <c r="E591" s="88" t="s">
        <v>789</v>
      </c>
      <c r="F591" s="88" t="s">
        <v>1297</v>
      </c>
      <c r="G591" s="88" t="s">
        <v>1201</v>
      </c>
      <c r="H591" s="88">
        <v>310193267800003</v>
      </c>
      <c r="I591" s="88" t="s">
        <v>729</v>
      </c>
      <c r="J591" s="49">
        <v>1</v>
      </c>
      <c r="K591" s="49">
        <v>292</v>
      </c>
      <c r="L591" s="169">
        <f t="shared" si="36"/>
        <v>292</v>
      </c>
      <c r="M591" s="169">
        <v>1</v>
      </c>
      <c r="N591" s="169">
        <f t="shared" si="38"/>
        <v>43.8</v>
      </c>
      <c r="O591" s="169">
        <f t="shared" si="39"/>
        <v>335.8</v>
      </c>
      <c r="Z591" s="219"/>
      <c r="AA591" s="219"/>
    </row>
    <row r="592" spans="1:27" x14ac:dyDescent="0.3">
      <c r="A592" s="88">
        <v>590</v>
      </c>
      <c r="B592" s="173">
        <v>379</v>
      </c>
      <c r="C592" s="159"/>
      <c r="D592" s="88" t="s">
        <v>500</v>
      </c>
      <c r="E592" s="88" t="s">
        <v>820</v>
      </c>
      <c r="F592" s="88" t="s">
        <v>1298</v>
      </c>
      <c r="G592" s="88" t="s">
        <v>1299</v>
      </c>
      <c r="H592" s="88">
        <v>300070469900003</v>
      </c>
      <c r="I592" s="88" t="s">
        <v>1300</v>
      </c>
      <c r="J592" s="49">
        <v>14.88</v>
      </c>
      <c r="K592" s="49">
        <v>28</v>
      </c>
      <c r="L592" s="169">
        <f t="shared" si="36"/>
        <v>416.64000000000004</v>
      </c>
      <c r="M592" s="169">
        <v>1</v>
      </c>
      <c r="N592" s="169">
        <f t="shared" si="38"/>
        <v>62.496000000000002</v>
      </c>
      <c r="O592" s="169">
        <f>N592+L592</f>
        <v>479.13600000000002</v>
      </c>
      <c r="Z592" s="219"/>
      <c r="AA592" s="219"/>
    </row>
    <row r="593" spans="1:27" x14ac:dyDescent="0.3">
      <c r="A593" s="88">
        <v>591</v>
      </c>
      <c r="B593" s="173">
        <v>380</v>
      </c>
      <c r="C593" s="159"/>
      <c r="D593" s="88" t="s">
        <v>500</v>
      </c>
      <c r="E593" s="88" t="s">
        <v>763</v>
      </c>
      <c r="F593" s="88" t="s">
        <v>1263</v>
      </c>
      <c r="G593" s="88" t="s">
        <v>1301</v>
      </c>
      <c r="H593" s="88">
        <v>300053476600003</v>
      </c>
      <c r="I593" s="88" t="s">
        <v>776</v>
      </c>
      <c r="J593" s="49">
        <v>10</v>
      </c>
      <c r="K593" s="49">
        <v>78.260999999999996</v>
      </c>
      <c r="L593" s="169">
        <f t="shared" si="36"/>
        <v>782.6099999999999</v>
      </c>
      <c r="M593" s="169">
        <v>1</v>
      </c>
      <c r="N593" s="169">
        <f t="shared" si="38"/>
        <v>117.39149999999998</v>
      </c>
      <c r="O593" s="169">
        <f t="shared" si="39"/>
        <v>900.00149999999985</v>
      </c>
      <c r="Z593" s="219"/>
      <c r="AA593" s="219"/>
    </row>
    <row r="594" spans="1:27" x14ac:dyDescent="0.3">
      <c r="A594" s="88">
        <v>592</v>
      </c>
      <c r="B594" s="173">
        <v>381</v>
      </c>
      <c r="C594" s="159"/>
      <c r="D594" s="88" t="s">
        <v>500</v>
      </c>
      <c r="E594" s="88" t="s">
        <v>763</v>
      </c>
      <c r="F594" s="88" t="s">
        <v>1302</v>
      </c>
      <c r="G594" s="88" t="s">
        <v>1303</v>
      </c>
      <c r="H594" s="88">
        <v>300053476600003</v>
      </c>
      <c r="I594" s="88" t="s">
        <v>1304</v>
      </c>
      <c r="J594" s="49">
        <v>1</v>
      </c>
      <c r="K594" s="49">
        <v>130.435</v>
      </c>
      <c r="L594" s="169">
        <f>K594*J594</f>
        <v>130.435</v>
      </c>
      <c r="M594" s="169">
        <v>1</v>
      </c>
      <c r="N594" s="169">
        <f t="shared" si="38"/>
        <v>19.565249999999999</v>
      </c>
      <c r="O594" s="169">
        <f t="shared" si="39"/>
        <v>150.00024999999999</v>
      </c>
      <c r="Z594" s="219"/>
      <c r="AA594" s="219"/>
    </row>
    <row r="595" spans="1:27" x14ac:dyDescent="0.3">
      <c r="A595" s="88">
        <v>593</v>
      </c>
      <c r="B595" s="173">
        <v>382</v>
      </c>
      <c r="C595" s="159"/>
      <c r="D595" s="88" t="s">
        <v>500</v>
      </c>
      <c r="E595" s="88" t="s">
        <v>820</v>
      </c>
      <c r="F595" s="88" t="s">
        <v>1305</v>
      </c>
      <c r="G595" s="88" t="s">
        <v>1289</v>
      </c>
      <c r="H595" s="88">
        <v>310039795100003</v>
      </c>
      <c r="I595" s="88" t="s">
        <v>1306</v>
      </c>
      <c r="J595" s="49">
        <v>86.63</v>
      </c>
      <c r="K595" s="49">
        <v>26</v>
      </c>
      <c r="L595" s="169">
        <f t="shared" si="36"/>
        <v>2252.38</v>
      </c>
      <c r="M595" s="169">
        <v>1</v>
      </c>
      <c r="N595" s="169">
        <f t="shared" si="38"/>
        <v>337.85700000000003</v>
      </c>
      <c r="O595" s="169">
        <f t="shared" si="39"/>
        <v>2590.2370000000001</v>
      </c>
      <c r="Z595" s="219"/>
      <c r="AA595" s="219"/>
    </row>
    <row r="596" spans="1:27" x14ac:dyDescent="0.3">
      <c r="A596" s="88">
        <v>594</v>
      </c>
      <c r="B596" s="173">
        <v>382</v>
      </c>
      <c r="C596" s="159"/>
      <c r="D596" s="88" t="s">
        <v>500</v>
      </c>
      <c r="E596" s="88" t="s">
        <v>820</v>
      </c>
      <c r="F596" s="88" t="s">
        <v>1307</v>
      </c>
      <c r="G596" s="88" t="s">
        <v>1289</v>
      </c>
      <c r="H596" s="88">
        <v>310039795100003</v>
      </c>
      <c r="I596" s="88" t="s">
        <v>1306</v>
      </c>
      <c r="J596" s="49">
        <v>41</v>
      </c>
      <c r="K596" s="49">
        <v>3</v>
      </c>
      <c r="L596" s="169">
        <f t="shared" si="36"/>
        <v>123</v>
      </c>
      <c r="M596" s="169">
        <v>1</v>
      </c>
      <c r="N596" s="169">
        <f t="shared" si="38"/>
        <v>18.45</v>
      </c>
      <c r="O596" s="169">
        <f t="shared" si="39"/>
        <v>141.44999999999999</v>
      </c>
      <c r="Z596" s="219"/>
      <c r="AA596" s="219"/>
    </row>
    <row r="597" spans="1:27" x14ac:dyDescent="0.3">
      <c r="A597" s="88">
        <v>595</v>
      </c>
      <c r="B597" s="173">
        <v>383</v>
      </c>
      <c r="C597" s="159"/>
      <c r="D597" s="88" t="s">
        <v>500</v>
      </c>
      <c r="E597" s="88" t="s">
        <v>820</v>
      </c>
      <c r="F597" s="88" t="s">
        <v>1307</v>
      </c>
      <c r="G597" s="88" t="s">
        <v>1289</v>
      </c>
      <c r="H597" s="88">
        <v>310039795100003</v>
      </c>
      <c r="I597" s="88" t="s">
        <v>1306</v>
      </c>
      <c r="J597" s="49">
        <v>41</v>
      </c>
      <c r="K597" s="49">
        <v>-3</v>
      </c>
      <c r="L597" s="169">
        <f t="shared" si="36"/>
        <v>-123</v>
      </c>
      <c r="M597" s="169">
        <v>1</v>
      </c>
      <c r="N597" s="169">
        <f t="shared" si="38"/>
        <v>-18.45</v>
      </c>
      <c r="O597" s="169">
        <f t="shared" si="39"/>
        <v>-141.44999999999999</v>
      </c>
      <c r="Z597" s="219"/>
      <c r="AA597" s="219"/>
    </row>
    <row r="598" spans="1:27" x14ac:dyDescent="0.3">
      <c r="A598" s="88">
        <v>596</v>
      </c>
      <c r="B598" s="173">
        <v>384</v>
      </c>
      <c r="C598" s="159"/>
      <c r="D598" s="88" t="s">
        <v>500</v>
      </c>
      <c r="E598" s="88" t="s">
        <v>789</v>
      </c>
      <c r="F598" s="88" t="s">
        <v>1308</v>
      </c>
      <c r="G598" s="88" t="s">
        <v>1309</v>
      </c>
      <c r="H598" s="88">
        <v>310160083800003</v>
      </c>
      <c r="I598" s="88"/>
      <c r="J598" s="49">
        <v>1</v>
      </c>
      <c r="K598" s="49">
        <v>43.48</v>
      </c>
      <c r="L598" s="169">
        <f>K598*J598</f>
        <v>43.48</v>
      </c>
      <c r="M598" s="169">
        <v>1</v>
      </c>
      <c r="N598" s="169">
        <f t="shared" si="38"/>
        <v>6.5219999999999994</v>
      </c>
      <c r="O598" s="169">
        <f t="shared" si="39"/>
        <v>50.001999999999995</v>
      </c>
      <c r="Z598" s="219"/>
      <c r="AA598" s="219"/>
    </row>
    <row r="599" spans="1:27" x14ac:dyDescent="0.3">
      <c r="A599" s="88">
        <v>597</v>
      </c>
      <c r="B599" s="173">
        <v>384</v>
      </c>
      <c r="C599" s="159"/>
      <c r="D599" s="88" t="s">
        <v>500</v>
      </c>
      <c r="E599" s="88" t="s">
        <v>789</v>
      </c>
      <c r="F599" s="88" t="s">
        <v>1310</v>
      </c>
      <c r="G599" s="88" t="s">
        <v>1309</v>
      </c>
      <c r="H599" s="88">
        <v>310160083800003</v>
      </c>
      <c r="I599" s="88"/>
      <c r="J599" s="49">
        <v>2</v>
      </c>
      <c r="K599" s="49">
        <v>47.826000000000001</v>
      </c>
      <c r="L599" s="169">
        <f>K599*J599</f>
        <v>95.652000000000001</v>
      </c>
      <c r="M599" s="169">
        <f>IF(H599="",0,1)</f>
        <v>1</v>
      </c>
      <c r="N599" s="169">
        <f t="shared" si="38"/>
        <v>14.347799999999999</v>
      </c>
      <c r="O599" s="169">
        <f t="shared" si="39"/>
        <v>109.99979999999999</v>
      </c>
      <c r="Z599" s="219"/>
      <c r="AA599" s="219"/>
    </row>
    <row r="600" spans="1:27" x14ac:dyDescent="0.3">
      <c r="A600" s="88">
        <v>598</v>
      </c>
      <c r="B600" s="173">
        <v>385</v>
      </c>
      <c r="C600" s="159"/>
      <c r="D600" s="88" t="s">
        <v>500</v>
      </c>
      <c r="E600" s="88" t="s">
        <v>1017</v>
      </c>
      <c r="F600" s="88" t="s">
        <v>1311</v>
      </c>
      <c r="G600" s="88" t="s">
        <v>1312</v>
      </c>
      <c r="H600" s="88">
        <v>311372934300003</v>
      </c>
      <c r="I600" s="88"/>
      <c r="J600" s="49">
        <v>1</v>
      </c>
      <c r="K600" s="49">
        <v>647.83000000000004</v>
      </c>
      <c r="L600" s="169">
        <f>K600*J600</f>
        <v>647.83000000000004</v>
      </c>
      <c r="M600" s="169">
        <f t="shared" si="37"/>
        <v>1</v>
      </c>
      <c r="N600" s="169">
        <f>M600*L600*15%</f>
        <v>97.174500000000009</v>
      </c>
      <c r="O600" s="169">
        <f>N600+L600</f>
        <v>745.00450000000001</v>
      </c>
      <c r="Z600" s="219"/>
      <c r="AA600" s="219"/>
    </row>
    <row r="601" spans="1:27" x14ac:dyDescent="0.3">
      <c r="A601" s="88">
        <v>599</v>
      </c>
      <c r="B601" s="173">
        <v>386</v>
      </c>
      <c r="C601" s="159"/>
      <c r="D601" s="88" t="s">
        <v>500</v>
      </c>
      <c r="E601" s="88" t="s">
        <v>820</v>
      </c>
      <c r="F601" s="88" t="s">
        <v>1132</v>
      </c>
      <c r="G601" s="88" t="s">
        <v>1313</v>
      </c>
      <c r="H601" s="88">
        <v>300570104100003</v>
      </c>
      <c r="I601" s="88"/>
      <c r="J601" s="49">
        <v>2.52</v>
      </c>
      <c r="K601" s="49">
        <v>26.09</v>
      </c>
      <c r="L601" s="169">
        <f t="shared" si="36"/>
        <v>65.746799999999993</v>
      </c>
      <c r="M601" s="169">
        <f t="shared" si="37"/>
        <v>1</v>
      </c>
      <c r="N601" s="169">
        <f t="shared" si="38"/>
        <v>9.8620199999999993</v>
      </c>
      <c r="O601" s="169">
        <f t="shared" si="39"/>
        <v>75.608819999999994</v>
      </c>
      <c r="Z601" s="219"/>
      <c r="AA601" s="219"/>
    </row>
    <row r="602" spans="1:27" x14ac:dyDescent="0.3">
      <c r="A602" s="88">
        <v>600</v>
      </c>
      <c r="B602" s="173">
        <v>387</v>
      </c>
      <c r="C602" s="159"/>
      <c r="D602" s="88" t="s">
        <v>500</v>
      </c>
      <c r="E602" s="88" t="s">
        <v>771</v>
      </c>
      <c r="F602" s="88" t="s">
        <v>1314</v>
      </c>
      <c r="G602" s="88" t="s">
        <v>1268</v>
      </c>
      <c r="H602" s="88">
        <v>310879890500003</v>
      </c>
      <c r="I602" s="88"/>
      <c r="J602" s="49">
        <v>2</v>
      </c>
      <c r="K602" s="49">
        <v>180</v>
      </c>
      <c r="L602" s="169">
        <f t="shared" si="36"/>
        <v>360</v>
      </c>
      <c r="M602" s="169">
        <f t="shared" si="37"/>
        <v>1</v>
      </c>
      <c r="N602" s="169">
        <f t="shared" si="38"/>
        <v>54</v>
      </c>
      <c r="O602" s="169">
        <f t="shared" si="39"/>
        <v>414</v>
      </c>
      <c r="Z602" s="219"/>
      <c r="AA602" s="219"/>
    </row>
    <row r="603" spans="1:27" x14ac:dyDescent="0.3">
      <c r="A603" s="88">
        <v>601</v>
      </c>
      <c r="B603" s="173">
        <v>387</v>
      </c>
      <c r="C603" s="159"/>
      <c r="D603" s="88" t="s">
        <v>500</v>
      </c>
      <c r="E603" s="88" t="s">
        <v>771</v>
      </c>
      <c r="F603" s="88" t="s">
        <v>1315</v>
      </c>
      <c r="G603" s="88" t="s">
        <v>1268</v>
      </c>
      <c r="H603" s="88">
        <v>310879890500003</v>
      </c>
      <c r="I603" s="88"/>
      <c r="J603" s="49">
        <v>1</v>
      </c>
      <c r="K603" s="49">
        <v>280</v>
      </c>
      <c r="L603" s="169">
        <f t="shared" si="36"/>
        <v>280</v>
      </c>
      <c r="M603" s="169">
        <f t="shared" si="37"/>
        <v>1</v>
      </c>
      <c r="N603" s="169">
        <f t="shared" si="38"/>
        <v>42</v>
      </c>
      <c r="O603" s="169">
        <f t="shared" si="39"/>
        <v>322</v>
      </c>
      <c r="Z603" s="219"/>
      <c r="AA603" s="219"/>
    </row>
    <row r="604" spans="1:27" x14ac:dyDescent="0.3">
      <c r="A604" s="88">
        <v>602</v>
      </c>
      <c r="B604" s="173">
        <v>387</v>
      </c>
      <c r="C604" s="159"/>
      <c r="D604" s="88" t="s">
        <v>500</v>
      </c>
      <c r="E604" s="88" t="s">
        <v>771</v>
      </c>
      <c r="F604" s="88" t="s">
        <v>1261</v>
      </c>
      <c r="G604" s="88" t="s">
        <v>1268</v>
      </c>
      <c r="H604" s="88">
        <v>310879890500003</v>
      </c>
      <c r="I604" s="88"/>
      <c r="J604" s="49">
        <v>1</v>
      </c>
      <c r="K604" s="49">
        <v>210</v>
      </c>
      <c r="L604" s="169">
        <f t="shared" si="36"/>
        <v>210</v>
      </c>
      <c r="M604" s="169">
        <f t="shared" si="37"/>
        <v>1</v>
      </c>
      <c r="N604" s="169">
        <f t="shared" si="38"/>
        <v>31.5</v>
      </c>
      <c r="O604" s="169">
        <f t="shared" si="39"/>
        <v>241.5</v>
      </c>
      <c r="Z604" s="219"/>
      <c r="AA604" s="219"/>
    </row>
    <row r="605" spans="1:27" x14ac:dyDescent="0.3">
      <c r="A605" s="88">
        <v>603</v>
      </c>
      <c r="B605" s="173">
        <v>388</v>
      </c>
      <c r="C605" s="159"/>
      <c r="D605" s="88" t="s">
        <v>500</v>
      </c>
      <c r="E605" s="88" t="s">
        <v>771</v>
      </c>
      <c r="F605" s="88" t="s">
        <v>1316</v>
      </c>
      <c r="G605" s="88" t="s">
        <v>1317</v>
      </c>
      <c r="H605" s="88">
        <v>302206937800003</v>
      </c>
      <c r="I605" s="88"/>
      <c r="J605" s="49">
        <v>1</v>
      </c>
      <c r="K605" s="49">
        <v>243.5</v>
      </c>
      <c r="L605" s="169">
        <f t="shared" si="36"/>
        <v>243.5</v>
      </c>
      <c r="M605" s="169">
        <f t="shared" si="37"/>
        <v>1</v>
      </c>
      <c r="N605" s="169">
        <f t="shared" si="38"/>
        <v>36.524999999999999</v>
      </c>
      <c r="O605" s="169">
        <f t="shared" si="39"/>
        <v>280.02499999999998</v>
      </c>
      <c r="Z605" s="219"/>
      <c r="AA605" s="219"/>
    </row>
    <row r="606" spans="1:27" x14ac:dyDescent="0.3">
      <c r="A606" s="88">
        <v>604</v>
      </c>
      <c r="B606" s="173">
        <v>388</v>
      </c>
      <c r="C606" s="159"/>
      <c r="D606" s="88" t="s">
        <v>500</v>
      </c>
      <c r="E606" s="88" t="s">
        <v>771</v>
      </c>
      <c r="F606" s="88" t="s">
        <v>1318</v>
      </c>
      <c r="G606" s="88" t="s">
        <v>1317</v>
      </c>
      <c r="H606" s="88">
        <v>302206937800003</v>
      </c>
      <c r="I606" s="88"/>
      <c r="J606" s="49">
        <v>1</v>
      </c>
      <c r="K606" s="49">
        <v>113.04</v>
      </c>
      <c r="L606" s="169">
        <f t="shared" si="36"/>
        <v>113.04</v>
      </c>
      <c r="M606" s="169">
        <f t="shared" si="37"/>
        <v>1</v>
      </c>
      <c r="N606" s="169">
        <f t="shared" si="38"/>
        <v>16.956</v>
      </c>
      <c r="O606" s="169">
        <f t="shared" si="39"/>
        <v>129.99600000000001</v>
      </c>
      <c r="Z606" s="219"/>
      <c r="AA606" s="219"/>
    </row>
    <row r="607" spans="1:27" x14ac:dyDescent="0.3">
      <c r="A607" s="88">
        <v>605</v>
      </c>
      <c r="B607" s="173">
        <v>388</v>
      </c>
      <c r="C607" s="159"/>
      <c r="D607" s="88" t="s">
        <v>500</v>
      </c>
      <c r="E607" s="88" t="s">
        <v>771</v>
      </c>
      <c r="F607" s="88" t="s">
        <v>1319</v>
      </c>
      <c r="G607" s="88" t="s">
        <v>1317</v>
      </c>
      <c r="H607" s="88">
        <v>302206937800003</v>
      </c>
      <c r="I607" s="88"/>
      <c r="J607" s="49">
        <v>1</v>
      </c>
      <c r="K607" s="49">
        <v>52.17</v>
      </c>
      <c r="L607" s="169">
        <f t="shared" si="36"/>
        <v>52.17</v>
      </c>
      <c r="M607" s="169">
        <f t="shared" si="37"/>
        <v>1</v>
      </c>
      <c r="N607" s="169">
        <f t="shared" si="38"/>
        <v>7.8254999999999999</v>
      </c>
      <c r="O607" s="169">
        <f t="shared" si="39"/>
        <v>59.9955</v>
      </c>
      <c r="Z607" s="219"/>
      <c r="AA607" s="219"/>
    </row>
    <row r="608" spans="1:27" x14ac:dyDescent="0.3">
      <c r="A608" s="88">
        <v>606</v>
      </c>
      <c r="B608" s="173">
        <v>389</v>
      </c>
      <c r="C608" s="159"/>
      <c r="D608" s="88" t="s">
        <v>500</v>
      </c>
      <c r="E608" s="88" t="s">
        <v>771</v>
      </c>
      <c r="F608" s="88" t="s">
        <v>1320</v>
      </c>
      <c r="G608" s="88" t="s">
        <v>1321</v>
      </c>
      <c r="H608" s="88"/>
      <c r="I608" s="88"/>
      <c r="J608" s="49">
        <v>1</v>
      </c>
      <c r="K608" s="49">
        <v>300</v>
      </c>
      <c r="L608" s="169">
        <f t="shared" si="36"/>
        <v>300</v>
      </c>
      <c r="M608" s="169">
        <v>0</v>
      </c>
      <c r="N608" s="169">
        <f t="shared" si="38"/>
        <v>0</v>
      </c>
      <c r="O608" s="169">
        <f t="shared" si="39"/>
        <v>300</v>
      </c>
      <c r="Z608" s="219"/>
      <c r="AA608" s="219"/>
    </row>
    <row r="609" spans="1:27" x14ac:dyDescent="0.3">
      <c r="A609" s="88">
        <v>607</v>
      </c>
      <c r="B609" s="173">
        <v>390</v>
      </c>
      <c r="C609" s="159"/>
      <c r="D609" s="88" t="s">
        <v>500</v>
      </c>
      <c r="E609" s="88" t="s">
        <v>771</v>
      </c>
      <c r="F609" s="88" t="s">
        <v>1320</v>
      </c>
      <c r="G609" s="88" t="s">
        <v>1321</v>
      </c>
      <c r="H609" s="88"/>
      <c r="I609" s="88"/>
      <c r="J609" s="49">
        <v>1</v>
      </c>
      <c r="K609" s="49">
        <v>100</v>
      </c>
      <c r="L609" s="169">
        <f t="shared" si="36"/>
        <v>100</v>
      </c>
      <c r="M609" s="169">
        <v>0</v>
      </c>
      <c r="N609" s="169">
        <f t="shared" si="38"/>
        <v>0</v>
      </c>
      <c r="O609" s="169">
        <f t="shared" si="39"/>
        <v>100</v>
      </c>
      <c r="Z609" s="219"/>
      <c r="AA609" s="219"/>
    </row>
    <row r="610" spans="1:27" x14ac:dyDescent="0.3">
      <c r="A610" s="88">
        <v>608</v>
      </c>
      <c r="B610" s="173">
        <v>391</v>
      </c>
      <c r="C610" s="159"/>
      <c r="D610" s="88" t="s">
        <v>500</v>
      </c>
      <c r="E610" s="88" t="s">
        <v>771</v>
      </c>
      <c r="F610" s="88" t="s">
        <v>1320</v>
      </c>
      <c r="G610" s="88" t="s">
        <v>1321</v>
      </c>
      <c r="H610" s="88"/>
      <c r="I610" s="88"/>
      <c r="J610" s="49">
        <v>1</v>
      </c>
      <c r="K610" s="49">
        <v>50</v>
      </c>
      <c r="L610" s="169">
        <f t="shared" si="36"/>
        <v>50</v>
      </c>
      <c r="M610" s="169">
        <v>0</v>
      </c>
      <c r="N610" s="169">
        <f t="shared" si="38"/>
        <v>0</v>
      </c>
      <c r="O610" s="169">
        <f t="shared" si="39"/>
        <v>50</v>
      </c>
      <c r="Z610" s="219"/>
      <c r="AA610" s="219"/>
    </row>
    <row r="611" spans="1:27" x14ac:dyDescent="0.3">
      <c r="A611" s="88">
        <v>609</v>
      </c>
      <c r="B611" s="173">
        <v>392</v>
      </c>
      <c r="C611" s="159"/>
      <c r="D611" s="88" t="s">
        <v>500</v>
      </c>
      <c r="E611" s="88" t="s">
        <v>715</v>
      </c>
      <c r="F611" s="88" t="s">
        <v>1276</v>
      </c>
      <c r="G611" s="88" t="s">
        <v>884</v>
      </c>
      <c r="H611" s="88"/>
      <c r="I611" s="88"/>
      <c r="J611" s="49">
        <v>1</v>
      </c>
      <c r="K611" s="49">
        <v>345</v>
      </c>
      <c r="L611" s="169">
        <f t="shared" si="36"/>
        <v>345</v>
      </c>
      <c r="M611" s="169">
        <f t="shared" si="37"/>
        <v>0</v>
      </c>
      <c r="N611" s="169">
        <f t="shared" si="38"/>
        <v>0</v>
      </c>
      <c r="O611" s="169">
        <f t="shared" si="39"/>
        <v>345</v>
      </c>
      <c r="Z611" s="219"/>
      <c r="AA611" s="219"/>
    </row>
    <row r="612" spans="1:27" x14ac:dyDescent="0.3">
      <c r="A612" s="88">
        <v>610</v>
      </c>
      <c r="B612" s="173">
        <v>393</v>
      </c>
      <c r="C612" s="159"/>
      <c r="D612" s="88" t="s">
        <v>501</v>
      </c>
      <c r="E612" s="88" t="s">
        <v>740</v>
      </c>
      <c r="F612" s="88" t="s">
        <v>1270</v>
      </c>
      <c r="G612" s="88" t="s">
        <v>1275</v>
      </c>
      <c r="H612" s="88">
        <v>300498479600003</v>
      </c>
      <c r="I612" s="88" t="s">
        <v>776</v>
      </c>
      <c r="J612" s="49">
        <v>7</v>
      </c>
      <c r="K612" s="49">
        <v>1</v>
      </c>
      <c r="L612" s="169">
        <f t="shared" si="36"/>
        <v>7</v>
      </c>
      <c r="M612" s="169">
        <f t="shared" si="37"/>
        <v>1</v>
      </c>
      <c r="N612" s="169">
        <f t="shared" si="38"/>
        <v>1.05</v>
      </c>
      <c r="O612" s="169">
        <f t="shared" si="39"/>
        <v>8.0500000000000007</v>
      </c>
      <c r="Z612" s="219"/>
      <c r="AA612" s="219"/>
    </row>
    <row r="613" spans="1:27" x14ac:dyDescent="0.3">
      <c r="A613" s="88">
        <v>611</v>
      </c>
      <c r="B613" s="173">
        <v>394</v>
      </c>
      <c r="C613" s="159"/>
      <c r="D613" s="88" t="s">
        <v>501</v>
      </c>
      <c r="E613" s="88" t="s">
        <v>740</v>
      </c>
      <c r="F613" s="88" t="s">
        <v>1270</v>
      </c>
      <c r="G613" s="88" t="s">
        <v>1275</v>
      </c>
      <c r="H613" s="88">
        <v>300498479600003</v>
      </c>
      <c r="I613" s="88" t="s">
        <v>776</v>
      </c>
      <c r="J613" s="49">
        <v>13</v>
      </c>
      <c r="K613" s="49">
        <v>1</v>
      </c>
      <c r="L613" s="169">
        <f t="shared" si="36"/>
        <v>13</v>
      </c>
      <c r="M613" s="169">
        <f t="shared" si="37"/>
        <v>1</v>
      </c>
      <c r="N613" s="169">
        <f t="shared" si="38"/>
        <v>1.95</v>
      </c>
      <c r="O613" s="169">
        <f t="shared" si="39"/>
        <v>14.95</v>
      </c>
      <c r="Z613" s="219"/>
      <c r="AA613" s="219"/>
    </row>
    <row r="614" spans="1:27" x14ac:dyDescent="0.3">
      <c r="A614" s="88">
        <v>612</v>
      </c>
      <c r="B614" s="173">
        <v>395</v>
      </c>
      <c r="C614" s="159"/>
      <c r="D614" s="88" t="s">
        <v>501</v>
      </c>
      <c r="E614" s="88" t="s">
        <v>740</v>
      </c>
      <c r="F614" s="88" t="s">
        <v>1270</v>
      </c>
      <c r="G614" s="88" t="s">
        <v>1275</v>
      </c>
      <c r="H614" s="88">
        <v>300498479600003</v>
      </c>
      <c r="I614" s="88" t="s">
        <v>776</v>
      </c>
      <c r="J614" s="49">
        <v>7</v>
      </c>
      <c r="K614" s="49">
        <v>1</v>
      </c>
      <c r="L614" s="169">
        <f t="shared" si="36"/>
        <v>7</v>
      </c>
      <c r="M614" s="169">
        <f t="shared" si="37"/>
        <v>1</v>
      </c>
      <c r="N614" s="169">
        <f t="shared" si="38"/>
        <v>1.05</v>
      </c>
      <c r="O614" s="169">
        <f t="shared" si="39"/>
        <v>8.0500000000000007</v>
      </c>
      <c r="Z614" s="219"/>
      <c r="AA614" s="219"/>
    </row>
    <row r="615" spans="1:27" x14ac:dyDescent="0.3">
      <c r="A615" s="88">
        <v>613</v>
      </c>
      <c r="B615" s="173">
        <v>396</v>
      </c>
      <c r="C615" s="159"/>
      <c r="D615" s="88" t="s">
        <v>501</v>
      </c>
      <c r="E615" s="88" t="s">
        <v>740</v>
      </c>
      <c r="F615" s="88" t="s">
        <v>1270</v>
      </c>
      <c r="G615" s="88" t="s">
        <v>1275</v>
      </c>
      <c r="H615" s="88">
        <v>300498479600003</v>
      </c>
      <c r="I615" s="88" t="s">
        <v>776</v>
      </c>
      <c r="J615" s="49">
        <v>6</v>
      </c>
      <c r="K615" s="49">
        <v>1</v>
      </c>
      <c r="L615" s="169">
        <f t="shared" si="36"/>
        <v>6</v>
      </c>
      <c r="M615" s="169">
        <f t="shared" si="37"/>
        <v>1</v>
      </c>
      <c r="N615" s="169">
        <f t="shared" si="38"/>
        <v>0.89999999999999991</v>
      </c>
      <c r="O615" s="169">
        <f t="shared" si="39"/>
        <v>6.9</v>
      </c>
      <c r="Z615" s="219"/>
      <c r="AA615" s="219"/>
    </row>
    <row r="616" spans="1:27" x14ac:dyDescent="0.3">
      <c r="A616" s="88">
        <v>614</v>
      </c>
      <c r="B616" s="173">
        <v>397</v>
      </c>
      <c r="C616" s="159"/>
      <c r="D616" s="88" t="s">
        <v>501</v>
      </c>
      <c r="E616" s="88" t="s">
        <v>740</v>
      </c>
      <c r="F616" s="88" t="s">
        <v>1270</v>
      </c>
      <c r="G616" s="88" t="s">
        <v>1275</v>
      </c>
      <c r="H616" s="88">
        <v>300498479600003</v>
      </c>
      <c r="I616" s="88" t="s">
        <v>776</v>
      </c>
      <c r="J616" s="49">
        <v>7</v>
      </c>
      <c r="K616" s="49">
        <v>1</v>
      </c>
      <c r="L616" s="169">
        <f t="shared" si="36"/>
        <v>7</v>
      </c>
      <c r="M616" s="169">
        <f t="shared" si="37"/>
        <v>1</v>
      </c>
      <c r="N616" s="169">
        <f t="shared" si="38"/>
        <v>1.05</v>
      </c>
      <c r="O616" s="169">
        <f t="shared" si="39"/>
        <v>8.0500000000000007</v>
      </c>
      <c r="Z616" s="219"/>
      <c r="AA616" s="219"/>
    </row>
    <row r="617" spans="1:27" x14ac:dyDescent="0.3">
      <c r="A617" s="88">
        <v>615</v>
      </c>
      <c r="B617" s="173">
        <v>398</v>
      </c>
      <c r="C617" s="159"/>
      <c r="D617" s="88" t="s">
        <v>501</v>
      </c>
      <c r="E617" s="88" t="s">
        <v>740</v>
      </c>
      <c r="F617" s="88" t="s">
        <v>1270</v>
      </c>
      <c r="G617" s="88" t="s">
        <v>1275</v>
      </c>
      <c r="H617" s="88">
        <v>300498479600003</v>
      </c>
      <c r="I617" s="88" t="s">
        <v>776</v>
      </c>
      <c r="J617" s="49">
        <v>6</v>
      </c>
      <c r="K617" s="49">
        <v>1</v>
      </c>
      <c r="L617" s="169">
        <f t="shared" si="36"/>
        <v>6</v>
      </c>
      <c r="M617" s="169">
        <f t="shared" si="37"/>
        <v>1</v>
      </c>
      <c r="N617" s="169">
        <f t="shared" si="38"/>
        <v>0.89999999999999991</v>
      </c>
      <c r="O617" s="169">
        <f t="shared" si="39"/>
        <v>6.9</v>
      </c>
      <c r="Z617" s="219"/>
      <c r="AA617" s="219"/>
    </row>
    <row r="618" spans="1:27" x14ac:dyDescent="0.3">
      <c r="A618" s="88">
        <v>616</v>
      </c>
      <c r="B618" s="173">
        <v>398</v>
      </c>
      <c r="C618" s="159"/>
      <c r="D618" s="88" t="s">
        <v>501</v>
      </c>
      <c r="E618" s="88" t="s">
        <v>740</v>
      </c>
      <c r="F618" s="88" t="s">
        <v>1270</v>
      </c>
      <c r="G618" s="88" t="s">
        <v>1275</v>
      </c>
      <c r="H618" s="88">
        <v>300498479600003</v>
      </c>
      <c r="I618" s="88" t="s">
        <v>776</v>
      </c>
      <c r="J618" s="49">
        <v>2</v>
      </c>
      <c r="K618" s="49">
        <v>1.3</v>
      </c>
      <c r="L618" s="169">
        <f t="shared" si="36"/>
        <v>2.6</v>
      </c>
      <c r="M618" s="169">
        <f t="shared" si="37"/>
        <v>1</v>
      </c>
      <c r="N618" s="169">
        <f t="shared" si="38"/>
        <v>0.39</v>
      </c>
      <c r="O618" s="169">
        <f t="shared" si="39"/>
        <v>2.99</v>
      </c>
      <c r="Z618" s="219"/>
      <c r="AA618" s="219"/>
    </row>
    <row r="619" spans="1:27" x14ac:dyDescent="0.3">
      <c r="A619" s="88">
        <v>617</v>
      </c>
      <c r="B619" s="173">
        <v>399</v>
      </c>
      <c r="C619" s="159"/>
      <c r="D619" s="88" t="s">
        <v>501</v>
      </c>
      <c r="E619" s="88" t="s">
        <v>740</v>
      </c>
      <c r="F619" s="88" t="s">
        <v>1270</v>
      </c>
      <c r="G619" s="88" t="s">
        <v>1275</v>
      </c>
      <c r="H619" s="88">
        <v>300498479600003</v>
      </c>
      <c r="I619" s="88" t="s">
        <v>776</v>
      </c>
      <c r="J619" s="49">
        <v>5</v>
      </c>
      <c r="K619" s="49">
        <v>1</v>
      </c>
      <c r="L619" s="169">
        <f t="shared" si="36"/>
        <v>5</v>
      </c>
      <c r="M619" s="169">
        <f t="shared" si="37"/>
        <v>1</v>
      </c>
      <c r="N619" s="169">
        <f t="shared" si="38"/>
        <v>0.75</v>
      </c>
      <c r="O619" s="169">
        <f t="shared" si="39"/>
        <v>5.75</v>
      </c>
      <c r="Z619" s="219"/>
      <c r="AA619" s="219"/>
    </row>
    <row r="620" spans="1:27" x14ac:dyDescent="0.3">
      <c r="A620" s="88">
        <v>618</v>
      </c>
      <c r="B620" s="173">
        <v>399</v>
      </c>
      <c r="C620" s="159"/>
      <c r="D620" s="88" t="s">
        <v>501</v>
      </c>
      <c r="E620" s="88" t="s">
        <v>740</v>
      </c>
      <c r="F620" s="88" t="s">
        <v>1270</v>
      </c>
      <c r="G620" s="88" t="s">
        <v>1275</v>
      </c>
      <c r="H620" s="88">
        <v>300498479600003</v>
      </c>
      <c r="I620" s="88" t="s">
        <v>776</v>
      </c>
      <c r="J620" s="49">
        <v>2</v>
      </c>
      <c r="K620" s="49">
        <v>1.3</v>
      </c>
      <c r="L620" s="169">
        <f t="shared" si="36"/>
        <v>2.6</v>
      </c>
      <c r="M620" s="169">
        <f t="shared" si="37"/>
        <v>1</v>
      </c>
      <c r="N620" s="169">
        <f t="shared" si="38"/>
        <v>0.39</v>
      </c>
      <c r="O620" s="169">
        <f t="shared" si="39"/>
        <v>2.99</v>
      </c>
      <c r="Z620" s="219"/>
      <c r="AA620" s="219"/>
    </row>
    <row r="621" spans="1:27" x14ac:dyDescent="0.3">
      <c r="A621" s="88">
        <v>619</v>
      </c>
      <c r="B621" s="173">
        <v>400</v>
      </c>
      <c r="C621" s="159"/>
      <c r="D621" s="88" t="s">
        <v>501</v>
      </c>
      <c r="E621" s="88" t="s">
        <v>740</v>
      </c>
      <c r="F621" s="88" t="s">
        <v>1270</v>
      </c>
      <c r="G621" s="88" t="s">
        <v>1275</v>
      </c>
      <c r="H621" s="88">
        <v>300498479600003</v>
      </c>
      <c r="I621" s="88" t="s">
        <v>776</v>
      </c>
      <c r="J621" s="49">
        <v>2</v>
      </c>
      <c r="K621" s="49">
        <v>1</v>
      </c>
      <c r="L621" s="169">
        <f t="shared" si="36"/>
        <v>2</v>
      </c>
      <c r="M621" s="169">
        <f t="shared" si="37"/>
        <v>1</v>
      </c>
      <c r="N621" s="169">
        <f t="shared" si="38"/>
        <v>0.3</v>
      </c>
      <c r="O621" s="169">
        <f t="shared" si="39"/>
        <v>2.2999999999999998</v>
      </c>
      <c r="Z621" s="219"/>
      <c r="AA621" s="219"/>
    </row>
    <row r="622" spans="1:27" x14ac:dyDescent="0.3">
      <c r="A622" s="88">
        <v>620</v>
      </c>
      <c r="B622" s="173">
        <v>401</v>
      </c>
      <c r="C622" s="159"/>
      <c r="D622" s="88" t="s">
        <v>501</v>
      </c>
      <c r="E622" s="88" t="s">
        <v>740</v>
      </c>
      <c r="F622" s="88" t="s">
        <v>1270</v>
      </c>
      <c r="G622" s="88" t="s">
        <v>1275</v>
      </c>
      <c r="H622" s="88">
        <v>300498479600003</v>
      </c>
      <c r="I622" s="88" t="s">
        <v>776</v>
      </c>
      <c r="J622" s="49">
        <v>6</v>
      </c>
      <c r="K622" s="49">
        <v>1</v>
      </c>
      <c r="L622" s="169">
        <f t="shared" si="36"/>
        <v>6</v>
      </c>
      <c r="M622" s="169">
        <f t="shared" si="37"/>
        <v>1</v>
      </c>
      <c r="N622" s="169">
        <f t="shared" si="38"/>
        <v>0.89999999999999991</v>
      </c>
      <c r="O622" s="169">
        <f t="shared" si="39"/>
        <v>6.9</v>
      </c>
      <c r="Z622" s="219"/>
      <c r="AA622" s="219"/>
    </row>
    <row r="623" spans="1:27" x14ac:dyDescent="0.3">
      <c r="A623" s="88">
        <v>621</v>
      </c>
      <c r="B623" s="173">
        <v>402</v>
      </c>
      <c r="C623" s="159"/>
      <c r="D623" s="88" t="s">
        <v>501</v>
      </c>
      <c r="E623" s="88" t="s">
        <v>740</v>
      </c>
      <c r="F623" s="88" t="s">
        <v>1270</v>
      </c>
      <c r="G623" s="88" t="s">
        <v>1275</v>
      </c>
      <c r="H623" s="88">
        <v>300498479600003</v>
      </c>
      <c r="I623" s="88" t="s">
        <v>776</v>
      </c>
      <c r="J623" s="49">
        <v>6</v>
      </c>
      <c r="K623" s="49">
        <v>1</v>
      </c>
      <c r="L623" s="169">
        <f t="shared" si="36"/>
        <v>6</v>
      </c>
      <c r="M623" s="169">
        <f t="shared" si="37"/>
        <v>1</v>
      </c>
      <c r="N623" s="169">
        <f t="shared" si="38"/>
        <v>0.89999999999999991</v>
      </c>
      <c r="O623" s="169">
        <f t="shared" si="39"/>
        <v>6.9</v>
      </c>
      <c r="Z623" s="219"/>
      <c r="AA623" s="219"/>
    </row>
    <row r="624" spans="1:27" x14ac:dyDescent="0.3">
      <c r="A624" s="88">
        <v>622</v>
      </c>
      <c r="B624" s="173">
        <v>403</v>
      </c>
      <c r="C624" s="159"/>
      <c r="D624" s="88" t="s">
        <v>501</v>
      </c>
      <c r="E624" s="88" t="s">
        <v>740</v>
      </c>
      <c r="F624" s="88" t="s">
        <v>1270</v>
      </c>
      <c r="G624" s="88" t="s">
        <v>1275</v>
      </c>
      <c r="H624" s="88">
        <v>300498479600003</v>
      </c>
      <c r="I624" s="88" t="s">
        <v>776</v>
      </c>
      <c r="J624" s="49">
        <v>5</v>
      </c>
      <c r="K624" s="49">
        <v>1</v>
      </c>
      <c r="L624" s="169">
        <f t="shared" si="36"/>
        <v>5</v>
      </c>
      <c r="M624" s="169">
        <f t="shared" si="37"/>
        <v>1</v>
      </c>
      <c r="N624" s="169">
        <f t="shared" si="38"/>
        <v>0.75</v>
      </c>
      <c r="O624" s="169">
        <f t="shared" si="39"/>
        <v>5.75</v>
      </c>
      <c r="Z624" s="219"/>
      <c r="AA624" s="219"/>
    </row>
    <row r="625" spans="1:27" x14ac:dyDescent="0.3">
      <c r="A625" s="88">
        <v>623</v>
      </c>
      <c r="B625" s="173">
        <v>403</v>
      </c>
      <c r="C625" s="159"/>
      <c r="D625" s="88" t="s">
        <v>501</v>
      </c>
      <c r="E625" s="88" t="s">
        <v>740</v>
      </c>
      <c r="F625" s="88" t="s">
        <v>1270</v>
      </c>
      <c r="G625" s="88" t="s">
        <v>1275</v>
      </c>
      <c r="H625" s="88">
        <v>300498479600003</v>
      </c>
      <c r="I625" s="88" t="s">
        <v>776</v>
      </c>
      <c r="J625" s="49">
        <v>1</v>
      </c>
      <c r="K625" s="49">
        <v>1.3</v>
      </c>
      <c r="L625" s="169">
        <f t="shared" si="36"/>
        <v>1.3</v>
      </c>
      <c r="M625" s="169">
        <f t="shared" si="37"/>
        <v>1</v>
      </c>
      <c r="N625" s="169">
        <f t="shared" si="38"/>
        <v>0.19500000000000001</v>
      </c>
      <c r="O625" s="169">
        <f t="shared" si="39"/>
        <v>1.4950000000000001</v>
      </c>
      <c r="Z625" s="219"/>
      <c r="AA625" s="219"/>
    </row>
    <row r="626" spans="1:27" x14ac:dyDescent="0.3">
      <c r="A626" s="88">
        <v>624</v>
      </c>
      <c r="B626" s="173">
        <v>404</v>
      </c>
      <c r="C626" s="159"/>
      <c r="D626" s="88" t="s">
        <v>501</v>
      </c>
      <c r="E626" s="88" t="s">
        <v>740</v>
      </c>
      <c r="F626" s="88" t="s">
        <v>1270</v>
      </c>
      <c r="G626" s="88" t="s">
        <v>1275</v>
      </c>
      <c r="H626" s="88">
        <v>300498479600003</v>
      </c>
      <c r="I626" s="88" t="s">
        <v>776</v>
      </c>
      <c r="J626" s="49">
        <v>2</v>
      </c>
      <c r="K626" s="49">
        <v>1.3</v>
      </c>
      <c r="L626" s="169">
        <f t="shared" si="36"/>
        <v>2.6</v>
      </c>
      <c r="M626" s="169">
        <f t="shared" si="37"/>
        <v>1</v>
      </c>
      <c r="N626" s="169">
        <f t="shared" si="38"/>
        <v>0.39</v>
      </c>
      <c r="O626" s="169">
        <f t="shared" si="39"/>
        <v>2.99</v>
      </c>
      <c r="Z626" s="219"/>
      <c r="AA626" s="219"/>
    </row>
    <row r="627" spans="1:27" x14ac:dyDescent="0.3">
      <c r="A627" s="88">
        <v>625</v>
      </c>
      <c r="B627" s="173">
        <v>405</v>
      </c>
      <c r="C627" s="159"/>
      <c r="D627" s="88" t="s">
        <v>501</v>
      </c>
      <c r="E627" s="88" t="s">
        <v>740</v>
      </c>
      <c r="F627" s="88" t="s">
        <v>1270</v>
      </c>
      <c r="G627" s="88" t="s">
        <v>1275</v>
      </c>
      <c r="H627" s="88">
        <v>300498479600003</v>
      </c>
      <c r="I627" s="88" t="s">
        <v>776</v>
      </c>
      <c r="J627" s="49">
        <v>7</v>
      </c>
      <c r="K627" s="49">
        <v>1</v>
      </c>
      <c r="L627" s="169">
        <f t="shared" si="36"/>
        <v>7</v>
      </c>
      <c r="M627" s="169">
        <f t="shared" si="37"/>
        <v>1</v>
      </c>
      <c r="N627" s="169">
        <f t="shared" si="38"/>
        <v>1.05</v>
      </c>
      <c r="O627" s="169">
        <f t="shared" si="39"/>
        <v>8.0500000000000007</v>
      </c>
      <c r="Z627" s="219"/>
      <c r="AA627" s="219"/>
    </row>
    <row r="628" spans="1:27" x14ac:dyDescent="0.3">
      <c r="A628" s="88">
        <v>626</v>
      </c>
      <c r="B628" s="173">
        <v>406</v>
      </c>
      <c r="C628" s="159"/>
      <c r="D628" s="88" t="s">
        <v>501</v>
      </c>
      <c r="E628" s="88" t="s">
        <v>740</v>
      </c>
      <c r="F628" s="88" t="s">
        <v>1270</v>
      </c>
      <c r="G628" s="88" t="s">
        <v>1275</v>
      </c>
      <c r="H628" s="88">
        <v>300498479600003</v>
      </c>
      <c r="I628" s="88" t="s">
        <v>776</v>
      </c>
      <c r="J628" s="49">
        <v>7</v>
      </c>
      <c r="K628" s="49">
        <v>1</v>
      </c>
      <c r="L628" s="169">
        <f t="shared" si="36"/>
        <v>7</v>
      </c>
      <c r="M628" s="169">
        <f t="shared" si="37"/>
        <v>1</v>
      </c>
      <c r="N628" s="169">
        <f t="shared" si="38"/>
        <v>1.05</v>
      </c>
      <c r="O628" s="169">
        <f t="shared" si="39"/>
        <v>8.0500000000000007</v>
      </c>
      <c r="Z628" s="219"/>
      <c r="AA628" s="219"/>
    </row>
    <row r="629" spans="1:27" x14ac:dyDescent="0.3">
      <c r="A629" s="88">
        <v>627</v>
      </c>
      <c r="B629" s="173">
        <v>407</v>
      </c>
      <c r="C629" s="159"/>
      <c r="D629" s="88" t="s">
        <v>501</v>
      </c>
      <c r="E629" s="88" t="s">
        <v>740</v>
      </c>
      <c r="F629" s="88" t="s">
        <v>1270</v>
      </c>
      <c r="G629" s="88" t="s">
        <v>1275</v>
      </c>
      <c r="H629" s="88">
        <v>300498479600003</v>
      </c>
      <c r="I629" s="88" t="s">
        <v>776</v>
      </c>
      <c r="J629" s="49">
        <v>7</v>
      </c>
      <c r="K629" s="49">
        <v>1</v>
      </c>
      <c r="L629" s="169">
        <f t="shared" si="36"/>
        <v>7</v>
      </c>
      <c r="M629" s="169">
        <f t="shared" si="37"/>
        <v>1</v>
      </c>
      <c r="N629" s="169">
        <f t="shared" si="38"/>
        <v>1.05</v>
      </c>
      <c r="O629" s="169">
        <f t="shared" si="39"/>
        <v>8.0500000000000007</v>
      </c>
      <c r="Z629" s="219"/>
      <c r="AA629" s="219"/>
    </row>
    <row r="630" spans="1:27" x14ac:dyDescent="0.3">
      <c r="A630" s="88">
        <v>628</v>
      </c>
      <c r="B630" s="173">
        <v>408</v>
      </c>
      <c r="C630" s="159"/>
      <c r="D630" s="88" t="s">
        <v>501</v>
      </c>
      <c r="E630" s="88" t="s">
        <v>740</v>
      </c>
      <c r="F630" s="88" t="s">
        <v>1270</v>
      </c>
      <c r="G630" s="88" t="s">
        <v>1275</v>
      </c>
      <c r="H630" s="88">
        <v>300498479600003</v>
      </c>
      <c r="I630" s="88" t="s">
        <v>776</v>
      </c>
      <c r="J630" s="49">
        <v>7</v>
      </c>
      <c r="K630" s="49">
        <v>1</v>
      </c>
      <c r="L630" s="169">
        <f t="shared" si="36"/>
        <v>7</v>
      </c>
      <c r="M630" s="169">
        <f t="shared" si="37"/>
        <v>1</v>
      </c>
      <c r="N630" s="169">
        <f t="shared" si="38"/>
        <v>1.05</v>
      </c>
      <c r="O630" s="169">
        <f t="shared" si="39"/>
        <v>8.0500000000000007</v>
      </c>
      <c r="Z630" s="219"/>
      <c r="AA630" s="219"/>
    </row>
    <row r="631" spans="1:27" x14ac:dyDescent="0.3">
      <c r="A631" s="88">
        <v>629</v>
      </c>
      <c r="B631" s="173">
        <v>409</v>
      </c>
      <c r="C631" s="159"/>
      <c r="D631" s="88" t="s">
        <v>501</v>
      </c>
      <c r="E631" s="88" t="s">
        <v>740</v>
      </c>
      <c r="F631" s="88" t="s">
        <v>1270</v>
      </c>
      <c r="G631" s="88" t="s">
        <v>1275</v>
      </c>
      <c r="H631" s="88">
        <v>300498479600003</v>
      </c>
      <c r="I631" s="88" t="s">
        <v>776</v>
      </c>
      <c r="J631" s="49">
        <v>7</v>
      </c>
      <c r="K631" s="49">
        <v>1</v>
      </c>
      <c r="L631" s="169">
        <f t="shared" si="36"/>
        <v>7</v>
      </c>
      <c r="M631" s="169">
        <f t="shared" si="37"/>
        <v>1</v>
      </c>
      <c r="N631" s="169">
        <f t="shared" si="38"/>
        <v>1.05</v>
      </c>
      <c r="O631" s="169">
        <f t="shared" si="39"/>
        <v>8.0500000000000007</v>
      </c>
      <c r="Z631" s="219"/>
      <c r="AA631" s="219"/>
    </row>
    <row r="632" spans="1:27" x14ac:dyDescent="0.3">
      <c r="A632" s="88">
        <v>630</v>
      </c>
      <c r="B632" s="173">
        <v>410</v>
      </c>
      <c r="C632" s="159"/>
      <c r="D632" s="88" t="s">
        <v>501</v>
      </c>
      <c r="E632" s="88" t="s">
        <v>740</v>
      </c>
      <c r="F632" s="88" t="s">
        <v>1270</v>
      </c>
      <c r="G632" s="88" t="s">
        <v>1275</v>
      </c>
      <c r="H632" s="88">
        <v>300498479600003</v>
      </c>
      <c r="I632" s="88" t="s">
        <v>776</v>
      </c>
      <c r="J632" s="49">
        <v>2</v>
      </c>
      <c r="K632" s="49">
        <v>1.3</v>
      </c>
      <c r="L632" s="169">
        <f t="shared" si="36"/>
        <v>2.6</v>
      </c>
      <c r="M632" s="169">
        <f t="shared" si="37"/>
        <v>1</v>
      </c>
      <c r="N632" s="169">
        <f t="shared" si="38"/>
        <v>0.39</v>
      </c>
      <c r="O632" s="169">
        <f t="shared" si="39"/>
        <v>2.99</v>
      </c>
      <c r="Z632" s="219"/>
      <c r="AA632" s="219"/>
    </row>
    <row r="633" spans="1:27" x14ac:dyDescent="0.3">
      <c r="A633" s="88">
        <v>631</v>
      </c>
      <c r="B633" s="173">
        <v>411</v>
      </c>
      <c r="C633" s="159"/>
      <c r="D633" s="88" t="s">
        <v>501</v>
      </c>
      <c r="E633" s="88" t="s">
        <v>740</v>
      </c>
      <c r="F633" s="88" t="s">
        <v>1270</v>
      </c>
      <c r="G633" s="88" t="s">
        <v>1275</v>
      </c>
      <c r="H633" s="88">
        <v>300498479600003</v>
      </c>
      <c r="I633" s="88" t="s">
        <v>776</v>
      </c>
      <c r="J633" s="49">
        <v>5</v>
      </c>
      <c r="K633" s="49">
        <v>1</v>
      </c>
      <c r="L633" s="169">
        <f t="shared" si="36"/>
        <v>5</v>
      </c>
      <c r="M633" s="169">
        <f t="shared" si="37"/>
        <v>1</v>
      </c>
      <c r="N633" s="169">
        <f t="shared" si="38"/>
        <v>0.75</v>
      </c>
      <c r="O633" s="169">
        <f t="shared" si="39"/>
        <v>5.75</v>
      </c>
      <c r="Z633" s="219"/>
      <c r="AA633" s="219"/>
    </row>
    <row r="634" spans="1:27" x14ac:dyDescent="0.3">
      <c r="A634" s="88">
        <v>632</v>
      </c>
      <c r="B634" s="173">
        <v>412</v>
      </c>
      <c r="C634" s="159"/>
      <c r="D634" s="88" t="s">
        <v>501</v>
      </c>
      <c r="E634" s="88" t="s">
        <v>740</v>
      </c>
      <c r="F634" s="88" t="s">
        <v>1270</v>
      </c>
      <c r="G634" s="88" t="s">
        <v>1275</v>
      </c>
      <c r="H634" s="88">
        <v>300498479600003</v>
      </c>
      <c r="I634" s="88" t="s">
        <v>776</v>
      </c>
      <c r="J634" s="49">
        <v>4</v>
      </c>
      <c r="K634" s="49">
        <v>1</v>
      </c>
      <c r="L634" s="169">
        <f t="shared" si="36"/>
        <v>4</v>
      </c>
      <c r="M634" s="169">
        <f t="shared" si="37"/>
        <v>1</v>
      </c>
      <c r="N634" s="169">
        <f t="shared" si="38"/>
        <v>0.6</v>
      </c>
      <c r="O634" s="169">
        <f t="shared" si="39"/>
        <v>4.5999999999999996</v>
      </c>
      <c r="Z634" s="219"/>
      <c r="AA634" s="219"/>
    </row>
    <row r="635" spans="1:27" x14ac:dyDescent="0.3">
      <c r="A635" s="88">
        <v>633</v>
      </c>
      <c r="B635" s="173">
        <v>413</v>
      </c>
      <c r="C635" s="159"/>
      <c r="D635" s="88" t="s">
        <v>501</v>
      </c>
      <c r="E635" s="88" t="s">
        <v>740</v>
      </c>
      <c r="F635" s="88" t="s">
        <v>1270</v>
      </c>
      <c r="G635" s="88" t="s">
        <v>1275</v>
      </c>
      <c r="H635" s="88">
        <v>300498479600003</v>
      </c>
      <c r="I635" s="88" t="s">
        <v>776</v>
      </c>
      <c r="J635" s="49">
        <v>7</v>
      </c>
      <c r="K635" s="49">
        <v>1</v>
      </c>
      <c r="L635" s="169">
        <f t="shared" si="36"/>
        <v>7</v>
      </c>
      <c r="M635" s="169">
        <f t="shared" si="37"/>
        <v>1</v>
      </c>
      <c r="N635" s="169">
        <f t="shared" si="38"/>
        <v>1.05</v>
      </c>
      <c r="O635" s="169">
        <f t="shared" si="39"/>
        <v>8.0500000000000007</v>
      </c>
      <c r="Z635" s="219"/>
      <c r="AA635" s="219"/>
    </row>
    <row r="636" spans="1:27" x14ac:dyDescent="0.3">
      <c r="A636" s="88">
        <v>634</v>
      </c>
      <c r="B636" s="173">
        <v>414</v>
      </c>
      <c r="C636" s="159"/>
      <c r="D636" s="88" t="s">
        <v>501</v>
      </c>
      <c r="E636" s="88" t="s">
        <v>740</v>
      </c>
      <c r="F636" s="88" t="s">
        <v>1270</v>
      </c>
      <c r="G636" s="88" t="s">
        <v>1275</v>
      </c>
      <c r="H636" s="88">
        <v>300498479600003</v>
      </c>
      <c r="I636" s="88" t="s">
        <v>776</v>
      </c>
      <c r="J636" s="49">
        <v>7</v>
      </c>
      <c r="K636" s="49">
        <v>1</v>
      </c>
      <c r="L636" s="169">
        <f t="shared" si="36"/>
        <v>7</v>
      </c>
      <c r="M636" s="169">
        <f t="shared" si="37"/>
        <v>1</v>
      </c>
      <c r="N636" s="169">
        <f t="shared" si="38"/>
        <v>1.05</v>
      </c>
      <c r="O636" s="169">
        <f t="shared" si="39"/>
        <v>8.0500000000000007</v>
      </c>
      <c r="Z636" s="219"/>
      <c r="AA636" s="219"/>
    </row>
    <row r="637" spans="1:27" x14ac:dyDescent="0.3">
      <c r="A637" s="88">
        <v>635</v>
      </c>
      <c r="B637" s="173">
        <v>415</v>
      </c>
      <c r="C637" s="159"/>
      <c r="D637" s="88" t="s">
        <v>501</v>
      </c>
      <c r="E637" s="88" t="s">
        <v>740</v>
      </c>
      <c r="F637" s="88" t="s">
        <v>1270</v>
      </c>
      <c r="G637" s="88" t="s">
        <v>1275</v>
      </c>
      <c r="H637" s="88">
        <v>300498479600003</v>
      </c>
      <c r="I637" s="88" t="s">
        <v>776</v>
      </c>
      <c r="J637" s="49">
        <v>7</v>
      </c>
      <c r="K637" s="49">
        <v>1</v>
      </c>
      <c r="L637" s="169">
        <f t="shared" si="36"/>
        <v>7</v>
      </c>
      <c r="M637" s="169">
        <f t="shared" si="37"/>
        <v>1</v>
      </c>
      <c r="N637" s="169">
        <f t="shared" si="38"/>
        <v>1.05</v>
      </c>
      <c r="O637" s="169">
        <f t="shared" si="39"/>
        <v>8.0500000000000007</v>
      </c>
      <c r="Z637" s="219"/>
      <c r="AA637" s="219"/>
    </row>
    <row r="638" spans="1:27" x14ac:dyDescent="0.3">
      <c r="A638" s="88">
        <v>636</v>
      </c>
      <c r="B638" s="173">
        <v>416</v>
      </c>
      <c r="C638" s="159"/>
      <c r="D638" s="88" t="s">
        <v>501</v>
      </c>
      <c r="E638" s="88" t="s">
        <v>740</v>
      </c>
      <c r="F638" s="88" t="s">
        <v>1270</v>
      </c>
      <c r="G638" s="88" t="s">
        <v>1275</v>
      </c>
      <c r="H638" s="88">
        <v>300498479600003</v>
      </c>
      <c r="I638" s="88" t="s">
        <v>776</v>
      </c>
      <c r="J638" s="49">
        <v>7</v>
      </c>
      <c r="K638" s="49">
        <v>1</v>
      </c>
      <c r="L638" s="169">
        <f t="shared" si="36"/>
        <v>7</v>
      </c>
      <c r="M638" s="169">
        <f t="shared" si="37"/>
        <v>1</v>
      </c>
      <c r="N638" s="169">
        <f t="shared" si="38"/>
        <v>1.05</v>
      </c>
      <c r="O638" s="169">
        <f t="shared" si="39"/>
        <v>8.0500000000000007</v>
      </c>
      <c r="Z638" s="219"/>
      <c r="AA638" s="219"/>
    </row>
    <row r="639" spans="1:27" x14ac:dyDescent="0.3">
      <c r="A639" s="88">
        <v>637</v>
      </c>
      <c r="B639" s="173">
        <v>417</v>
      </c>
      <c r="C639" s="159"/>
      <c r="D639" s="88" t="s">
        <v>501</v>
      </c>
      <c r="E639" s="88" t="s">
        <v>740</v>
      </c>
      <c r="F639" s="88" t="s">
        <v>1270</v>
      </c>
      <c r="G639" s="88" t="s">
        <v>1275</v>
      </c>
      <c r="H639" s="88">
        <v>300498479600003</v>
      </c>
      <c r="I639" s="88" t="s">
        <v>776</v>
      </c>
      <c r="J639" s="49">
        <v>1</v>
      </c>
      <c r="K639" s="49">
        <v>1</v>
      </c>
      <c r="L639" s="169">
        <f t="shared" si="36"/>
        <v>1</v>
      </c>
      <c r="M639" s="169">
        <f t="shared" si="37"/>
        <v>1</v>
      </c>
      <c r="N639" s="169">
        <f t="shared" si="38"/>
        <v>0.15</v>
      </c>
      <c r="O639" s="169">
        <f t="shared" si="39"/>
        <v>1.1499999999999999</v>
      </c>
      <c r="Z639" s="219"/>
      <c r="AA639" s="219"/>
    </row>
    <row r="640" spans="1:27" x14ac:dyDescent="0.3">
      <c r="A640" s="88">
        <v>638</v>
      </c>
      <c r="B640" s="173">
        <v>418</v>
      </c>
      <c r="C640" s="159"/>
      <c r="D640" s="88" t="s">
        <v>501</v>
      </c>
      <c r="E640" s="88" t="s">
        <v>740</v>
      </c>
      <c r="F640" s="88" t="s">
        <v>1270</v>
      </c>
      <c r="G640" s="88" t="s">
        <v>1275</v>
      </c>
      <c r="H640" s="88">
        <v>300498479600003</v>
      </c>
      <c r="I640" s="88" t="s">
        <v>776</v>
      </c>
      <c r="J640" s="49">
        <v>7</v>
      </c>
      <c r="K640" s="49">
        <v>1</v>
      </c>
      <c r="L640" s="169">
        <f t="shared" si="36"/>
        <v>7</v>
      </c>
      <c r="M640" s="169">
        <f t="shared" si="37"/>
        <v>1</v>
      </c>
      <c r="N640" s="169">
        <f t="shared" si="38"/>
        <v>1.05</v>
      </c>
      <c r="O640" s="169">
        <f t="shared" si="39"/>
        <v>8.0500000000000007</v>
      </c>
      <c r="Z640" s="219"/>
      <c r="AA640" s="219"/>
    </row>
    <row r="641" spans="1:27" x14ac:dyDescent="0.3">
      <c r="A641" s="88">
        <v>639</v>
      </c>
      <c r="B641" s="173">
        <v>419</v>
      </c>
      <c r="C641" s="159"/>
      <c r="D641" s="88" t="s">
        <v>501</v>
      </c>
      <c r="E641" s="88" t="s">
        <v>740</v>
      </c>
      <c r="F641" s="88" t="s">
        <v>1270</v>
      </c>
      <c r="G641" s="88" t="s">
        <v>1275</v>
      </c>
      <c r="H641" s="88">
        <v>300498479600003</v>
      </c>
      <c r="I641" s="88" t="s">
        <v>776</v>
      </c>
      <c r="J641" s="49">
        <v>8</v>
      </c>
      <c r="K641" s="49">
        <v>1</v>
      </c>
      <c r="L641" s="169">
        <f t="shared" si="36"/>
        <v>8</v>
      </c>
      <c r="M641" s="169">
        <f t="shared" si="37"/>
        <v>1</v>
      </c>
      <c r="N641" s="169">
        <f t="shared" si="38"/>
        <v>1.2</v>
      </c>
      <c r="O641" s="169">
        <f t="shared" si="39"/>
        <v>9.1999999999999993</v>
      </c>
      <c r="Z641" s="219"/>
      <c r="AA641" s="219"/>
    </row>
    <row r="642" spans="1:27" x14ac:dyDescent="0.3">
      <c r="A642" s="88">
        <v>640</v>
      </c>
      <c r="B642" s="173">
        <v>420</v>
      </c>
      <c r="C642" s="159"/>
      <c r="D642" s="88" t="s">
        <v>501</v>
      </c>
      <c r="E642" s="88" t="s">
        <v>740</v>
      </c>
      <c r="F642" s="88" t="s">
        <v>1270</v>
      </c>
      <c r="G642" s="88" t="s">
        <v>1275</v>
      </c>
      <c r="H642" s="88">
        <v>300498479600003</v>
      </c>
      <c r="I642" s="88" t="s">
        <v>776</v>
      </c>
      <c r="J642" s="49">
        <v>6</v>
      </c>
      <c r="K642" s="49">
        <v>1</v>
      </c>
      <c r="L642" s="169">
        <f t="shared" si="36"/>
        <v>6</v>
      </c>
      <c r="M642" s="169">
        <f t="shared" si="37"/>
        <v>1</v>
      </c>
      <c r="N642" s="169">
        <f t="shared" si="38"/>
        <v>0.89999999999999991</v>
      </c>
      <c r="O642" s="169">
        <f t="shared" si="39"/>
        <v>6.9</v>
      </c>
      <c r="Z642" s="219"/>
      <c r="AA642" s="219"/>
    </row>
    <row r="643" spans="1:27" x14ac:dyDescent="0.3">
      <c r="A643" s="88">
        <v>641</v>
      </c>
      <c r="B643" s="173">
        <v>420</v>
      </c>
      <c r="C643" s="159"/>
      <c r="D643" s="88" t="s">
        <v>501</v>
      </c>
      <c r="E643" s="88" t="s">
        <v>740</v>
      </c>
      <c r="F643" s="88" t="s">
        <v>1270</v>
      </c>
      <c r="G643" s="88" t="s">
        <v>1275</v>
      </c>
      <c r="H643" s="88">
        <v>300498479600003</v>
      </c>
      <c r="I643" s="88" t="s">
        <v>776</v>
      </c>
      <c r="J643" s="49">
        <v>2</v>
      </c>
      <c r="K643" s="49">
        <v>1.3</v>
      </c>
      <c r="L643" s="169">
        <f t="shared" si="36"/>
        <v>2.6</v>
      </c>
      <c r="M643" s="169">
        <f t="shared" si="37"/>
        <v>1</v>
      </c>
      <c r="N643" s="169">
        <f t="shared" si="38"/>
        <v>0.39</v>
      </c>
      <c r="O643" s="169">
        <f t="shared" si="39"/>
        <v>2.99</v>
      </c>
      <c r="Z643" s="219"/>
      <c r="AA643" s="219"/>
    </row>
    <row r="644" spans="1:27" x14ac:dyDescent="0.3">
      <c r="A644" s="88">
        <v>642</v>
      </c>
      <c r="B644" s="173">
        <v>421</v>
      </c>
      <c r="C644" s="159"/>
      <c r="D644" s="88" t="s">
        <v>501</v>
      </c>
      <c r="E644" s="88" t="s">
        <v>740</v>
      </c>
      <c r="F644" s="88" t="s">
        <v>1270</v>
      </c>
      <c r="G644" s="88" t="s">
        <v>1275</v>
      </c>
      <c r="H644" s="88">
        <v>300498479600003</v>
      </c>
      <c r="I644" s="88" t="s">
        <v>776</v>
      </c>
      <c r="J644" s="49">
        <v>5</v>
      </c>
      <c r="K644" s="49">
        <v>1</v>
      </c>
      <c r="L644" s="169">
        <f t="shared" si="36"/>
        <v>5</v>
      </c>
      <c r="M644" s="169">
        <f t="shared" si="37"/>
        <v>1</v>
      </c>
      <c r="N644" s="169">
        <f t="shared" si="38"/>
        <v>0.75</v>
      </c>
      <c r="O644" s="169">
        <f t="shared" si="39"/>
        <v>5.75</v>
      </c>
      <c r="Z644" s="219"/>
      <c r="AA644" s="219"/>
    </row>
    <row r="645" spans="1:27" x14ac:dyDescent="0.3">
      <c r="A645" s="88">
        <v>643</v>
      </c>
      <c r="B645" s="173">
        <v>421</v>
      </c>
      <c r="C645" s="159"/>
      <c r="D645" s="88" t="s">
        <v>501</v>
      </c>
      <c r="E645" s="88" t="s">
        <v>740</v>
      </c>
      <c r="F645" s="88" t="s">
        <v>1270</v>
      </c>
      <c r="G645" s="88" t="s">
        <v>1275</v>
      </c>
      <c r="H645" s="88">
        <v>300498479600003</v>
      </c>
      <c r="I645" s="88" t="s">
        <v>776</v>
      </c>
      <c r="J645" s="49">
        <v>2</v>
      </c>
      <c r="K645" s="49">
        <v>1.3</v>
      </c>
      <c r="L645" s="169">
        <f t="shared" ref="L645:L708" si="40">K645*J645</f>
        <v>2.6</v>
      </c>
      <c r="M645" s="169">
        <f t="shared" ref="M645:M708" si="41">IF(H645="",0,1)</f>
        <v>1</v>
      </c>
      <c r="N645" s="169">
        <f t="shared" ref="N645:N708" si="42">M645*L645*15%</f>
        <v>0.39</v>
      </c>
      <c r="O645" s="169">
        <f t="shared" ref="O645:O708" si="43">N645+L645</f>
        <v>2.99</v>
      </c>
      <c r="Z645" s="219"/>
      <c r="AA645" s="219"/>
    </row>
    <row r="646" spans="1:27" x14ac:dyDescent="0.3">
      <c r="A646" s="88">
        <v>644</v>
      </c>
      <c r="B646" s="173">
        <v>422</v>
      </c>
      <c r="C646" s="159"/>
      <c r="D646" s="88" t="s">
        <v>501</v>
      </c>
      <c r="E646" s="88" t="s">
        <v>740</v>
      </c>
      <c r="F646" s="88" t="s">
        <v>1270</v>
      </c>
      <c r="G646" s="88" t="s">
        <v>1275</v>
      </c>
      <c r="H646" s="88">
        <v>300498479600003</v>
      </c>
      <c r="I646" s="88" t="s">
        <v>776</v>
      </c>
      <c r="J646" s="49">
        <v>7</v>
      </c>
      <c r="K646" s="49">
        <v>1</v>
      </c>
      <c r="L646" s="169">
        <f t="shared" si="40"/>
        <v>7</v>
      </c>
      <c r="M646" s="169">
        <f t="shared" si="41"/>
        <v>1</v>
      </c>
      <c r="N646" s="169">
        <f t="shared" si="42"/>
        <v>1.05</v>
      </c>
      <c r="O646" s="169">
        <f t="shared" si="43"/>
        <v>8.0500000000000007</v>
      </c>
      <c r="Z646" s="219"/>
      <c r="AA646" s="219"/>
    </row>
    <row r="647" spans="1:27" x14ac:dyDescent="0.3">
      <c r="A647" s="88">
        <v>645</v>
      </c>
      <c r="B647" s="173">
        <v>423</v>
      </c>
      <c r="C647" s="159"/>
      <c r="D647" s="88" t="s">
        <v>501</v>
      </c>
      <c r="E647" s="88" t="s">
        <v>740</v>
      </c>
      <c r="F647" s="88" t="s">
        <v>1270</v>
      </c>
      <c r="G647" s="88" t="s">
        <v>1275</v>
      </c>
      <c r="H647" s="88">
        <v>300498479600003</v>
      </c>
      <c r="I647" s="88" t="s">
        <v>776</v>
      </c>
      <c r="J647" s="49">
        <v>7</v>
      </c>
      <c r="K647" s="49">
        <v>1</v>
      </c>
      <c r="L647" s="169">
        <f t="shared" si="40"/>
        <v>7</v>
      </c>
      <c r="M647" s="169">
        <f t="shared" si="41"/>
        <v>1</v>
      </c>
      <c r="N647" s="169">
        <f t="shared" si="42"/>
        <v>1.05</v>
      </c>
      <c r="O647" s="169">
        <f t="shared" si="43"/>
        <v>8.0500000000000007</v>
      </c>
      <c r="Z647" s="219"/>
      <c r="AA647" s="219"/>
    </row>
    <row r="648" spans="1:27" x14ac:dyDescent="0.3">
      <c r="A648" s="88">
        <v>646</v>
      </c>
      <c r="B648" s="173">
        <v>424</v>
      </c>
      <c r="C648" s="159"/>
      <c r="D648" s="88" t="s">
        <v>501</v>
      </c>
      <c r="E648" s="88" t="s">
        <v>740</v>
      </c>
      <c r="F648" s="88" t="s">
        <v>1270</v>
      </c>
      <c r="G648" s="88" t="s">
        <v>1275</v>
      </c>
      <c r="H648" s="88">
        <v>300498479600003</v>
      </c>
      <c r="I648" s="88" t="s">
        <v>776</v>
      </c>
      <c r="J648" s="49">
        <v>7</v>
      </c>
      <c r="K648" s="49">
        <v>1</v>
      </c>
      <c r="L648" s="169">
        <f t="shared" si="40"/>
        <v>7</v>
      </c>
      <c r="M648" s="169">
        <f t="shared" si="41"/>
        <v>1</v>
      </c>
      <c r="N648" s="169">
        <f t="shared" si="42"/>
        <v>1.05</v>
      </c>
      <c r="O648" s="169">
        <f t="shared" si="43"/>
        <v>8.0500000000000007</v>
      </c>
      <c r="Z648" s="219"/>
      <c r="AA648" s="219"/>
    </row>
    <row r="649" spans="1:27" x14ac:dyDescent="0.3">
      <c r="A649" s="88">
        <v>647</v>
      </c>
      <c r="B649" s="173">
        <v>425</v>
      </c>
      <c r="C649" s="159"/>
      <c r="D649" s="88" t="s">
        <v>501</v>
      </c>
      <c r="E649" s="88" t="s">
        <v>715</v>
      </c>
      <c r="F649" s="88" t="s">
        <v>1322</v>
      </c>
      <c r="G649" s="88" t="s">
        <v>1280</v>
      </c>
      <c r="H649" s="88">
        <v>300844969700003</v>
      </c>
      <c r="I649" s="88"/>
      <c r="J649" s="49">
        <v>1</v>
      </c>
      <c r="K649" s="49">
        <v>5.2169999999999996</v>
      </c>
      <c r="L649" s="169">
        <f t="shared" si="40"/>
        <v>5.2169999999999996</v>
      </c>
      <c r="M649" s="169">
        <f t="shared" si="41"/>
        <v>1</v>
      </c>
      <c r="N649" s="169">
        <f t="shared" si="42"/>
        <v>0.78254999999999997</v>
      </c>
      <c r="O649" s="169">
        <f t="shared" si="43"/>
        <v>5.9995499999999993</v>
      </c>
      <c r="Z649" s="219"/>
      <c r="AA649" s="219"/>
    </row>
    <row r="650" spans="1:27" x14ac:dyDescent="0.3">
      <c r="A650" s="88">
        <v>648</v>
      </c>
      <c r="B650" s="173">
        <v>426</v>
      </c>
      <c r="C650" s="159"/>
      <c r="D650" s="88" t="s">
        <v>501</v>
      </c>
      <c r="E650" s="88" t="s">
        <v>715</v>
      </c>
      <c r="F650" s="88" t="s">
        <v>1323</v>
      </c>
      <c r="G650" s="88" t="s">
        <v>1324</v>
      </c>
      <c r="H650" s="88">
        <v>300026972900003</v>
      </c>
      <c r="I650" s="88"/>
      <c r="J650" s="49">
        <v>1</v>
      </c>
      <c r="K650" s="49">
        <v>12</v>
      </c>
      <c r="L650" s="169">
        <f t="shared" si="40"/>
        <v>12</v>
      </c>
      <c r="M650" s="169">
        <f t="shared" si="41"/>
        <v>1</v>
      </c>
      <c r="N650" s="169">
        <f t="shared" si="42"/>
        <v>1.7999999999999998</v>
      </c>
      <c r="O650" s="169">
        <f t="shared" si="43"/>
        <v>13.8</v>
      </c>
      <c r="Z650" s="219"/>
      <c r="AA650" s="219"/>
    </row>
    <row r="651" spans="1:27" x14ac:dyDescent="0.3">
      <c r="A651" s="88">
        <v>649</v>
      </c>
      <c r="B651" s="173">
        <v>427</v>
      </c>
      <c r="C651" s="159"/>
      <c r="D651" s="88" t="s">
        <v>501</v>
      </c>
      <c r="E651" s="88" t="s">
        <v>709</v>
      </c>
      <c r="F651" s="88" t="s">
        <v>1325</v>
      </c>
      <c r="G651" s="88" t="s">
        <v>1326</v>
      </c>
      <c r="H651" s="88">
        <v>311172172500003</v>
      </c>
      <c r="I651" s="88"/>
      <c r="J651" s="49">
        <v>1</v>
      </c>
      <c r="K651" s="49">
        <v>5.22</v>
      </c>
      <c r="L651" s="169">
        <f t="shared" si="40"/>
        <v>5.22</v>
      </c>
      <c r="M651" s="169">
        <f t="shared" si="41"/>
        <v>1</v>
      </c>
      <c r="N651" s="169">
        <f t="shared" si="42"/>
        <v>0.78299999999999992</v>
      </c>
      <c r="O651" s="169">
        <f t="shared" si="43"/>
        <v>6.0030000000000001</v>
      </c>
      <c r="Z651" s="219"/>
      <c r="AA651" s="219"/>
    </row>
    <row r="652" spans="1:27" x14ac:dyDescent="0.3">
      <c r="A652" s="88">
        <v>650</v>
      </c>
      <c r="B652" s="173">
        <v>428</v>
      </c>
      <c r="C652" s="159"/>
      <c r="D652" s="88" t="s">
        <v>501</v>
      </c>
      <c r="E652" s="88" t="s">
        <v>743</v>
      </c>
      <c r="F652" s="88" t="s">
        <v>1327</v>
      </c>
      <c r="G652" s="88" t="s">
        <v>1280</v>
      </c>
      <c r="H652" s="88">
        <v>300844969700003</v>
      </c>
      <c r="I652" s="88"/>
      <c r="J652" s="49">
        <v>1</v>
      </c>
      <c r="K652" s="49">
        <v>5.2169999999999996</v>
      </c>
      <c r="L652" s="169">
        <f t="shared" si="40"/>
        <v>5.2169999999999996</v>
      </c>
      <c r="M652" s="169">
        <f t="shared" si="41"/>
        <v>1</v>
      </c>
      <c r="N652" s="169">
        <f t="shared" si="42"/>
        <v>0.78254999999999997</v>
      </c>
      <c r="O652" s="169">
        <f t="shared" si="43"/>
        <v>5.9995499999999993</v>
      </c>
      <c r="Z652" s="219"/>
      <c r="AA652" s="219"/>
    </row>
    <row r="653" spans="1:27" x14ac:dyDescent="0.3">
      <c r="A653" s="88">
        <v>651</v>
      </c>
      <c r="B653" s="173">
        <v>428</v>
      </c>
      <c r="C653" s="159"/>
      <c r="D653" s="88" t="s">
        <v>501</v>
      </c>
      <c r="E653" s="88" t="s">
        <v>743</v>
      </c>
      <c r="F653" s="88" t="s">
        <v>1328</v>
      </c>
      <c r="G653" s="88" t="s">
        <v>1280</v>
      </c>
      <c r="H653" s="88">
        <v>300844969700003</v>
      </c>
      <c r="I653" s="88"/>
      <c r="J653" s="49">
        <v>1</v>
      </c>
      <c r="K653" s="49">
        <v>6.5220000000000002</v>
      </c>
      <c r="L653" s="169">
        <f t="shared" si="40"/>
        <v>6.5220000000000002</v>
      </c>
      <c r="M653" s="169">
        <f t="shared" si="41"/>
        <v>1</v>
      </c>
      <c r="N653" s="169">
        <f t="shared" si="42"/>
        <v>0.97829999999999995</v>
      </c>
      <c r="O653" s="169">
        <f t="shared" si="43"/>
        <v>7.5003000000000002</v>
      </c>
      <c r="Z653" s="219"/>
      <c r="AA653" s="219"/>
    </row>
    <row r="654" spans="1:27" x14ac:dyDescent="0.3">
      <c r="A654" s="88">
        <v>652</v>
      </c>
      <c r="B654" s="173">
        <v>428</v>
      </c>
      <c r="C654" s="159"/>
      <c r="D654" s="88" t="s">
        <v>501</v>
      </c>
      <c r="E654" s="88" t="s">
        <v>743</v>
      </c>
      <c r="F654" s="88" t="s">
        <v>1329</v>
      </c>
      <c r="G654" s="88" t="s">
        <v>1280</v>
      </c>
      <c r="H654" s="88">
        <v>300844969700003</v>
      </c>
      <c r="I654" s="88"/>
      <c r="J654" s="49">
        <v>1</v>
      </c>
      <c r="K654" s="49">
        <v>2.1739999999999999</v>
      </c>
      <c r="L654" s="169">
        <f t="shared" si="40"/>
        <v>2.1739999999999999</v>
      </c>
      <c r="M654" s="169">
        <f>IF(H654="",0,1)</f>
        <v>1</v>
      </c>
      <c r="N654" s="169">
        <f t="shared" si="42"/>
        <v>0.3261</v>
      </c>
      <c r="O654" s="169">
        <f>N654+L654</f>
        <v>2.5000999999999998</v>
      </c>
      <c r="Z654" s="219"/>
      <c r="AA654" s="219"/>
    </row>
    <row r="655" spans="1:27" x14ac:dyDescent="0.3">
      <c r="A655" s="88">
        <v>653</v>
      </c>
      <c r="B655" s="173">
        <v>429</v>
      </c>
      <c r="C655" s="159"/>
      <c r="D655" s="88" t="s">
        <v>501</v>
      </c>
      <c r="E655" s="88" t="s">
        <v>740</v>
      </c>
      <c r="F655" s="88" t="s">
        <v>1330</v>
      </c>
      <c r="G655" s="88" t="s">
        <v>745</v>
      </c>
      <c r="H655" s="88">
        <v>311538356400003</v>
      </c>
      <c r="I655" s="88"/>
      <c r="J655" s="49">
        <v>2</v>
      </c>
      <c r="K655" s="49">
        <v>11.304</v>
      </c>
      <c r="L655" s="169">
        <f t="shared" si="40"/>
        <v>22.608000000000001</v>
      </c>
      <c r="M655" s="169">
        <f t="shared" si="41"/>
        <v>1</v>
      </c>
      <c r="N655" s="169">
        <f t="shared" si="42"/>
        <v>3.3912</v>
      </c>
      <c r="O655" s="169">
        <f>N655+L655</f>
        <v>25.999200000000002</v>
      </c>
      <c r="Z655" s="219"/>
      <c r="AA655" s="219"/>
    </row>
    <row r="656" spans="1:27" x14ac:dyDescent="0.3">
      <c r="A656" s="88">
        <v>654</v>
      </c>
      <c r="B656" s="173">
        <v>430</v>
      </c>
      <c r="C656" s="159"/>
      <c r="D656" s="88" t="s">
        <v>501</v>
      </c>
      <c r="E656" s="88" t="s">
        <v>715</v>
      </c>
      <c r="F656" s="88" t="s">
        <v>1323</v>
      </c>
      <c r="G656" s="176" t="s">
        <v>1331</v>
      </c>
      <c r="H656" s="88">
        <v>311403789100003</v>
      </c>
      <c r="I656" s="88"/>
      <c r="J656" s="49">
        <v>1</v>
      </c>
      <c r="K656" s="49">
        <v>69</v>
      </c>
      <c r="L656" s="169">
        <v>66.260000000000005</v>
      </c>
      <c r="M656" s="169">
        <f t="shared" si="41"/>
        <v>1</v>
      </c>
      <c r="N656" s="169">
        <f t="shared" si="42"/>
        <v>9.9390000000000001</v>
      </c>
      <c r="O656" s="169">
        <f t="shared" si="43"/>
        <v>76.199000000000012</v>
      </c>
      <c r="Z656" s="219"/>
      <c r="AA656" s="219"/>
    </row>
    <row r="657" spans="1:27" x14ac:dyDescent="0.3">
      <c r="A657" s="88">
        <v>655</v>
      </c>
      <c r="B657" s="173">
        <v>431</v>
      </c>
      <c r="C657" s="159"/>
      <c r="D657" s="88" t="s">
        <v>501</v>
      </c>
      <c r="E657" s="88" t="s">
        <v>715</v>
      </c>
      <c r="F657" s="88" t="s">
        <v>1323</v>
      </c>
      <c r="G657" s="176" t="s">
        <v>1331</v>
      </c>
      <c r="H657" s="88">
        <v>311403789100003</v>
      </c>
      <c r="I657" s="88"/>
      <c r="J657" s="49">
        <v>1</v>
      </c>
      <c r="K657" s="49">
        <v>3.0434000000000001</v>
      </c>
      <c r="L657" s="169">
        <f t="shared" si="40"/>
        <v>3.0434000000000001</v>
      </c>
      <c r="M657" s="169">
        <f t="shared" si="41"/>
        <v>1</v>
      </c>
      <c r="N657" s="169">
        <f t="shared" si="42"/>
        <v>0.45650999999999997</v>
      </c>
      <c r="O657" s="169">
        <f t="shared" si="43"/>
        <v>3.4999099999999999</v>
      </c>
      <c r="Z657" s="219"/>
      <c r="AA657" s="219"/>
    </row>
    <row r="658" spans="1:27" x14ac:dyDescent="0.3">
      <c r="A658" s="88">
        <v>656</v>
      </c>
      <c r="B658" s="173">
        <v>432</v>
      </c>
      <c r="C658" s="159"/>
      <c r="D658" s="88" t="s">
        <v>501</v>
      </c>
      <c r="E658" s="88" t="s">
        <v>771</v>
      </c>
      <c r="F658" s="88" t="s">
        <v>1332</v>
      </c>
      <c r="G658" s="88" t="s">
        <v>1282</v>
      </c>
      <c r="H658" s="88">
        <v>310266535300003</v>
      </c>
      <c r="I658" s="88"/>
      <c r="J658" s="49">
        <v>1</v>
      </c>
      <c r="K658" s="49">
        <v>21.739100000000001</v>
      </c>
      <c r="L658" s="169">
        <f t="shared" si="40"/>
        <v>21.739100000000001</v>
      </c>
      <c r="M658" s="169">
        <f t="shared" si="41"/>
        <v>1</v>
      </c>
      <c r="N658" s="169">
        <f t="shared" si="42"/>
        <v>3.2608649999999999</v>
      </c>
      <c r="O658" s="169">
        <f t="shared" si="43"/>
        <v>24.999965</v>
      </c>
      <c r="Z658" s="219"/>
      <c r="AA658" s="219"/>
    </row>
    <row r="659" spans="1:27" x14ac:dyDescent="0.3">
      <c r="A659" s="88">
        <v>657</v>
      </c>
      <c r="B659" s="173">
        <v>432</v>
      </c>
      <c r="C659" s="159"/>
      <c r="D659" s="88" t="s">
        <v>501</v>
      </c>
      <c r="E659" s="88" t="s">
        <v>771</v>
      </c>
      <c r="F659" s="88" t="s">
        <v>1333</v>
      </c>
      <c r="G659" s="88" t="s">
        <v>1282</v>
      </c>
      <c r="H659" s="88">
        <v>310266535300003</v>
      </c>
      <c r="I659" s="88"/>
      <c r="J659" s="49">
        <v>1</v>
      </c>
      <c r="K659" s="49">
        <v>78.260800000000003</v>
      </c>
      <c r="L659" s="169">
        <f t="shared" si="40"/>
        <v>78.260800000000003</v>
      </c>
      <c r="M659" s="169">
        <f t="shared" si="41"/>
        <v>1</v>
      </c>
      <c r="N659" s="169">
        <f t="shared" si="42"/>
        <v>11.73912</v>
      </c>
      <c r="O659" s="169">
        <f t="shared" si="43"/>
        <v>89.999920000000003</v>
      </c>
      <c r="Z659" s="219"/>
      <c r="AA659" s="219"/>
    </row>
    <row r="660" spans="1:27" x14ac:dyDescent="0.3">
      <c r="A660" s="88">
        <v>658</v>
      </c>
      <c r="B660" s="173">
        <v>433</v>
      </c>
      <c r="C660" s="159"/>
      <c r="D660" s="88" t="s">
        <v>501</v>
      </c>
      <c r="E660" s="88" t="s">
        <v>715</v>
      </c>
      <c r="F660" s="88" t="s">
        <v>1279</v>
      </c>
      <c r="G660" s="88" t="s">
        <v>1326</v>
      </c>
      <c r="H660" s="88">
        <v>311172172500003</v>
      </c>
      <c r="I660" s="88"/>
      <c r="J660" s="49">
        <v>1</v>
      </c>
      <c r="K660" s="49">
        <v>5.22</v>
      </c>
      <c r="L660" s="169">
        <f t="shared" si="40"/>
        <v>5.22</v>
      </c>
      <c r="M660" s="169">
        <f t="shared" si="41"/>
        <v>1</v>
      </c>
      <c r="N660" s="169">
        <f t="shared" si="42"/>
        <v>0.78299999999999992</v>
      </c>
      <c r="O660" s="169">
        <f t="shared" si="43"/>
        <v>6.0030000000000001</v>
      </c>
      <c r="Z660" s="219"/>
      <c r="AA660" s="219"/>
    </row>
    <row r="661" spans="1:27" x14ac:dyDescent="0.3">
      <c r="A661" s="88">
        <v>659</v>
      </c>
      <c r="B661" s="173">
        <v>434</v>
      </c>
      <c r="C661" s="159"/>
      <c r="D661" s="88" t="s">
        <v>501</v>
      </c>
      <c r="E661" s="88" t="s">
        <v>715</v>
      </c>
      <c r="F661" s="88" t="s">
        <v>1279</v>
      </c>
      <c r="G661" s="88" t="s">
        <v>1326</v>
      </c>
      <c r="H661" s="88">
        <v>311172172500003</v>
      </c>
      <c r="I661" s="88"/>
      <c r="J661" s="49">
        <v>1</v>
      </c>
      <c r="K661" s="49">
        <v>5.22</v>
      </c>
      <c r="L661" s="169">
        <f t="shared" si="40"/>
        <v>5.22</v>
      </c>
      <c r="M661" s="169">
        <f t="shared" si="41"/>
        <v>1</v>
      </c>
      <c r="N661" s="169">
        <f t="shared" si="42"/>
        <v>0.78299999999999992</v>
      </c>
      <c r="O661" s="169">
        <f t="shared" si="43"/>
        <v>6.0030000000000001</v>
      </c>
      <c r="Z661" s="219"/>
      <c r="AA661" s="219"/>
    </row>
    <row r="662" spans="1:27" x14ac:dyDescent="0.3">
      <c r="A662" s="88">
        <v>660</v>
      </c>
      <c r="B662" s="173">
        <v>435</v>
      </c>
      <c r="C662" s="159"/>
      <c r="D662" s="88" t="s">
        <v>501</v>
      </c>
      <c r="E662" s="88" t="s">
        <v>709</v>
      </c>
      <c r="F662" s="88" t="s">
        <v>577</v>
      </c>
      <c r="G662" s="88" t="s">
        <v>1334</v>
      </c>
      <c r="H662" s="88">
        <v>300042682300003</v>
      </c>
      <c r="I662" s="88"/>
      <c r="J662" s="49">
        <v>1</v>
      </c>
      <c r="K662" s="49">
        <v>4.3499999999999996</v>
      </c>
      <c r="L662" s="169">
        <f t="shared" si="40"/>
        <v>4.3499999999999996</v>
      </c>
      <c r="M662" s="169">
        <f t="shared" si="41"/>
        <v>1</v>
      </c>
      <c r="N662" s="169">
        <f t="shared" si="42"/>
        <v>0.65249999999999997</v>
      </c>
      <c r="O662" s="169">
        <f t="shared" si="43"/>
        <v>5.0024999999999995</v>
      </c>
      <c r="Z662" s="219"/>
      <c r="AA662" s="219"/>
    </row>
    <row r="663" spans="1:27" x14ac:dyDescent="0.3">
      <c r="A663" s="88">
        <v>661</v>
      </c>
      <c r="B663" s="173">
        <v>436</v>
      </c>
      <c r="C663" s="159"/>
      <c r="D663" s="88" t="s">
        <v>501</v>
      </c>
      <c r="E663" s="88" t="s">
        <v>715</v>
      </c>
      <c r="F663" s="88" t="s">
        <v>1335</v>
      </c>
      <c r="G663" s="88" t="s">
        <v>1280</v>
      </c>
      <c r="H663" s="88">
        <v>300844969700003</v>
      </c>
      <c r="I663" s="88"/>
      <c r="J663" s="49">
        <v>1</v>
      </c>
      <c r="K663" s="49">
        <v>3.0430000000000001</v>
      </c>
      <c r="L663" s="169">
        <f t="shared" si="40"/>
        <v>3.0430000000000001</v>
      </c>
      <c r="M663" s="169">
        <f t="shared" si="41"/>
        <v>1</v>
      </c>
      <c r="N663" s="169">
        <f t="shared" si="42"/>
        <v>0.45645000000000002</v>
      </c>
      <c r="O663" s="169">
        <f t="shared" si="43"/>
        <v>3.4994500000000004</v>
      </c>
      <c r="Z663" s="219"/>
      <c r="AA663" s="219"/>
    </row>
    <row r="664" spans="1:27" x14ac:dyDescent="0.3">
      <c r="A664" s="88">
        <v>662</v>
      </c>
      <c r="B664" s="173">
        <v>437</v>
      </c>
      <c r="C664" s="159"/>
      <c r="D664" s="88" t="s">
        <v>501</v>
      </c>
      <c r="E664" s="88" t="s">
        <v>709</v>
      </c>
      <c r="F664" s="88" t="s">
        <v>1247</v>
      </c>
      <c r="G664" s="88" t="s">
        <v>1336</v>
      </c>
      <c r="H664" s="88"/>
      <c r="I664" s="88"/>
      <c r="J664" s="49">
        <v>1</v>
      </c>
      <c r="K664" s="49">
        <v>7</v>
      </c>
      <c r="L664" s="169">
        <f t="shared" si="40"/>
        <v>7</v>
      </c>
      <c r="M664" s="169">
        <f t="shared" si="41"/>
        <v>0</v>
      </c>
      <c r="N664" s="169">
        <f t="shared" si="42"/>
        <v>0</v>
      </c>
      <c r="O664" s="169">
        <f t="shared" si="43"/>
        <v>7</v>
      </c>
      <c r="Z664" s="219"/>
      <c r="AA664" s="219"/>
    </row>
    <row r="665" spans="1:27" x14ac:dyDescent="0.3">
      <c r="A665" s="88">
        <v>663</v>
      </c>
      <c r="B665" s="173">
        <v>438</v>
      </c>
      <c r="C665" s="159"/>
      <c r="D665" s="88" t="s">
        <v>501</v>
      </c>
      <c r="E665" s="88" t="s">
        <v>715</v>
      </c>
      <c r="F665" s="88" t="s">
        <v>1279</v>
      </c>
      <c r="G665" s="88" t="s">
        <v>1326</v>
      </c>
      <c r="H665" s="88">
        <v>311172172500003</v>
      </c>
      <c r="I665" s="88"/>
      <c r="J665" s="49">
        <v>1</v>
      </c>
      <c r="K665" s="49">
        <v>5.22</v>
      </c>
      <c r="L665" s="169">
        <f t="shared" si="40"/>
        <v>5.22</v>
      </c>
      <c r="M665" s="169">
        <f t="shared" si="41"/>
        <v>1</v>
      </c>
      <c r="N665" s="169">
        <f t="shared" si="42"/>
        <v>0.78299999999999992</v>
      </c>
      <c r="O665" s="169">
        <f t="shared" si="43"/>
        <v>6.0030000000000001</v>
      </c>
      <c r="Z665" s="219"/>
      <c r="AA665" s="219"/>
    </row>
    <row r="666" spans="1:27" x14ac:dyDescent="0.3">
      <c r="A666" s="88">
        <v>664</v>
      </c>
      <c r="B666" s="173">
        <v>439</v>
      </c>
      <c r="C666" s="159"/>
      <c r="D666" s="88" t="s">
        <v>501</v>
      </c>
      <c r="E666" s="88" t="s">
        <v>715</v>
      </c>
      <c r="F666" s="88" t="s">
        <v>1279</v>
      </c>
      <c r="G666" s="88" t="s">
        <v>1326</v>
      </c>
      <c r="H666" s="88">
        <v>311172172500003</v>
      </c>
      <c r="I666" s="88"/>
      <c r="J666" s="49">
        <v>1</v>
      </c>
      <c r="K666" s="49">
        <v>5.22</v>
      </c>
      <c r="L666" s="169">
        <f t="shared" si="40"/>
        <v>5.22</v>
      </c>
      <c r="M666" s="169">
        <f t="shared" si="41"/>
        <v>1</v>
      </c>
      <c r="N666" s="169">
        <f t="shared" si="42"/>
        <v>0.78299999999999992</v>
      </c>
      <c r="O666" s="169">
        <f t="shared" si="43"/>
        <v>6.0030000000000001</v>
      </c>
      <c r="Z666" s="219"/>
      <c r="AA666" s="219"/>
    </row>
    <row r="667" spans="1:27" x14ac:dyDescent="0.3">
      <c r="A667" s="88">
        <v>665</v>
      </c>
      <c r="B667" s="173">
        <v>440</v>
      </c>
      <c r="C667" s="159"/>
      <c r="D667" s="88" t="s">
        <v>501</v>
      </c>
      <c r="E667" s="88" t="s">
        <v>722</v>
      </c>
      <c r="F667" s="88" t="s">
        <v>1337</v>
      </c>
      <c r="G667" s="88" t="s">
        <v>1280</v>
      </c>
      <c r="H667" s="88">
        <v>300844969700003</v>
      </c>
      <c r="I667" s="88"/>
      <c r="J667" s="49">
        <v>1</v>
      </c>
      <c r="K667" s="49">
        <v>10.435</v>
      </c>
      <c r="L667" s="169">
        <f t="shared" si="40"/>
        <v>10.435</v>
      </c>
      <c r="M667" s="169">
        <f t="shared" si="41"/>
        <v>1</v>
      </c>
      <c r="N667" s="169">
        <f t="shared" si="42"/>
        <v>1.56525</v>
      </c>
      <c r="O667" s="169">
        <f t="shared" si="43"/>
        <v>12.000250000000001</v>
      </c>
      <c r="Z667" s="219"/>
      <c r="AA667" s="219"/>
    </row>
    <row r="668" spans="1:27" x14ac:dyDescent="0.3">
      <c r="A668" s="88">
        <v>666</v>
      </c>
      <c r="B668" s="173">
        <v>441</v>
      </c>
      <c r="C668" s="159"/>
      <c r="D668" s="88" t="s">
        <v>501</v>
      </c>
      <c r="E668" s="88" t="s">
        <v>715</v>
      </c>
      <c r="F668" s="88" t="s">
        <v>1279</v>
      </c>
      <c r="G668" s="88" t="s">
        <v>1280</v>
      </c>
      <c r="H668" s="88">
        <v>300844969700003</v>
      </c>
      <c r="I668" s="88"/>
      <c r="J668" s="49">
        <v>1</v>
      </c>
      <c r="K668" s="49">
        <v>6.0869999999999997</v>
      </c>
      <c r="L668" s="169">
        <f t="shared" si="40"/>
        <v>6.0869999999999997</v>
      </c>
      <c r="M668" s="169">
        <f t="shared" si="41"/>
        <v>1</v>
      </c>
      <c r="N668" s="169">
        <f t="shared" si="42"/>
        <v>0.91304999999999992</v>
      </c>
      <c r="O668" s="169">
        <f t="shared" si="43"/>
        <v>7.0000499999999999</v>
      </c>
      <c r="Z668" s="219"/>
      <c r="AA668" s="219"/>
    </row>
    <row r="669" spans="1:27" x14ac:dyDescent="0.3">
      <c r="A669" s="88">
        <v>667</v>
      </c>
      <c r="B669" s="173">
        <v>442</v>
      </c>
      <c r="C669" s="159"/>
      <c r="D669" s="88" t="s">
        <v>501</v>
      </c>
      <c r="E669" s="88" t="s">
        <v>715</v>
      </c>
      <c r="F669" s="88" t="s">
        <v>1279</v>
      </c>
      <c r="G669" s="88" t="s">
        <v>1274</v>
      </c>
      <c r="H669" s="88">
        <v>300272021500003</v>
      </c>
      <c r="I669" s="88"/>
      <c r="J669" s="49">
        <v>1</v>
      </c>
      <c r="K669" s="49">
        <v>5.21739</v>
      </c>
      <c r="L669" s="169">
        <f t="shared" si="40"/>
        <v>5.21739</v>
      </c>
      <c r="M669" s="169">
        <f t="shared" si="41"/>
        <v>1</v>
      </c>
      <c r="N669" s="169">
        <f t="shared" si="42"/>
        <v>0.78260849999999993</v>
      </c>
      <c r="O669" s="169">
        <f t="shared" si="43"/>
        <v>5.9999985000000002</v>
      </c>
      <c r="Z669" s="219"/>
      <c r="AA669" s="219"/>
    </row>
    <row r="670" spans="1:27" x14ac:dyDescent="0.3">
      <c r="A670" s="88">
        <v>668</v>
      </c>
      <c r="B670" s="173">
        <v>443</v>
      </c>
      <c r="C670" s="159"/>
      <c r="D670" s="88" t="s">
        <v>501</v>
      </c>
      <c r="E670" s="88" t="s">
        <v>715</v>
      </c>
      <c r="F670" s="88" t="s">
        <v>1279</v>
      </c>
      <c r="G670" s="88" t="s">
        <v>1280</v>
      </c>
      <c r="H670" s="88">
        <v>300844969700003</v>
      </c>
      <c r="I670" s="88"/>
      <c r="J670" s="49">
        <v>1</v>
      </c>
      <c r="K670" s="49">
        <v>6.0869999999999997</v>
      </c>
      <c r="L670" s="169">
        <f t="shared" si="40"/>
        <v>6.0869999999999997</v>
      </c>
      <c r="M670" s="169">
        <f t="shared" si="41"/>
        <v>1</v>
      </c>
      <c r="N670" s="169">
        <f t="shared" si="42"/>
        <v>0.91304999999999992</v>
      </c>
      <c r="O670" s="169">
        <f t="shared" si="43"/>
        <v>7.0000499999999999</v>
      </c>
      <c r="Z670" s="219"/>
      <c r="AA670" s="219"/>
    </row>
    <row r="671" spans="1:27" x14ac:dyDescent="0.3">
      <c r="A671" s="88">
        <v>669</v>
      </c>
      <c r="B671" s="173">
        <v>444</v>
      </c>
      <c r="C671" s="159"/>
      <c r="D671" s="88" t="s">
        <v>501</v>
      </c>
      <c r="E671" s="88" t="s">
        <v>715</v>
      </c>
      <c r="F671" s="88" t="s">
        <v>1279</v>
      </c>
      <c r="G671" s="88" t="s">
        <v>1280</v>
      </c>
      <c r="H671" s="88">
        <v>300844969700003</v>
      </c>
      <c r="I671" s="88"/>
      <c r="J671" s="49">
        <v>1</v>
      </c>
      <c r="K671" s="49">
        <v>6.0869999999999997</v>
      </c>
      <c r="L671" s="169">
        <f t="shared" si="40"/>
        <v>6.0869999999999997</v>
      </c>
      <c r="M671" s="169">
        <f t="shared" si="41"/>
        <v>1</v>
      </c>
      <c r="N671" s="169">
        <f t="shared" si="42"/>
        <v>0.91304999999999992</v>
      </c>
      <c r="O671" s="169">
        <f t="shared" si="43"/>
        <v>7.0000499999999999</v>
      </c>
      <c r="Z671" s="219"/>
      <c r="AA671" s="219"/>
    </row>
    <row r="672" spans="1:27" x14ac:dyDescent="0.3">
      <c r="A672" s="88">
        <v>670</v>
      </c>
      <c r="B672" s="173">
        <v>445</v>
      </c>
      <c r="C672" s="159"/>
      <c r="D672" s="88" t="s">
        <v>501</v>
      </c>
      <c r="E672" s="88" t="s">
        <v>763</v>
      </c>
      <c r="F672" s="88" t="s">
        <v>1263</v>
      </c>
      <c r="G672" s="88" t="s">
        <v>1301</v>
      </c>
      <c r="H672" s="88">
        <v>300053476600003</v>
      </c>
      <c r="I672" s="88"/>
      <c r="J672" s="49">
        <v>10</v>
      </c>
      <c r="K672" s="49">
        <v>78.260999999999996</v>
      </c>
      <c r="L672" s="169">
        <f>K672*J672</f>
        <v>782.6099999999999</v>
      </c>
      <c r="M672" s="169">
        <f t="shared" si="41"/>
        <v>1</v>
      </c>
      <c r="N672" s="169">
        <f t="shared" si="42"/>
        <v>117.39149999999998</v>
      </c>
      <c r="O672" s="169">
        <f t="shared" si="43"/>
        <v>900.00149999999985</v>
      </c>
      <c r="Z672" s="219"/>
      <c r="AA672" s="219"/>
    </row>
    <row r="673" spans="1:27" x14ac:dyDescent="0.3">
      <c r="A673" s="88">
        <v>671</v>
      </c>
      <c r="B673" s="173">
        <v>446</v>
      </c>
      <c r="C673" s="159"/>
      <c r="D673" s="88" t="s">
        <v>501</v>
      </c>
      <c r="E673" s="88" t="s">
        <v>820</v>
      </c>
      <c r="F673" s="88" t="s">
        <v>1338</v>
      </c>
      <c r="G673" s="88" t="s">
        <v>1289</v>
      </c>
      <c r="H673" s="88">
        <v>300053476600003</v>
      </c>
      <c r="I673" s="88" t="s">
        <v>1306</v>
      </c>
      <c r="J673" s="49">
        <v>53.7</v>
      </c>
      <c r="K673" s="49">
        <v>40</v>
      </c>
      <c r="L673" s="169">
        <f t="shared" si="40"/>
        <v>2148</v>
      </c>
      <c r="M673" s="169">
        <f t="shared" si="41"/>
        <v>1</v>
      </c>
      <c r="N673" s="169">
        <f t="shared" si="42"/>
        <v>322.2</v>
      </c>
      <c r="O673" s="169">
        <f t="shared" si="43"/>
        <v>2470.1999999999998</v>
      </c>
      <c r="Z673" s="219"/>
      <c r="AA673" s="219"/>
    </row>
    <row r="674" spans="1:27" x14ac:dyDescent="0.3">
      <c r="A674" s="88">
        <v>672</v>
      </c>
      <c r="B674" s="173">
        <v>447</v>
      </c>
      <c r="C674" s="159"/>
      <c r="D674" s="88" t="s">
        <v>501</v>
      </c>
      <c r="E674" s="88" t="s">
        <v>820</v>
      </c>
      <c r="F674" s="88" t="s">
        <v>1339</v>
      </c>
      <c r="G674" s="88" t="s">
        <v>1289</v>
      </c>
      <c r="H674" s="88">
        <v>300053476600003</v>
      </c>
      <c r="I674" s="88" t="s">
        <v>1306</v>
      </c>
      <c r="J674" s="49">
        <v>38.58</v>
      </c>
      <c r="K674" s="49">
        <v>27</v>
      </c>
      <c r="L674" s="169">
        <f t="shared" si="40"/>
        <v>1041.6599999999999</v>
      </c>
      <c r="M674" s="169">
        <f t="shared" si="41"/>
        <v>1</v>
      </c>
      <c r="N674" s="169">
        <f t="shared" si="42"/>
        <v>156.24899999999997</v>
      </c>
      <c r="O674" s="169">
        <f t="shared" si="43"/>
        <v>1197.9089999999999</v>
      </c>
      <c r="Z674" s="219"/>
      <c r="AA674" s="219"/>
    </row>
    <row r="675" spans="1:27" x14ac:dyDescent="0.3">
      <c r="A675" s="88">
        <v>673</v>
      </c>
      <c r="B675" s="173">
        <v>448</v>
      </c>
      <c r="C675" s="159"/>
      <c r="D675" s="88" t="s">
        <v>501</v>
      </c>
      <c r="E675" s="88" t="s">
        <v>789</v>
      </c>
      <c r="F675" s="88" t="s">
        <v>1341</v>
      </c>
      <c r="G675" s="88" t="s">
        <v>1340</v>
      </c>
      <c r="H675" s="88">
        <v>311241254200003</v>
      </c>
      <c r="I675" s="88"/>
      <c r="J675" s="49">
        <v>3</v>
      </c>
      <c r="K675" s="49">
        <v>53</v>
      </c>
      <c r="L675" s="169">
        <f t="shared" si="40"/>
        <v>159</v>
      </c>
      <c r="M675" s="169">
        <f t="shared" si="41"/>
        <v>1</v>
      </c>
      <c r="N675" s="169">
        <f t="shared" si="42"/>
        <v>23.849999999999998</v>
      </c>
      <c r="O675" s="169">
        <f t="shared" si="43"/>
        <v>182.85</v>
      </c>
      <c r="Z675" s="219"/>
      <c r="AA675" s="219"/>
    </row>
    <row r="676" spans="1:27" x14ac:dyDescent="0.3">
      <c r="A676" s="88">
        <v>674</v>
      </c>
      <c r="B676" s="173">
        <v>448</v>
      </c>
      <c r="C676" s="159"/>
      <c r="D676" s="88" t="s">
        <v>501</v>
      </c>
      <c r="E676" s="88" t="s">
        <v>789</v>
      </c>
      <c r="F676" s="88" t="s">
        <v>1342</v>
      </c>
      <c r="G676" s="88" t="s">
        <v>1340</v>
      </c>
      <c r="H676" s="88">
        <v>311241254200003</v>
      </c>
      <c r="I676" s="88"/>
      <c r="J676" s="49">
        <v>1</v>
      </c>
      <c r="K676" s="49">
        <v>50</v>
      </c>
      <c r="L676" s="169">
        <f t="shared" si="40"/>
        <v>50</v>
      </c>
      <c r="M676" s="169">
        <f t="shared" si="41"/>
        <v>1</v>
      </c>
      <c r="N676" s="169">
        <f t="shared" si="42"/>
        <v>7.5</v>
      </c>
      <c r="O676" s="169">
        <f t="shared" si="43"/>
        <v>57.5</v>
      </c>
      <c r="Z676" s="219"/>
      <c r="AA676" s="219"/>
    </row>
    <row r="677" spans="1:27" x14ac:dyDescent="0.3">
      <c r="A677" s="88">
        <v>675</v>
      </c>
      <c r="B677" s="173">
        <v>449</v>
      </c>
      <c r="C677" s="159"/>
      <c r="D677" s="88" t="s">
        <v>501</v>
      </c>
      <c r="E677" s="88" t="s">
        <v>736</v>
      </c>
      <c r="F677" s="88" t="s">
        <v>608</v>
      </c>
      <c r="G677" s="88" t="s">
        <v>1343</v>
      </c>
      <c r="H677" s="88"/>
      <c r="I677" s="88"/>
      <c r="J677" s="49">
        <v>1</v>
      </c>
      <c r="K677" s="49">
        <v>20</v>
      </c>
      <c r="L677" s="169">
        <f t="shared" si="40"/>
        <v>20</v>
      </c>
      <c r="M677" s="169">
        <f t="shared" si="41"/>
        <v>0</v>
      </c>
      <c r="N677" s="169">
        <f t="shared" si="42"/>
        <v>0</v>
      </c>
      <c r="O677" s="169">
        <f t="shared" si="43"/>
        <v>20</v>
      </c>
      <c r="Z677" s="219"/>
      <c r="AA677" s="219"/>
    </row>
    <row r="678" spans="1:27" x14ac:dyDescent="0.3">
      <c r="A678" s="88">
        <v>676</v>
      </c>
      <c r="B678" s="173">
        <v>450</v>
      </c>
      <c r="C678" s="159"/>
      <c r="D678" s="88" t="s">
        <v>501</v>
      </c>
      <c r="E678" s="88" t="s">
        <v>736</v>
      </c>
      <c r="F678" s="88" t="s">
        <v>608</v>
      </c>
      <c r="G678" s="88" t="s">
        <v>1343</v>
      </c>
      <c r="H678" s="88"/>
      <c r="I678" s="88"/>
      <c r="J678" s="49">
        <v>1</v>
      </c>
      <c r="K678" s="49">
        <v>20</v>
      </c>
      <c r="L678" s="169">
        <f t="shared" si="40"/>
        <v>20</v>
      </c>
      <c r="M678" s="169">
        <f t="shared" si="41"/>
        <v>0</v>
      </c>
      <c r="N678" s="169">
        <f t="shared" si="42"/>
        <v>0</v>
      </c>
      <c r="O678" s="169">
        <f t="shared" si="43"/>
        <v>20</v>
      </c>
      <c r="Z678" s="219"/>
      <c r="AA678" s="219"/>
    </row>
    <row r="679" spans="1:27" x14ac:dyDescent="0.3">
      <c r="A679" s="88">
        <v>677</v>
      </c>
      <c r="B679" s="173">
        <v>451</v>
      </c>
      <c r="C679" s="159"/>
      <c r="D679" s="88" t="s">
        <v>501</v>
      </c>
      <c r="E679" s="88" t="s">
        <v>757</v>
      </c>
      <c r="F679" s="88" t="s">
        <v>934</v>
      </c>
      <c r="G679" s="88" t="s">
        <v>915</v>
      </c>
      <c r="H679" s="88"/>
      <c r="I679" s="88"/>
      <c r="J679" s="49">
        <v>2</v>
      </c>
      <c r="K679" s="49">
        <v>5</v>
      </c>
      <c r="L679" s="169">
        <f t="shared" si="40"/>
        <v>10</v>
      </c>
      <c r="M679" s="169">
        <f t="shared" si="41"/>
        <v>0</v>
      </c>
      <c r="N679" s="169">
        <f t="shared" si="42"/>
        <v>0</v>
      </c>
      <c r="O679" s="169">
        <f t="shared" si="43"/>
        <v>10</v>
      </c>
      <c r="Z679" s="219"/>
      <c r="AA679" s="219"/>
    </row>
    <row r="680" spans="1:27" x14ac:dyDescent="0.3">
      <c r="A680" s="88">
        <v>678</v>
      </c>
      <c r="B680" s="173">
        <v>452</v>
      </c>
      <c r="C680" s="159"/>
      <c r="D680" s="88" t="s">
        <v>501</v>
      </c>
      <c r="E680" s="88" t="s">
        <v>789</v>
      </c>
      <c r="F680" s="88" t="s">
        <v>1344</v>
      </c>
      <c r="G680" s="88" t="s">
        <v>1081</v>
      </c>
      <c r="H680" s="88">
        <v>310147616200003</v>
      </c>
      <c r="I680" s="88"/>
      <c r="J680" s="49">
        <v>1</v>
      </c>
      <c r="K680" s="49">
        <v>40</v>
      </c>
      <c r="L680" s="169">
        <f t="shared" si="40"/>
        <v>40</v>
      </c>
      <c r="M680" s="169">
        <f t="shared" si="41"/>
        <v>1</v>
      </c>
      <c r="N680" s="169">
        <f t="shared" si="42"/>
        <v>6</v>
      </c>
      <c r="O680" s="169">
        <f t="shared" si="43"/>
        <v>46</v>
      </c>
      <c r="Z680" s="219"/>
      <c r="AA680" s="219"/>
    </row>
    <row r="681" spans="1:27" x14ac:dyDescent="0.3">
      <c r="A681" s="88">
        <v>679</v>
      </c>
      <c r="B681" s="173">
        <v>453</v>
      </c>
      <c r="C681" s="159"/>
      <c r="D681" s="88" t="s">
        <v>502</v>
      </c>
      <c r="E681" s="88" t="s">
        <v>715</v>
      </c>
      <c r="F681" s="88" t="s">
        <v>1276</v>
      </c>
      <c r="G681" s="88" t="s">
        <v>1345</v>
      </c>
      <c r="H681" s="88"/>
      <c r="I681" s="88"/>
      <c r="J681" s="49">
        <v>1</v>
      </c>
      <c r="K681" s="49">
        <v>20</v>
      </c>
      <c r="L681" s="169">
        <f t="shared" si="40"/>
        <v>20</v>
      </c>
      <c r="M681" s="169">
        <f t="shared" si="41"/>
        <v>0</v>
      </c>
      <c r="N681" s="169">
        <f t="shared" si="42"/>
        <v>0</v>
      </c>
      <c r="O681" s="169">
        <f t="shared" si="43"/>
        <v>20</v>
      </c>
      <c r="Z681" s="219"/>
      <c r="AA681" s="219"/>
    </row>
    <row r="682" spans="1:27" x14ac:dyDescent="0.3">
      <c r="A682" s="88">
        <v>680</v>
      </c>
      <c r="B682" s="173">
        <v>454</v>
      </c>
      <c r="C682" s="159"/>
      <c r="D682" s="88" t="s">
        <v>502</v>
      </c>
      <c r="E682" s="88" t="s">
        <v>715</v>
      </c>
      <c r="F682" s="88" t="s">
        <v>1323</v>
      </c>
      <c r="G682" s="176" t="s">
        <v>1331</v>
      </c>
      <c r="H682" s="88">
        <v>311403789100003</v>
      </c>
      <c r="I682" s="88" t="s">
        <v>776</v>
      </c>
      <c r="J682" s="49">
        <v>1</v>
      </c>
      <c r="K682" s="49">
        <v>23.826000000000001</v>
      </c>
      <c r="L682" s="169">
        <f t="shared" si="40"/>
        <v>23.826000000000001</v>
      </c>
      <c r="M682" s="169">
        <f t="shared" si="41"/>
        <v>1</v>
      </c>
      <c r="N682" s="169">
        <f t="shared" si="42"/>
        <v>3.5739000000000001</v>
      </c>
      <c r="O682" s="169">
        <f t="shared" si="43"/>
        <v>27.399900000000002</v>
      </c>
      <c r="Z682" s="219"/>
      <c r="AA682" s="219"/>
    </row>
    <row r="683" spans="1:27" x14ac:dyDescent="0.3">
      <c r="A683" s="88">
        <v>681</v>
      </c>
      <c r="B683" s="173">
        <v>455</v>
      </c>
      <c r="C683" s="159"/>
      <c r="D683" s="88" t="s">
        <v>502</v>
      </c>
      <c r="E683" s="88" t="s">
        <v>740</v>
      </c>
      <c r="F683" s="88" t="s">
        <v>1270</v>
      </c>
      <c r="G683" s="88" t="s">
        <v>1275</v>
      </c>
      <c r="H683" s="88">
        <v>300498479600003</v>
      </c>
      <c r="I683" s="88" t="s">
        <v>776</v>
      </c>
      <c r="J683" s="49">
        <v>6</v>
      </c>
      <c r="K683" s="49">
        <v>1</v>
      </c>
      <c r="L683" s="169">
        <f t="shared" si="40"/>
        <v>6</v>
      </c>
      <c r="M683" s="169">
        <f t="shared" si="41"/>
        <v>1</v>
      </c>
      <c r="N683" s="169">
        <f t="shared" si="42"/>
        <v>0.89999999999999991</v>
      </c>
      <c r="O683" s="169">
        <f>N683+L683</f>
        <v>6.9</v>
      </c>
      <c r="Z683" s="219"/>
      <c r="AA683" s="219"/>
    </row>
    <row r="684" spans="1:27" x14ac:dyDescent="0.3">
      <c r="A684" s="88">
        <v>682</v>
      </c>
      <c r="B684" s="173">
        <v>456</v>
      </c>
      <c r="C684" s="159"/>
      <c r="D684" s="88" t="s">
        <v>502</v>
      </c>
      <c r="E684" s="88" t="s">
        <v>740</v>
      </c>
      <c r="F684" s="88" t="s">
        <v>1270</v>
      </c>
      <c r="G684" s="88" t="s">
        <v>1275</v>
      </c>
      <c r="H684" s="88">
        <v>300498479600003</v>
      </c>
      <c r="I684" s="88" t="s">
        <v>776</v>
      </c>
      <c r="J684" s="49">
        <v>6</v>
      </c>
      <c r="K684" s="49">
        <v>1</v>
      </c>
      <c r="L684" s="169">
        <f t="shared" si="40"/>
        <v>6</v>
      </c>
      <c r="M684" s="169">
        <f t="shared" si="41"/>
        <v>1</v>
      </c>
      <c r="N684" s="169">
        <f t="shared" si="42"/>
        <v>0.89999999999999991</v>
      </c>
      <c r="O684" s="169">
        <f>N684+L684</f>
        <v>6.9</v>
      </c>
      <c r="Z684" s="219"/>
      <c r="AA684" s="219"/>
    </row>
    <row r="685" spans="1:27" x14ac:dyDescent="0.3">
      <c r="A685" s="88">
        <v>683</v>
      </c>
      <c r="B685" s="173">
        <v>457</v>
      </c>
      <c r="C685" s="159"/>
      <c r="D685" s="88" t="s">
        <v>502</v>
      </c>
      <c r="E685" s="88" t="s">
        <v>740</v>
      </c>
      <c r="F685" s="88" t="s">
        <v>1270</v>
      </c>
      <c r="G685" s="88" t="s">
        <v>1275</v>
      </c>
      <c r="H685" s="88">
        <v>300498479600003</v>
      </c>
      <c r="I685" s="88" t="s">
        <v>776</v>
      </c>
      <c r="J685" s="49">
        <v>6</v>
      </c>
      <c r="K685" s="49">
        <v>1</v>
      </c>
      <c r="L685" s="169">
        <f t="shared" si="40"/>
        <v>6</v>
      </c>
      <c r="M685" s="169">
        <f t="shared" si="41"/>
        <v>1</v>
      </c>
      <c r="N685" s="169">
        <f t="shared" si="42"/>
        <v>0.89999999999999991</v>
      </c>
      <c r="O685" s="169">
        <f t="shared" si="43"/>
        <v>6.9</v>
      </c>
      <c r="Z685" s="219"/>
      <c r="AA685" s="219"/>
    </row>
    <row r="686" spans="1:27" x14ac:dyDescent="0.3">
      <c r="A686" s="88">
        <v>684</v>
      </c>
      <c r="B686" s="173">
        <v>458</v>
      </c>
      <c r="C686" s="159"/>
      <c r="D686" s="88" t="s">
        <v>502</v>
      </c>
      <c r="E686" s="88" t="s">
        <v>740</v>
      </c>
      <c r="F686" s="88" t="s">
        <v>1270</v>
      </c>
      <c r="G686" s="88" t="s">
        <v>1275</v>
      </c>
      <c r="H686" s="88">
        <v>300498479600003</v>
      </c>
      <c r="I686" s="88" t="s">
        <v>776</v>
      </c>
      <c r="J686" s="49">
        <v>5</v>
      </c>
      <c r="K686" s="49">
        <v>1</v>
      </c>
      <c r="L686" s="169">
        <f t="shared" si="40"/>
        <v>5</v>
      </c>
      <c r="M686" s="169">
        <f t="shared" si="41"/>
        <v>1</v>
      </c>
      <c r="N686" s="169">
        <f t="shared" si="42"/>
        <v>0.75</v>
      </c>
      <c r="O686" s="169">
        <f t="shared" si="43"/>
        <v>5.75</v>
      </c>
      <c r="Z686" s="219"/>
      <c r="AA686" s="219"/>
    </row>
    <row r="687" spans="1:27" x14ac:dyDescent="0.3">
      <c r="A687" s="88">
        <v>685</v>
      </c>
      <c r="B687" s="173">
        <v>459</v>
      </c>
      <c r="C687" s="159"/>
      <c r="D687" s="88" t="s">
        <v>502</v>
      </c>
      <c r="E687" s="88" t="s">
        <v>740</v>
      </c>
      <c r="F687" s="88" t="s">
        <v>1270</v>
      </c>
      <c r="G687" s="88" t="s">
        <v>1275</v>
      </c>
      <c r="H687" s="88">
        <v>300498479600003</v>
      </c>
      <c r="I687" s="88" t="s">
        <v>776</v>
      </c>
      <c r="J687" s="49">
        <v>2</v>
      </c>
      <c r="K687" s="49">
        <v>1.3</v>
      </c>
      <c r="L687" s="169">
        <f t="shared" si="40"/>
        <v>2.6</v>
      </c>
      <c r="M687" s="169">
        <f t="shared" si="41"/>
        <v>1</v>
      </c>
      <c r="N687" s="169">
        <f t="shared" si="42"/>
        <v>0.39</v>
      </c>
      <c r="O687" s="169">
        <f t="shared" si="43"/>
        <v>2.99</v>
      </c>
      <c r="Z687" s="219"/>
      <c r="AA687" s="219"/>
    </row>
    <row r="688" spans="1:27" x14ac:dyDescent="0.3">
      <c r="A688" s="88">
        <v>686</v>
      </c>
      <c r="B688" s="173">
        <v>460</v>
      </c>
      <c r="C688" s="159"/>
      <c r="D688" s="88" t="s">
        <v>502</v>
      </c>
      <c r="E688" s="88" t="s">
        <v>740</v>
      </c>
      <c r="F688" s="88" t="s">
        <v>1270</v>
      </c>
      <c r="G688" s="88" t="s">
        <v>1275</v>
      </c>
      <c r="H688" s="88">
        <v>300498479600003</v>
      </c>
      <c r="I688" s="88" t="s">
        <v>776</v>
      </c>
      <c r="J688" s="49">
        <v>5</v>
      </c>
      <c r="K688" s="49">
        <v>1</v>
      </c>
      <c r="L688" s="169">
        <f t="shared" si="40"/>
        <v>5</v>
      </c>
      <c r="M688" s="169">
        <f t="shared" si="41"/>
        <v>1</v>
      </c>
      <c r="N688" s="169">
        <f t="shared" si="42"/>
        <v>0.75</v>
      </c>
      <c r="O688" s="169">
        <f t="shared" si="43"/>
        <v>5.75</v>
      </c>
      <c r="Z688" s="219"/>
      <c r="AA688" s="219"/>
    </row>
    <row r="689" spans="1:27" x14ac:dyDescent="0.3">
      <c r="A689" s="88">
        <v>687</v>
      </c>
      <c r="B689" s="173">
        <v>461</v>
      </c>
      <c r="C689" s="159"/>
      <c r="D689" s="88" t="s">
        <v>502</v>
      </c>
      <c r="E689" s="88" t="s">
        <v>740</v>
      </c>
      <c r="F689" s="88" t="s">
        <v>1270</v>
      </c>
      <c r="G689" s="88" t="s">
        <v>1275</v>
      </c>
      <c r="H689" s="88">
        <v>300498479600003</v>
      </c>
      <c r="I689" s="88" t="s">
        <v>776</v>
      </c>
      <c r="J689" s="49">
        <v>6</v>
      </c>
      <c r="K689" s="49">
        <v>1</v>
      </c>
      <c r="L689" s="169">
        <f t="shared" si="40"/>
        <v>6</v>
      </c>
      <c r="M689" s="169">
        <f t="shared" si="41"/>
        <v>1</v>
      </c>
      <c r="N689" s="169">
        <f t="shared" si="42"/>
        <v>0.89999999999999991</v>
      </c>
      <c r="O689" s="169">
        <f t="shared" si="43"/>
        <v>6.9</v>
      </c>
      <c r="Z689" s="219"/>
      <c r="AA689" s="219"/>
    </row>
    <row r="690" spans="1:27" x14ac:dyDescent="0.3">
      <c r="A690" s="88">
        <v>688</v>
      </c>
      <c r="B690" s="173">
        <v>462</v>
      </c>
      <c r="C690" s="159"/>
      <c r="D690" s="88" t="s">
        <v>502</v>
      </c>
      <c r="E690" s="88" t="s">
        <v>740</v>
      </c>
      <c r="F690" s="88" t="s">
        <v>1270</v>
      </c>
      <c r="G690" s="88" t="s">
        <v>1275</v>
      </c>
      <c r="H690" s="88">
        <v>300498479600003</v>
      </c>
      <c r="I690" s="88" t="s">
        <v>776</v>
      </c>
      <c r="J690" s="49">
        <v>6</v>
      </c>
      <c r="K690" s="49">
        <v>1</v>
      </c>
      <c r="L690" s="169">
        <f t="shared" si="40"/>
        <v>6</v>
      </c>
      <c r="M690" s="169">
        <f t="shared" si="41"/>
        <v>1</v>
      </c>
      <c r="N690" s="169">
        <f t="shared" si="42"/>
        <v>0.89999999999999991</v>
      </c>
      <c r="O690" s="169">
        <f t="shared" si="43"/>
        <v>6.9</v>
      </c>
      <c r="Z690" s="219"/>
      <c r="AA690" s="219"/>
    </row>
    <row r="691" spans="1:27" x14ac:dyDescent="0.3">
      <c r="A691" s="88">
        <v>689</v>
      </c>
      <c r="B691" s="173">
        <v>463</v>
      </c>
      <c r="C691" s="159"/>
      <c r="D691" s="88" t="s">
        <v>502</v>
      </c>
      <c r="E691" s="88" t="s">
        <v>740</v>
      </c>
      <c r="F691" s="88" t="s">
        <v>1270</v>
      </c>
      <c r="G691" s="88" t="s">
        <v>1275</v>
      </c>
      <c r="H691" s="88">
        <v>300498479600003</v>
      </c>
      <c r="I691" s="88" t="s">
        <v>776</v>
      </c>
      <c r="J691" s="49">
        <v>1</v>
      </c>
      <c r="K691" s="49">
        <v>1.3</v>
      </c>
      <c r="L691" s="169">
        <f t="shared" si="40"/>
        <v>1.3</v>
      </c>
      <c r="M691" s="169">
        <f t="shared" si="41"/>
        <v>1</v>
      </c>
      <c r="N691" s="169">
        <f t="shared" si="42"/>
        <v>0.19500000000000001</v>
      </c>
      <c r="O691" s="169">
        <f t="shared" si="43"/>
        <v>1.4950000000000001</v>
      </c>
      <c r="Z691" s="219"/>
      <c r="AA691" s="219"/>
    </row>
    <row r="692" spans="1:27" x14ac:dyDescent="0.3">
      <c r="A692" s="88">
        <v>690</v>
      </c>
      <c r="B692" s="173">
        <v>464</v>
      </c>
      <c r="C692" s="159"/>
      <c r="D692" s="88" t="s">
        <v>502</v>
      </c>
      <c r="E692" s="88" t="s">
        <v>740</v>
      </c>
      <c r="F692" s="88" t="s">
        <v>1270</v>
      </c>
      <c r="G692" s="88" t="s">
        <v>1275</v>
      </c>
      <c r="H692" s="88">
        <v>300498479600003</v>
      </c>
      <c r="I692" s="88" t="s">
        <v>776</v>
      </c>
      <c r="J692" s="49">
        <v>5</v>
      </c>
      <c r="K692" s="49">
        <v>1</v>
      </c>
      <c r="L692" s="169">
        <f t="shared" si="40"/>
        <v>5</v>
      </c>
      <c r="M692" s="169">
        <f t="shared" si="41"/>
        <v>1</v>
      </c>
      <c r="N692" s="169">
        <f t="shared" si="42"/>
        <v>0.75</v>
      </c>
      <c r="O692" s="169">
        <f t="shared" si="43"/>
        <v>5.75</v>
      </c>
      <c r="Z692" s="219"/>
      <c r="AA692" s="219"/>
    </row>
    <row r="693" spans="1:27" x14ac:dyDescent="0.3">
      <c r="A693" s="88">
        <v>691</v>
      </c>
      <c r="B693" s="173">
        <v>465</v>
      </c>
      <c r="C693" s="159"/>
      <c r="D693" s="88" t="s">
        <v>502</v>
      </c>
      <c r="E693" s="88" t="s">
        <v>740</v>
      </c>
      <c r="F693" s="88" t="s">
        <v>1270</v>
      </c>
      <c r="G693" s="88" t="s">
        <v>1275</v>
      </c>
      <c r="H693" s="88">
        <v>300498479600003</v>
      </c>
      <c r="I693" s="88" t="s">
        <v>776</v>
      </c>
      <c r="J693" s="49">
        <v>6</v>
      </c>
      <c r="K693" s="49">
        <v>1</v>
      </c>
      <c r="L693" s="169">
        <f t="shared" si="40"/>
        <v>6</v>
      </c>
      <c r="M693" s="169">
        <f t="shared" si="41"/>
        <v>1</v>
      </c>
      <c r="N693" s="169">
        <f t="shared" si="42"/>
        <v>0.89999999999999991</v>
      </c>
      <c r="O693" s="169">
        <f t="shared" si="43"/>
        <v>6.9</v>
      </c>
      <c r="Z693" s="219"/>
      <c r="AA693" s="219"/>
    </row>
    <row r="694" spans="1:27" x14ac:dyDescent="0.3">
      <c r="A694" s="88">
        <v>692</v>
      </c>
      <c r="B694" s="173">
        <v>466</v>
      </c>
      <c r="C694" s="159"/>
      <c r="D694" s="88" t="s">
        <v>502</v>
      </c>
      <c r="E694" s="88" t="s">
        <v>740</v>
      </c>
      <c r="F694" s="88" t="s">
        <v>1270</v>
      </c>
      <c r="G694" s="88" t="s">
        <v>1275</v>
      </c>
      <c r="H694" s="88">
        <v>300498479600003</v>
      </c>
      <c r="I694" s="88" t="s">
        <v>776</v>
      </c>
      <c r="J694" s="49">
        <v>6</v>
      </c>
      <c r="K694" s="49">
        <v>1</v>
      </c>
      <c r="L694" s="169">
        <f t="shared" si="40"/>
        <v>6</v>
      </c>
      <c r="M694" s="169">
        <f t="shared" si="41"/>
        <v>1</v>
      </c>
      <c r="N694" s="169">
        <f t="shared" si="42"/>
        <v>0.89999999999999991</v>
      </c>
      <c r="O694" s="169">
        <f t="shared" si="43"/>
        <v>6.9</v>
      </c>
      <c r="Z694" s="219"/>
      <c r="AA694" s="219"/>
    </row>
    <row r="695" spans="1:27" x14ac:dyDescent="0.3">
      <c r="A695" s="88">
        <v>693</v>
      </c>
      <c r="B695" s="173">
        <v>467</v>
      </c>
      <c r="C695" s="159"/>
      <c r="D695" s="88" t="s">
        <v>502</v>
      </c>
      <c r="E695" s="88" t="s">
        <v>740</v>
      </c>
      <c r="F695" s="88" t="s">
        <v>1270</v>
      </c>
      <c r="G695" s="88" t="s">
        <v>1275</v>
      </c>
      <c r="H695" s="88">
        <v>300498479600003</v>
      </c>
      <c r="I695" s="88" t="s">
        <v>776</v>
      </c>
      <c r="J695" s="49">
        <v>5</v>
      </c>
      <c r="K695" s="49">
        <v>1</v>
      </c>
      <c r="L695" s="169">
        <f t="shared" si="40"/>
        <v>5</v>
      </c>
      <c r="M695" s="169">
        <f t="shared" si="41"/>
        <v>1</v>
      </c>
      <c r="N695" s="169">
        <f t="shared" si="42"/>
        <v>0.75</v>
      </c>
      <c r="O695" s="169">
        <f t="shared" si="43"/>
        <v>5.75</v>
      </c>
      <c r="Z695" s="219"/>
      <c r="AA695" s="219"/>
    </row>
    <row r="696" spans="1:27" x14ac:dyDescent="0.3">
      <c r="A696" s="88">
        <v>694</v>
      </c>
      <c r="B696" s="173">
        <v>468</v>
      </c>
      <c r="C696" s="159"/>
      <c r="D696" s="88" t="s">
        <v>502</v>
      </c>
      <c r="E696" s="88" t="s">
        <v>740</v>
      </c>
      <c r="F696" s="88" t="s">
        <v>1270</v>
      </c>
      <c r="G696" s="88" t="s">
        <v>1275</v>
      </c>
      <c r="H696" s="88">
        <v>300498479600003</v>
      </c>
      <c r="I696" s="88" t="s">
        <v>776</v>
      </c>
      <c r="J696" s="49">
        <v>5</v>
      </c>
      <c r="K696" s="49">
        <v>1</v>
      </c>
      <c r="L696" s="169">
        <f t="shared" si="40"/>
        <v>5</v>
      </c>
      <c r="M696" s="169">
        <f t="shared" si="41"/>
        <v>1</v>
      </c>
      <c r="N696" s="169">
        <f t="shared" si="42"/>
        <v>0.75</v>
      </c>
      <c r="O696" s="169">
        <f t="shared" si="43"/>
        <v>5.75</v>
      </c>
      <c r="Z696" s="219"/>
      <c r="AA696" s="219"/>
    </row>
    <row r="697" spans="1:27" x14ac:dyDescent="0.3">
      <c r="A697" s="88">
        <v>695</v>
      </c>
      <c r="B697" s="173">
        <v>469</v>
      </c>
      <c r="C697" s="159"/>
      <c r="D697" s="88" t="s">
        <v>502</v>
      </c>
      <c r="E697" s="88" t="s">
        <v>740</v>
      </c>
      <c r="F697" s="88" t="s">
        <v>1270</v>
      </c>
      <c r="G697" s="88" t="s">
        <v>1275</v>
      </c>
      <c r="H697" s="88">
        <v>300498479600003</v>
      </c>
      <c r="I697" s="88" t="s">
        <v>776</v>
      </c>
      <c r="J697" s="49">
        <v>6</v>
      </c>
      <c r="K697" s="49">
        <v>1</v>
      </c>
      <c r="L697" s="169">
        <f t="shared" si="40"/>
        <v>6</v>
      </c>
      <c r="M697" s="169">
        <f t="shared" si="41"/>
        <v>1</v>
      </c>
      <c r="N697" s="169">
        <f t="shared" si="42"/>
        <v>0.89999999999999991</v>
      </c>
      <c r="O697" s="169">
        <f t="shared" si="43"/>
        <v>6.9</v>
      </c>
      <c r="Z697" s="219"/>
      <c r="AA697" s="219"/>
    </row>
    <row r="698" spans="1:27" x14ac:dyDescent="0.3">
      <c r="A698" s="88">
        <v>696</v>
      </c>
      <c r="B698" s="173">
        <v>470</v>
      </c>
      <c r="C698" s="159"/>
      <c r="D698" s="88" t="s">
        <v>502</v>
      </c>
      <c r="E698" s="88" t="s">
        <v>740</v>
      </c>
      <c r="F698" s="88" t="s">
        <v>1270</v>
      </c>
      <c r="G698" s="88" t="s">
        <v>1275</v>
      </c>
      <c r="H698" s="88">
        <v>300498479600003</v>
      </c>
      <c r="I698" s="88" t="s">
        <v>776</v>
      </c>
      <c r="J698" s="49">
        <v>5</v>
      </c>
      <c r="K698" s="49">
        <v>1</v>
      </c>
      <c r="L698" s="169">
        <f t="shared" si="40"/>
        <v>5</v>
      </c>
      <c r="M698" s="169">
        <f t="shared" si="41"/>
        <v>1</v>
      </c>
      <c r="N698" s="169">
        <f t="shared" si="42"/>
        <v>0.75</v>
      </c>
      <c r="O698" s="169">
        <f t="shared" si="43"/>
        <v>5.75</v>
      </c>
      <c r="Z698" s="219"/>
      <c r="AA698" s="219"/>
    </row>
    <row r="699" spans="1:27" x14ac:dyDescent="0.3">
      <c r="A699" s="88">
        <v>697</v>
      </c>
      <c r="B699" s="173">
        <v>471</v>
      </c>
      <c r="C699" s="159"/>
      <c r="D699" s="88" t="s">
        <v>502</v>
      </c>
      <c r="E699" s="88" t="s">
        <v>740</v>
      </c>
      <c r="F699" s="88" t="s">
        <v>1270</v>
      </c>
      <c r="G699" s="88" t="s">
        <v>1275</v>
      </c>
      <c r="H699" s="88">
        <v>300498479600003</v>
      </c>
      <c r="I699" s="88" t="s">
        <v>776</v>
      </c>
      <c r="J699" s="49">
        <v>6</v>
      </c>
      <c r="K699" s="49">
        <v>1</v>
      </c>
      <c r="L699" s="169">
        <f t="shared" si="40"/>
        <v>6</v>
      </c>
      <c r="M699" s="169">
        <f t="shared" si="41"/>
        <v>1</v>
      </c>
      <c r="N699" s="169">
        <f t="shared" si="42"/>
        <v>0.89999999999999991</v>
      </c>
      <c r="O699" s="169">
        <f t="shared" si="43"/>
        <v>6.9</v>
      </c>
      <c r="Z699" s="219"/>
      <c r="AA699" s="219"/>
    </row>
    <row r="700" spans="1:27" x14ac:dyDescent="0.3">
      <c r="A700" s="88">
        <v>698</v>
      </c>
      <c r="B700" s="173">
        <v>472</v>
      </c>
      <c r="C700" s="159"/>
      <c r="D700" s="88" t="s">
        <v>502</v>
      </c>
      <c r="E700" s="88" t="s">
        <v>740</v>
      </c>
      <c r="F700" s="88" t="s">
        <v>1270</v>
      </c>
      <c r="G700" s="88" t="s">
        <v>1275</v>
      </c>
      <c r="H700" s="88">
        <v>300498479600003</v>
      </c>
      <c r="I700" s="88" t="s">
        <v>776</v>
      </c>
      <c r="J700" s="49">
        <v>6</v>
      </c>
      <c r="K700" s="49">
        <v>1</v>
      </c>
      <c r="L700" s="169">
        <f t="shared" si="40"/>
        <v>6</v>
      </c>
      <c r="M700" s="169">
        <f t="shared" si="41"/>
        <v>1</v>
      </c>
      <c r="N700" s="169">
        <f t="shared" si="42"/>
        <v>0.89999999999999991</v>
      </c>
      <c r="O700" s="169">
        <f t="shared" si="43"/>
        <v>6.9</v>
      </c>
      <c r="Z700" s="219"/>
      <c r="AA700" s="219"/>
    </row>
    <row r="701" spans="1:27" x14ac:dyDescent="0.3">
      <c r="A701" s="88">
        <v>699</v>
      </c>
      <c r="B701" s="173">
        <v>473</v>
      </c>
      <c r="C701" s="159"/>
      <c r="D701" s="88" t="s">
        <v>502</v>
      </c>
      <c r="E701" s="88" t="s">
        <v>715</v>
      </c>
      <c r="F701" s="88" t="s">
        <v>1279</v>
      </c>
      <c r="G701" s="88" t="s">
        <v>1326</v>
      </c>
      <c r="H701" s="88">
        <v>311172172500003</v>
      </c>
      <c r="I701" s="88" t="s">
        <v>776</v>
      </c>
      <c r="J701" s="49">
        <v>1</v>
      </c>
      <c r="K701" s="49">
        <v>5.22</v>
      </c>
      <c r="L701" s="169">
        <f t="shared" si="40"/>
        <v>5.22</v>
      </c>
      <c r="M701" s="169">
        <f t="shared" si="41"/>
        <v>1</v>
      </c>
      <c r="N701" s="169">
        <f t="shared" si="42"/>
        <v>0.78299999999999992</v>
      </c>
      <c r="O701" s="169">
        <f t="shared" si="43"/>
        <v>6.0030000000000001</v>
      </c>
      <c r="Z701" s="219"/>
      <c r="AA701" s="219"/>
    </row>
    <row r="702" spans="1:27" x14ac:dyDescent="0.3">
      <c r="A702" s="88">
        <v>700</v>
      </c>
      <c r="B702" s="173">
        <v>474</v>
      </c>
      <c r="C702" s="159"/>
      <c r="D702" s="88" t="s">
        <v>502</v>
      </c>
      <c r="E702" s="88" t="s">
        <v>715</v>
      </c>
      <c r="F702" s="88" t="s">
        <v>1279</v>
      </c>
      <c r="G702" s="88" t="s">
        <v>1326</v>
      </c>
      <c r="H702" s="88">
        <v>311172172500003</v>
      </c>
      <c r="I702" s="88" t="s">
        <v>776</v>
      </c>
      <c r="J702" s="49">
        <v>1</v>
      </c>
      <c r="K702" s="49">
        <v>5.22</v>
      </c>
      <c r="L702" s="169">
        <f t="shared" si="40"/>
        <v>5.22</v>
      </c>
      <c r="M702" s="169">
        <f t="shared" si="41"/>
        <v>1</v>
      </c>
      <c r="N702" s="169">
        <f t="shared" si="42"/>
        <v>0.78299999999999992</v>
      </c>
      <c r="O702" s="169">
        <f t="shared" si="43"/>
        <v>6.0030000000000001</v>
      </c>
      <c r="Z702" s="219"/>
      <c r="AA702" s="219"/>
    </row>
    <row r="703" spans="1:27" x14ac:dyDescent="0.3">
      <c r="A703" s="88">
        <v>701</v>
      </c>
      <c r="B703" s="173">
        <v>475</v>
      </c>
      <c r="C703" s="159"/>
      <c r="D703" s="88" t="s">
        <v>502</v>
      </c>
      <c r="E703" s="88" t="s">
        <v>715</v>
      </c>
      <c r="F703" s="88" t="s">
        <v>1279</v>
      </c>
      <c r="G703" s="88" t="s">
        <v>1326</v>
      </c>
      <c r="H703" s="88">
        <v>311172172500003</v>
      </c>
      <c r="I703" s="88" t="s">
        <v>776</v>
      </c>
      <c r="J703" s="49">
        <v>1</v>
      </c>
      <c r="K703" s="49">
        <v>5.22</v>
      </c>
      <c r="L703" s="169">
        <f t="shared" si="40"/>
        <v>5.22</v>
      </c>
      <c r="M703" s="169">
        <f t="shared" si="41"/>
        <v>1</v>
      </c>
      <c r="N703" s="169">
        <f t="shared" si="42"/>
        <v>0.78299999999999992</v>
      </c>
      <c r="O703" s="169">
        <f t="shared" si="43"/>
        <v>6.0030000000000001</v>
      </c>
      <c r="Z703" s="219"/>
      <c r="AA703" s="219"/>
    </row>
    <row r="704" spans="1:27" x14ac:dyDescent="0.3">
      <c r="A704" s="88">
        <v>702</v>
      </c>
      <c r="B704" s="173">
        <v>476</v>
      </c>
      <c r="C704" s="159"/>
      <c r="D704" s="88" t="s">
        <v>502</v>
      </c>
      <c r="E704" s="88" t="s">
        <v>715</v>
      </c>
      <c r="F704" s="88" t="s">
        <v>1279</v>
      </c>
      <c r="G704" s="88" t="s">
        <v>1326</v>
      </c>
      <c r="H704" s="88">
        <v>311172172500003</v>
      </c>
      <c r="I704" s="88" t="s">
        <v>776</v>
      </c>
      <c r="J704" s="49">
        <v>1</v>
      </c>
      <c r="K704" s="49">
        <v>5.22</v>
      </c>
      <c r="L704" s="169">
        <f t="shared" si="40"/>
        <v>5.22</v>
      </c>
      <c r="M704" s="169">
        <f t="shared" si="41"/>
        <v>1</v>
      </c>
      <c r="N704" s="169">
        <f t="shared" si="42"/>
        <v>0.78299999999999992</v>
      </c>
      <c r="O704" s="169">
        <f t="shared" si="43"/>
        <v>6.0030000000000001</v>
      </c>
      <c r="Z704" s="219"/>
      <c r="AA704" s="219"/>
    </row>
    <row r="705" spans="1:27" x14ac:dyDescent="0.3">
      <c r="A705" s="88">
        <v>703</v>
      </c>
      <c r="B705" s="173">
        <v>477</v>
      </c>
      <c r="C705" s="159"/>
      <c r="D705" s="88" t="s">
        <v>502</v>
      </c>
      <c r="E705" s="88" t="s">
        <v>715</v>
      </c>
      <c r="F705" s="88" t="s">
        <v>1323</v>
      </c>
      <c r="G705" s="88" t="s">
        <v>1050</v>
      </c>
      <c r="H705" s="88">
        <v>300172057910003</v>
      </c>
      <c r="I705" s="88" t="s">
        <v>776</v>
      </c>
      <c r="J705" s="49">
        <v>1</v>
      </c>
      <c r="K705" s="49">
        <v>24.782</v>
      </c>
      <c r="L705" s="169">
        <f t="shared" si="40"/>
        <v>24.782</v>
      </c>
      <c r="M705" s="169">
        <f t="shared" si="41"/>
        <v>1</v>
      </c>
      <c r="N705" s="169">
        <f t="shared" si="42"/>
        <v>3.7172999999999998</v>
      </c>
      <c r="O705" s="169">
        <f t="shared" si="43"/>
        <v>28.499299999999998</v>
      </c>
      <c r="Z705" s="219"/>
      <c r="AA705" s="219"/>
    </row>
    <row r="706" spans="1:27" x14ac:dyDescent="0.3">
      <c r="A706" s="88">
        <v>704</v>
      </c>
      <c r="B706" s="173">
        <v>478</v>
      </c>
      <c r="C706" s="159"/>
      <c r="D706" s="88" t="s">
        <v>502</v>
      </c>
      <c r="E706" s="88" t="s">
        <v>715</v>
      </c>
      <c r="F706" s="88" t="s">
        <v>1323</v>
      </c>
      <c r="G706" s="88" t="s">
        <v>1050</v>
      </c>
      <c r="H706" s="88">
        <v>300172057910003</v>
      </c>
      <c r="I706" s="88" t="s">
        <v>776</v>
      </c>
      <c r="J706" s="49">
        <v>1</v>
      </c>
      <c r="K706" s="49">
        <v>26.652000000000001</v>
      </c>
      <c r="L706" s="169">
        <f t="shared" si="40"/>
        <v>26.652000000000001</v>
      </c>
      <c r="M706" s="169">
        <f t="shared" si="41"/>
        <v>1</v>
      </c>
      <c r="N706" s="169">
        <f t="shared" si="42"/>
        <v>3.9977999999999998</v>
      </c>
      <c r="O706" s="169">
        <f t="shared" si="43"/>
        <v>30.649799999999999</v>
      </c>
      <c r="Z706" s="219"/>
      <c r="AA706" s="219"/>
    </row>
    <row r="707" spans="1:27" x14ac:dyDescent="0.3">
      <c r="A707" s="88">
        <v>705</v>
      </c>
      <c r="B707" s="173">
        <v>479</v>
      </c>
      <c r="C707" s="159"/>
      <c r="D707" s="88" t="s">
        <v>502</v>
      </c>
      <c r="E707" s="88" t="s">
        <v>715</v>
      </c>
      <c r="F707" s="88" t="s">
        <v>1346</v>
      </c>
      <c r="G707" s="88" t="s">
        <v>1347</v>
      </c>
      <c r="H707" s="88"/>
      <c r="I707" s="88"/>
      <c r="J707" s="49">
        <v>1</v>
      </c>
      <c r="K707" s="49">
        <v>35</v>
      </c>
      <c r="L707" s="169">
        <f t="shared" si="40"/>
        <v>35</v>
      </c>
      <c r="M707" s="169">
        <f t="shared" si="41"/>
        <v>0</v>
      </c>
      <c r="N707" s="169">
        <f t="shared" si="42"/>
        <v>0</v>
      </c>
      <c r="O707" s="169">
        <f t="shared" si="43"/>
        <v>35</v>
      </c>
      <c r="Z707" s="219"/>
      <c r="AA707" s="219"/>
    </row>
    <row r="708" spans="1:27" x14ac:dyDescent="0.3">
      <c r="A708" s="88">
        <v>706</v>
      </c>
      <c r="B708" s="173">
        <v>480</v>
      </c>
      <c r="C708" s="159"/>
      <c r="D708" s="88" t="s">
        <v>502</v>
      </c>
      <c r="E708" s="88" t="s">
        <v>715</v>
      </c>
      <c r="F708" s="88" t="s">
        <v>1346</v>
      </c>
      <c r="G708" s="88" t="s">
        <v>1347</v>
      </c>
      <c r="H708" s="88"/>
      <c r="I708" s="88"/>
      <c r="J708" s="49">
        <v>1</v>
      </c>
      <c r="K708" s="49">
        <v>30</v>
      </c>
      <c r="L708" s="169">
        <f t="shared" si="40"/>
        <v>30</v>
      </c>
      <c r="M708" s="169">
        <f t="shared" si="41"/>
        <v>0</v>
      </c>
      <c r="N708" s="169">
        <f t="shared" si="42"/>
        <v>0</v>
      </c>
      <c r="O708" s="169">
        <f t="shared" si="43"/>
        <v>30</v>
      </c>
      <c r="Z708" s="219"/>
      <c r="AA708" s="219"/>
    </row>
    <row r="709" spans="1:27" x14ac:dyDescent="0.3">
      <c r="A709" s="88">
        <v>707</v>
      </c>
      <c r="B709" s="173">
        <v>481</v>
      </c>
      <c r="C709" s="159"/>
      <c r="D709" s="88" t="s">
        <v>502</v>
      </c>
      <c r="E709" s="88" t="s">
        <v>715</v>
      </c>
      <c r="F709" s="88" t="s">
        <v>1346</v>
      </c>
      <c r="G709" s="88" t="s">
        <v>1348</v>
      </c>
      <c r="H709" s="88"/>
      <c r="I709" s="88"/>
      <c r="J709" s="49">
        <v>1</v>
      </c>
      <c r="K709" s="49">
        <v>35</v>
      </c>
      <c r="L709" s="169">
        <f t="shared" ref="L709:L751" si="44">K709*J709</f>
        <v>35</v>
      </c>
      <c r="M709" s="169">
        <f t="shared" ref="M709:M1035" si="45">IF(H709="",0,1)</f>
        <v>0</v>
      </c>
      <c r="N709" s="169">
        <f t="shared" ref="N709:N740" si="46">M709*L709*15%</f>
        <v>0</v>
      </c>
      <c r="O709" s="169">
        <f t="shared" ref="O709:O740" si="47">N709+L709</f>
        <v>35</v>
      </c>
      <c r="Z709" s="219"/>
      <c r="AA709" s="219"/>
    </row>
    <row r="710" spans="1:27" x14ac:dyDescent="0.3">
      <c r="A710" s="88">
        <v>708</v>
      </c>
      <c r="B710" s="173">
        <v>482</v>
      </c>
      <c r="C710" s="159"/>
      <c r="D710" s="88" t="s">
        <v>502</v>
      </c>
      <c r="E710" s="88" t="s">
        <v>715</v>
      </c>
      <c r="F710" s="88" t="s">
        <v>1346</v>
      </c>
      <c r="G710" s="88" t="s">
        <v>1349</v>
      </c>
      <c r="H710" s="88"/>
      <c r="I710" s="88"/>
      <c r="J710" s="49">
        <v>1</v>
      </c>
      <c r="K710" s="49">
        <v>30</v>
      </c>
      <c r="L710" s="169">
        <f t="shared" si="44"/>
        <v>30</v>
      </c>
      <c r="M710" s="169">
        <f t="shared" si="45"/>
        <v>0</v>
      </c>
      <c r="N710" s="169">
        <f t="shared" si="46"/>
        <v>0</v>
      </c>
      <c r="O710" s="169">
        <f t="shared" si="47"/>
        <v>30</v>
      </c>
      <c r="Z710" s="219"/>
      <c r="AA710" s="219"/>
    </row>
    <row r="711" spans="1:27" x14ac:dyDescent="0.3">
      <c r="A711" s="88">
        <v>709</v>
      </c>
      <c r="B711" s="173">
        <v>483</v>
      </c>
      <c r="C711" s="159"/>
      <c r="D711" s="88" t="s">
        <v>502</v>
      </c>
      <c r="E711" s="88" t="s">
        <v>715</v>
      </c>
      <c r="F711" s="88" t="s">
        <v>1346</v>
      </c>
      <c r="G711" s="88" t="s">
        <v>1350</v>
      </c>
      <c r="H711" s="88"/>
      <c r="I711" s="88"/>
      <c r="J711" s="49">
        <v>1</v>
      </c>
      <c r="K711" s="49">
        <v>35</v>
      </c>
      <c r="L711" s="169">
        <f t="shared" si="44"/>
        <v>35</v>
      </c>
      <c r="M711" s="169">
        <f t="shared" si="45"/>
        <v>0</v>
      </c>
      <c r="N711" s="169">
        <f t="shared" si="46"/>
        <v>0</v>
      </c>
      <c r="O711" s="169">
        <f t="shared" si="47"/>
        <v>35</v>
      </c>
      <c r="Z711" s="219"/>
      <c r="AA711" s="219"/>
    </row>
    <row r="712" spans="1:27" x14ac:dyDescent="0.3">
      <c r="A712" s="88">
        <v>710</v>
      </c>
      <c r="B712" s="173">
        <v>484</v>
      </c>
      <c r="C712" s="159"/>
      <c r="D712" s="88" t="s">
        <v>502</v>
      </c>
      <c r="E712" s="88" t="s">
        <v>736</v>
      </c>
      <c r="F712" s="88" t="s">
        <v>608</v>
      </c>
      <c r="G712" s="88" t="s">
        <v>1343</v>
      </c>
      <c r="H712" s="88"/>
      <c r="I712" s="88"/>
      <c r="J712" s="49">
        <v>1</v>
      </c>
      <c r="K712" s="49">
        <v>20</v>
      </c>
      <c r="L712" s="169">
        <f t="shared" si="44"/>
        <v>20</v>
      </c>
      <c r="M712" s="169">
        <f t="shared" si="45"/>
        <v>0</v>
      </c>
      <c r="N712" s="169">
        <f t="shared" si="46"/>
        <v>0</v>
      </c>
      <c r="O712" s="169">
        <f t="shared" si="47"/>
        <v>20</v>
      </c>
      <c r="Z712" s="219"/>
      <c r="AA712" s="219"/>
    </row>
    <row r="713" spans="1:27" x14ac:dyDescent="0.3">
      <c r="A713" s="88">
        <v>711</v>
      </c>
      <c r="B713" s="173">
        <v>485</v>
      </c>
      <c r="C713" s="159"/>
      <c r="D713" s="88" t="s">
        <v>502</v>
      </c>
      <c r="E713" s="88" t="s">
        <v>736</v>
      </c>
      <c r="F713" s="88" t="s">
        <v>608</v>
      </c>
      <c r="G713" s="88" t="s">
        <v>1343</v>
      </c>
      <c r="H713" s="88"/>
      <c r="I713" s="88"/>
      <c r="J713" s="49">
        <v>1</v>
      </c>
      <c r="K713" s="49">
        <v>20</v>
      </c>
      <c r="L713" s="169">
        <f t="shared" si="44"/>
        <v>20</v>
      </c>
      <c r="M713" s="169">
        <f t="shared" si="45"/>
        <v>0</v>
      </c>
      <c r="N713" s="169">
        <f t="shared" si="46"/>
        <v>0</v>
      </c>
      <c r="O713" s="169">
        <f t="shared" si="47"/>
        <v>20</v>
      </c>
      <c r="Z713" s="219"/>
      <c r="AA713" s="219"/>
    </row>
    <row r="714" spans="1:27" x14ac:dyDescent="0.3">
      <c r="A714" s="88">
        <v>712</v>
      </c>
      <c r="B714" s="173">
        <v>486</v>
      </c>
      <c r="C714" s="159"/>
      <c r="D714" s="88" t="s">
        <v>502</v>
      </c>
      <c r="E714" s="88" t="s">
        <v>736</v>
      </c>
      <c r="F714" s="88" t="s">
        <v>608</v>
      </c>
      <c r="G714" s="88" t="s">
        <v>1343</v>
      </c>
      <c r="H714" s="88"/>
      <c r="I714" s="88"/>
      <c r="J714" s="49">
        <v>1</v>
      </c>
      <c r="K714" s="49">
        <v>20</v>
      </c>
      <c r="L714" s="169">
        <f t="shared" si="44"/>
        <v>20</v>
      </c>
      <c r="M714" s="169">
        <f t="shared" si="45"/>
        <v>0</v>
      </c>
      <c r="N714" s="169">
        <f t="shared" si="46"/>
        <v>0</v>
      </c>
      <c r="O714" s="169">
        <f t="shared" si="47"/>
        <v>20</v>
      </c>
      <c r="Z714" s="219"/>
      <c r="AA714" s="219"/>
    </row>
    <row r="715" spans="1:27" x14ac:dyDescent="0.3">
      <c r="A715" s="88">
        <v>713</v>
      </c>
      <c r="B715" s="173">
        <v>487</v>
      </c>
      <c r="C715" s="159"/>
      <c r="D715" s="88" t="s">
        <v>502</v>
      </c>
      <c r="E715" s="88" t="s">
        <v>736</v>
      </c>
      <c r="F715" s="88" t="s">
        <v>608</v>
      </c>
      <c r="G715" s="88" t="s">
        <v>1343</v>
      </c>
      <c r="H715" s="88"/>
      <c r="I715" s="88"/>
      <c r="J715" s="49">
        <v>1</v>
      </c>
      <c r="K715" s="49">
        <v>20</v>
      </c>
      <c r="L715" s="169">
        <f t="shared" si="44"/>
        <v>20</v>
      </c>
      <c r="M715" s="169">
        <f t="shared" si="45"/>
        <v>0</v>
      </c>
      <c r="N715" s="169">
        <f t="shared" si="46"/>
        <v>0</v>
      </c>
      <c r="O715" s="169">
        <f t="shared" si="47"/>
        <v>20</v>
      </c>
      <c r="Z715" s="219"/>
      <c r="AA715" s="219"/>
    </row>
    <row r="716" spans="1:27" x14ac:dyDescent="0.3">
      <c r="A716" s="88">
        <v>714</v>
      </c>
      <c r="B716" s="173">
        <v>488</v>
      </c>
      <c r="C716" s="159"/>
      <c r="D716" s="88" t="s">
        <v>502</v>
      </c>
      <c r="E716" s="88" t="s">
        <v>736</v>
      </c>
      <c r="F716" s="88" t="s">
        <v>608</v>
      </c>
      <c r="G716" s="88" t="s">
        <v>1343</v>
      </c>
      <c r="H716" s="88"/>
      <c r="I716" s="88"/>
      <c r="J716" s="49">
        <v>1</v>
      </c>
      <c r="K716" s="49">
        <v>20</v>
      </c>
      <c r="L716" s="169">
        <f t="shared" si="44"/>
        <v>20</v>
      </c>
      <c r="M716" s="169">
        <f t="shared" si="45"/>
        <v>0</v>
      </c>
      <c r="N716" s="169">
        <f t="shared" si="46"/>
        <v>0</v>
      </c>
      <c r="O716" s="169">
        <f t="shared" si="47"/>
        <v>20</v>
      </c>
      <c r="Z716" s="219"/>
      <c r="AA716" s="219"/>
    </row>
    <row r="717" spans="1:27" x14ac:dyDescent="0.3">
      <c r="A717" s="88">
        <v>715</v>
      </c>
      <c r="B717" s="173">
        <v>489</v>
      </c>
      <c r="C717" s="159"/>
      <c r="D717" s="88" t="s">
        <v>502</v>
      </c>
      <c r="E717" s="88" t="s">
        <v>736</v>
      </c>
      <c r="F717" s="88" t="s">
        <v>608</v>
      </c>
      <c r="G717" s="88" t="s">
        <v>1343</v>
      </c>
      <c r="H717" s="88"/>
      <c r="I717" s="88"/>
      <c r="J717" s="49">
        <v>1</v>
      </c>
      <c r="K717" s="49">
        <v>20</v>
      </c>
      <c r="L717" s="169">
        <f t="shared" si="44"/>
        <v>20</v>
      </c>
      <c r="M717" s="169">
        <f t="shared" si="45"/>
        <v>0</v>
      </c>
      <c r="N717" s="169">
        <f t="shared" si="46"/>
        <v>0</v>
      </c>
      <c r="O717" s="169">
        <f t="shared" si="47"/>
        <v>20</v>
      </c>
      <c r="Z717" s="219"/>
      <c r="AA717" s="219"/>
    </row>
    <row r="718" spans="1:27" x14ac:dyDescent="0.3">
      <c r="A718" s="88">
        <v>716</v>
      </c>
      <c r="B718" s="173">
        <v>490</v>
      </c>
      <c r="C718" s="159"/>
      <c r="D718" s="88" t="s">
        <v>502</v>
      </c>
      <c r="E718" s="88" t="s">
        <v>736</v>
      </c>
      <c r="F718" s="88" t="s">
        <v>608</v>
      </c>
      <c r="G718" s="88" t="s">
        <v>1343</v>
      </c>
      <c r="H718" s="88"/>
      <c r="I718" s="88"/>
      <c r="J718" s="49">
        <v>1</v>
      </c>
      <c r="K718" s="49">
        <v>20</v>
      </c>
      <c r="L718" s="169">
        <f t="shared" si="44"/>
        <v>20</v>
      </c>
      <c r="M718" s="169">
        <f t="shared" si="45"/>
        <v>0</v>
      </c>
      <c r="N718" s="169">
        <f t="shared" si="46"/>
        <v>0</v>
      </c>
      <c r="O718" s="169">
        <f t="shared" si="47"/>
        <v>20</v>
      </c>
      <c r="Z718" s="219"/>
      <c r="AA718" s="219"/>
    </row>
    <row r="719" spans="1:27" x14ac:dyDescent="0.3">
      <c r="A719" s="88">
        <v>717</v>
      </c>
      <c r="B719" s="173">
        <v>491</v>
      </c>
      <c r="C719" s="159"/>
      <c r="D719" s="88" t="s">
        <v>502</v>
      </c>
      <c r="E719" s="88" t="s">
        <v>715</v>
      </c>
      <c r="F719" s="88" t="s">
        <v>1351</v>
      </c>
      <c r="G719" s="88" t="s">
        <v>1352</v>
      </c>
      <c r="H719" s="88"/>
      <c r="I719" s="88"/>
      <c r="J719" s="49">
        <v>1</v>
      </c>
      <c r="K719" s="49">
        <v>50</v>
      </c>
      <c r="L719" s="169">
        <f t="shared" si="44"/>
        <v>50</v>
      </c>
      <c r="M719" s="169">
        <f t="shared" si="45"/>
        <v>0</v>
      </c>
      <c r="N719" s="169">
        <f t="shared" si="46"/>
        <v>0</v>
      </c>
      <c r="O719" s="169">
        <f t="shared" si="47"/>
        <v>50</v>
      </c>
      <c r="Z719" s="219"/>
      <c r="AA719" s="219"/>
    </row>
    <row r="720" spans="1:27" x14ac:dyDescent="0.3">
      <c r="A720" s="88">
        <v>718</v>
      </c>
      <c r="B720" s="173">
        <v>492</v>
      </c>
      <c r="C720" s="159"/>
      <c r="D720" s="88" t="s">
        <v>502</v>
      </c>
      <c r="E720" s="88" t="s">
        <v>757</v>
      </c>
      <c r="F720" s="88" t="s">
        <v>1353</v>
      </c>
      <c r="G720" s="88" t="s">
        <v>864</v>
      </c>
      <c r="H720" s="88">
        <v>300210279300003</v>
      </c>
      <c r="I720" s="88"/>
      <c r="J720" s="49">
        <v>1</v>
      </c>
      <c r="K720" s="49">
        <v>1005</v>
      </c>
      <c r="L720" s="169">
        <f t="shared" si="44"/>
        <v>1005</v>
      </c>
      <c r="M720" s="169">
        <f t="shared" si="45"/>
        <v>1</v>
      </c>
      <c r="N720" s="169">
        <f t="shared" si="46"/>
        <v>150.75</v>
      </c>
      <c r="O720" s="169">
        <f t="shared" si="47"/>
        <v>1155.75</v>
      </c>
      <c r="Z720" s="219"/>
      <c r="AA720" s="219"/>
    </row>
    <row r="721" spans="1:27" x14ac:dyDescent="0.3">
      <c r="A721" s="88">
        <v>719</v>
      </c>
      <c r="B721" s="173">
        <v>492</v>
      </c>
      <c r="C721" s="159"/>
      <c r="D721" s="88" t="s">
        <v>502</v>
      </c>
      <c r="E721" s="88" t="s">
        <v>757</v>
      </c>
      <c r="F721" s="88" t="s">
        <v>1354</v>
      </c>
      <c r="G721" s="88" t="s">
        <v>864</v>
      </c>
      <c r="H721" s="88">
        <v>300210279300003</v>
      </c>
      <c r="I721" s="88"/>
      <c r="J721" s="49">
        <v>1</v>
      </c>
      <c r="K721" s="49">
        <v>130</v>
      </c>
      <c r="L721" s="169">
        <f t="shared" si="44"/>
        <v>130</v>
      </c>
      <c r="M721" s="169">
        <f t="shared" si="45"/>
        <v>1</v>
      </c>
      <c r="N721" s="169">
        <f t="shared" si="46"/>
        <v>19.5</v>
      </c>
      <c r="O721" s="169">
        <f t="shared" si="47"/>
        <v>149.5</v>
      </c>
      <c r="Z721" s="219"/>
      <c r="AA721" s="219"/>
    </row>
    <row r="722" spans="1:27" x14ac:dyDescent="0.3">
      <c r="A722" s="88">
        <v>720</v>
      </c>
      <c r="B722" s="173">
        <v>492</v>
      </c>
      <c r="C722" s="159"/>
      <c r="D722" s="88" t="s">
        <v>502</v>
      </c>
      <c r="E722" s="88" t="s">
        <v>757</v>
      </c>
      <c r="F722" s="88" t="s">
        <v>1355</v>
      </c>
      <c r="G722" s="88" t="s">
        <v>864</v>
      </c>
      <c r="H722" s="88">
        <v>300210279300003</v>
      </c>
      <c r="I722" s="88"/>
      <c r="J722" s="49">
        <v>1</v>
      </c>
      <c r="K722" s="49">
        <v>40</v>
      </c>
      <c r="L722" s="169">
        <f t="shared" si="44"/>
        <v>40</v>
      </c>
      <c r="M722" s="169">
        <f t="shared" si="45"/>
        <v>1</v>
      </c>
      <c r="N722" s="169">
        <f t="shared" si="46"/>
        <v>6</v>
      </c>
      <c r="O722" s="169">
        <f t="shared" si="47"/>
        <v>46</v>
      </c>
      <c r="Z722" s="219"/>
      <c r="AA722" s="219"/>
    </row>
    <row r="723" spans="1:27" x14ac:dyDescent="0.3">
      <c r="A723" s="88">
        <v>721</v>
      </c>
      <c r="B723" s="173">
        <v>493</v>
      </c>
      <c r="C723" s="159"/>
      <c r="D723" s="88" t="s">
        <v>502</v>
      </c>
      <c r="E723" s="88" t="s">
        <v>820</v>
      </c>
      <c r="F723" s="88" t="s">
        <v>1338</v>
      </c>
      <c r="G723" s="88" t="s">
        <v>1289</v>
      </c>
      <c r="H723" s="88">
        <v>300053476600003</v>
      </c>
      <c r="I723" s="88"/>
      <c r="J723" s="49">
        <v>55.22</v>
      </c>
      <c r="K723" s="49">
        <v>40</v>
      </c>
      <c r="L723" s="169">
        <f t="shared" si="44"/>
        <v>2208.8000000000002</v>
      </c>
      <c r="M723" s="169">
        <f t="shared" si="45"/>
        <v>1</v>
      </c>
      <c r="N723" s="169">
        <f t="shared" si="46"/>
        <v>331.32</v>
      </c>
      <c r="O723" s="169">
        <f t="shared" si="47"/>
        <v>2540.1200000000003</v>
      </c>
      <c r="Z723" s="219"/>
      <c r="AA723" s="219"/>
    </row>
    <row r="724" spans="1:27" x14ac:dyDescent="0.3">
      <c r="A724" s="88">
        <v>722</v>
      </c>
      <c r="B724" s="173">
        <v>494</v>
      </c>
      <c r="C724" s="159"/>
      <c r="D724" s="88" t="s">
        <v>502</v>
      </c>
      <c r="E724" s="88" t="s">
        <v>715</v>
      </c>
      <c r="F724" s="88" t="s">
        <v>1346</v>
      </c>
      <c r="G724" s="88" t="s">
        <v>1356</v>
      </c>
      <c r="H724" s="88"/>
      <c r="I724" s="88"/>
      <c r="J724" s="49">
        <v>1</v>
      </c>
      <c r="K724" s="49">
        <v>40</v>
      </c>
      <c r="L724" s="169">
        <f t="shared" si="44"/>
        <v>40</v>
      </c>
      <c r="M724" s="169">
        <f t="shared" si="45"/>
        <v>0</v>
      </c>
      <c r="N724" s="169">
        <f t="shared" si="46"/>
        <v>0</v>
      </c>
      <c r="O724" s="169">
        <f t="shared" si="47"/>
        <v>40</v>
      </c>
      <c r="Z724" s="219"/>
      <c r="AA724" s="219"/>
    </row>
    <row r="725" spans="1:27" x14ac:dyDescent="0.3">
      <c r="A725" s="88">
        <v>723</v>
      </c>
      <c r="B725" s="173">
        <v>495</v>
      </c>
      <c r="C725" s="159"/>
      <c r="D725" s="88" t="s">
        <v>502</v>
      </c>
      <c r="E725" s="88" t="s">
        <v>736</v>
      </c>
      <c r="F725" s="88" t="s">
        <v>608</v>
      </c>
      <c r="G725" s="88" t="s">
        <v>1343</v>
      </c>
      <c r="H725" s="88"/>
      <c r="I725" s="88"/>
      <c r="J725" s="49">
        <v>1</v>
      </c>
      <c r="K725" s="49">
        <v>20</v>
      </c>
      <c r="L725" s="169">
        <f t="shared" si="44"/>
        <v>20</v>
      </c>
      <c r="M725" s="169">
        <f t="shared" si="45"/>
        <v>0</v>
      </c>
      <c r="N725" s="169">
        <f t="shared" si="46"/>
        <v>0</v>
      </c>
      <c r="O725" s="169">
        <f t="shared" si="47"/>
        <v>20</v>
      </c>
      <c r="Z725" s="219"/>
      <c r="AA725" s="219"/>
    </row>
    <row r="726" spans="1:27" x14ac:dyDescent="0.3">
      <c r="A726" s="88">
        <v>724</v>
      </c>
      <c r="B726" s="173">
        <v>496</v>
      </c>
      <c r="C726" s="159"/>
      <c r="D726" s="88" t="s">
        <v>502</v>
      </c>
      <c r="E726" s="88" t="s">
        <v>736</v>
      </c>
      <c r="F726" s="88" t="s">
        <v>608</v>
      </c>
      <c r="G726" s="88" t="s">
        <v>1343</v>
      </c>
      <c r="H726" s="88"/>
      <c r="I726" s="88"/>
      <c r="J726" s="49">
        <v>1</v>
      </c>
      <c r="K726" s="49">
        <v>20</v>
      </c>
      <c r="L726" s="169">
        <f t="shared" si="44"/>
        <v>20</v>
      </c>
      <c r="M726" s="169">
        <f t="shared" si="45"/>
        <v>0</v>
      </c>
      <c r="N726" s="169">
        <f t="shared" si="46"/>
        <v>0</v>
      </c>
      <c r="O726" s="169">
        <f t="shared" si="47"/>
        <v>20</v>
      </c>
      <c r="Z726" s="219"/>
      <c r="AA726" s="219"/>
    </row>
    <row r="727" spans="1:27" x14ac:dyDescent="0.3">
      <c r="A727" s="88">
        <v>725</v>
      </c>
      <c r="B727" s="173">
        <v>497</v>
      </c>
      <c r="C727" s="159"/>
      <c r="D727" s="88" t="s">
        <v>502</v>
      </c>
      <c r="E727" s="88" t="s">
        <v>736</v>
      </c>
      <c r="F727" s="88" t="s">
        <v>1357</v>
      </c>
      <c r="G727" s="88" t="s">
        <v>1358</v>
      </c>
      <c r="H727" s="88"/>
      <c r="I727" s="88"/>
      <c r="J727" s="49">
        <v>1</v>
      </c>
      <c r="K727" s="49">
        <v>20</v>
      </c>
      <c r="L727" s="169">
        <f t="shared" si="44"/>
        <v>20</v>
      </c>
      <c r="M727" s="169">
        <f t="shared" si="45"/>
        <v>0</v>
      </c>
      <c r="N727" s="169">
        <f t="shared" si="46"/>
        <v>0</v>
      </c>
      <c r="O727" s="169">
        <f t="shared" si="47"/>
        <v>20</v>
      </c>
      <c r="Z727" s="219"/>
      <c r="AA727" s="219"/>
    </row>
    <row r="728" spans="1:27" x14ac:dyDescent="0.3">
      <c r="A728" s="88">
        <v>726</v>
      </c>
      <c r="B728" s="173">
        <v>498</v>
      </c>
      <c r="C728" s="159"/>
      <c r="D728" s="88" t="s">
        <v>502</v>
      </c>
      <c r="E728" s="88" t="s">
        <v>757</v>
      </c>
      <c r="F728" s="88" t="s">
        <v>1359</v>
      </c>
      <c r="G728" s="88" t="s">
        <v>1358</v>
      </c>
      <c r="H728" s="88"/>
      <c r="I728" s="88"/>
      <c r="J728" s="49">
        <v>1</v>
      </c>
      <c r="K728" s="49">
        <v>5</v>
      </c>
      <c r="L728" s="169">
        <f t="shared" si="44"/>
        <v>5</v>
      </c>
      <c r="M728" s="169">
        <f t="shared" si="45"/>
        <v>0</v>
      </c>
      <c r="N728" s="169">
        <f t="shared" si="46"/>
        <v>0</v>
      </c>
      <c r="O728" s="169">
        <f t="shared" si="47"/>
        <v>5</v>
      </c>
      <c r="Z728" s="219"/>
      <c r="AA728" s="219"/>
    </row>
    <row r="729" spans="1:27" x14ac:dyDescent="0.3">
      <c r="A729" s="88">
        <v>727</v>
      </c>
      <c r="B729" s="173">
        <v>499</v>
      </c>
      <c r="C729" s="159"/>
      <c r="D729" s="88" t="s">
        <v>502</v>
      </c>
      <c r="E729" s="88" t="s">
        <v>820</v>
      </c>
      <c r="F729" s="88" t="s">
        <v>1360</v>
      </c>
      <c r="G729" s="88" t="s">
        <v>971</v>
      </c>
      <c r="H729" s="88"/>
      <c r="I729" s="88"/>
      <c r="J729" s="49">
        <v>1</v>
      </c>
      <c r="K729" s="49">
        <v>100</v>
      </c>
      <c r="L729" s="169">
        <f t="shared" si="44"/>
        <v>100</v>
      </c>
      <c r="M729" s="169">
        <f t="shared" si="45"/>
        <v>0</v>
      </c>
      <c r="N729" s="169">
        <f t="shared" si="46"/>
        <v>0</v>
      </c>
      <c r="O729" s="169">
        <f t="shared" si="47"/>
        <v>100</v>
      </c>
      <c r="Z729" s="219"/>
      <c r="AA729" s="219"/>
    </row>
    <row r="730" spans="1:27" x14ac:dyDescent="0.3">
      <c r="A730" s="88">
        <v>728</v>
      </c>
      <c r="B730" s="173">
        <v>500</v>
      </c>
      <c r="C730" s="159"/>
      <c r="D730" s="88" t="s">
        <v>502</v>
      </c>
      <c r="E730" s="88" t="s">
        <v>740</v>
      </c>
      <c r="F730" s="88" t="s">
        <v>1361</v>
      </c>
      <c r="G730" s="88" t="s">
        <v>1362</v>
      </c>
      <c r="H730" s="88"/>
      <c r="I730" s="88"/>
      <c r="J730" s="49">
        <v>2</v>
      </c>
      <c r="K730" s="49">
        <v>151.80000000000001</v>
      </c>
      <c r="L730" s="169">
        <f t="shared" si="44"/>
        <v>303.60000000000002</v>
      </c>
      <c r="M730" s="169">
        <f t="shared" si="45"/>
        <v>0</v>
      </c>
      <c r="N730" s="169">
        <f t="shared" si="46"/>
        <v>0</v>
      </c>
      <c r="O730" s="169">
        <f t="shared" si="47"/>
        <v>303.60000000000002</v>
      </c>
      <c r="Z730" s="219"/>
      <c r="AA730" s="219"/>
    </row>
    <row r="731" spans="1:27" x14ac:dyDescent="0.3">
      <c r="A731" s="88">
        <v>729</v>
      </c>
      <c r="B731" s="173">
        <v>501</v>
      </c>
      <c r="C731" s="159"/>
      <c r="D731" s="88" t="s">
        <v>503</v>
      </c>
      <c r="E731" s="88" t="s">
        <v>715</v>
      </c>
      <c r="F731" s="88" t="s">
        <v>1346</v>
      </c>
      <c r="G731" s="88" t="s">
        <v>1348</v>
      </c>
      <c r="H731" s="88"/>
      <c r="I731" s="88"/>
      <c r="J731" s="49">
        <v>1</v>
      </c>
      <c r="K731" s="49">
        <v>35</v>
      </c>
      <c r="L731" s="169">
        <f t="shared" si="44"/>
        <v>35</v>
      </c>
      <c r="M731" s="169">
        <f t="shared" si="45"/>
        <v>0</v>
      </c>
      <c r="N731" s="169">
        <f t="shared" si="46"/>
        <v>0</v>
      </c>
      <c r="O731" s="169">
        <f t="shared" si="47"/>
        <v>35</v>
      </c>
      <c r="Z731" s="219"/>
      <c r="AA731" s="219"/>
    </row>
    <row r="732" spans="1:27" x14ac:dyDescent="0.3">
      <c r="A732" s="88">
        <v>730</v>
      </c>
      <c r="B732" s="173">
        <v>502</v>
      </c>
      <c r="C732" s="159"/>
      <c r="D732" s="88" t="s">
        <v>503</v>
      </c>
      <c r="E732" s="88" t="s">
        <v>715</v>
      </c>
      <c r="F732" s="88" t="s">
        <v>1346</v>
      </c>
      <c r="G732" s="88" t="s">
        <v>1363</v>
      </c>
      <c r="H732" s="88"/>
      <c r="I732" s="88"/>
      <c r="J732" s="49">
        <v>1</v>
      </c>
      <c r="K732" s="49">
        <v>35</v>
      </c>
      <c r="L732" s="169">
        <f t="shared" si="44"/>
        <v>35</v>
      </c>
      <c r="M732" s="169">
        <f t="shared" si="45"/>
        <v>0</v>
      </c>
      <c r="N732" s="169">
        <f t="shared" si="46"/>
        <v>0</v>
      </c>
      <c r="O732" s="169">
        <f t="shared" si="47"/>
        <v>35</v>
      </c>
      <c r="Z732" s="219"/>
      <c r="AA732" s="219"/>
    </row>
    <row r="733" spans="1:27" x14ac:dyDescent="0.3">
      <c r="A733" s="88">
        <v>731</v>
      </c>
      <c r="B733" s="173">
        <v>503</v>
      </c>
      <c r="C733" s="159"/>
      <c r="D733" s="88" t="s">
        <v>503</v>
      </c>
      <c r="E733" s="88" t="s">
        <v>715</v>
      </c>
      <c r="F733" s="88" t="s">
        <v>1346</v>
      </c>
      <c r="G733" s="88" t="s">
        <v>1364</v>
      </c>
      <c r="H733" s="88"/>
      <c r="I733" s="88"/>
      <c r="J733" s="49">
        <v>1</v>
      </c>
      <c r="K733" s="49">
        <v>35</v>
      </c>
      <c r="L733" s="169">
        <f t="shared" si="44"/>
        <v>35</v>
      </c>
      <c r="M733" s="169">
        <f t="shared" si="45"/>
        <v>0</v>
      </c>
      <c r="N733" s="169">
        <f t="shared" si="46"/>
        <v>0</v>
      </c>
      <c r="O733" s="169">
        <f t="shared" si="47"/>
        <v>35</v>
      </c>
      <c r="Z733" s="219"/>
      <c r="AA733" s="219"/>
    </row>
    <row r="734" spans="1:27" x14ac:dyDescent="0.3">
      <c r="A734" s="88">
        <v>732</v>
      </c>
      <c r="B734" s="173">
        <v>504</v>
      </c>
      <c r="C734" s="159"/>
      <c r="D734" s="88" t="s">
        <v>503</v>
      </c>
      <c r="E734" s="88" t="s">
        <v>715</v>
      </c>
      <c r="F734" s="88" t="s">
        <v>1346</v>
      </c>
      <c r="G734" s="88" t="s">
        <v>1363</v>
      </c>
      <c r="H734" s="88"/>
      <c r="I734" s="88"/>
      <c r="J734" s="49">
        <v>1</v>
      </c>
      <c r="K734" s="49">
        <v>35</v>
      </c>
      <c r="L734" s="169">
        <f t="shared" si="44"/>
        <v>35</v>
      </c>
      <c r="M734" s="169">
        <f t="shared" si="45"/>
        <v>0</v>
      </c>
      <c r="N734" s="169">
        <f t="shared" si="46"/>
        <v>0</v>
      </c>
      <c r="O734" s="169">
        <f t="shared" si="47"/>
        <v>35</v>
      </c>
      <c r="Z734" s="219"/>
      <c r="AA734" s="219"/>
    </row>
    <row r="735" spans="1:27" x14ac:dyDescent="0.3">
      <c r="A735" s="88">
        <v>733</v>
      </c>
      <c r="B735" s="173">
        <v>505</v>
      </c>
      <c r="C735" s="159"/>
      <c r="D735" s="88" t="s">
        <v>503</v>
      </c>
      <c r="E735" s="88" t="s">
        <v>715</v>
      </c>
      <c r="F735" s="88" t="s">
        <v>608</v>
      </c>
      <c r="G735" s="88" t="s">
        <v>1343</v>
      </c>
      <c r="H735" s="88"/>
      <c r="I735" s="88"/>
      <c r="J735" s="49">
        <v>1</v>
      </c>
      <c r="K735" s="49">
        <v>20</v>
      </c>
      <c r="L735" s="169">
        <f t="shared" si="44"/>
        <v>20</v>
      </c>
      <c r="M735" s="169">
        <f t="shared" si="45"/>
        <v>0</v>
      </c>
      <c r="N735" s="169">
        <f t="shared" si="46"/>
        <v>0</v>
      </c>
      <c r="O735" s="169">
        <f t="shared" si="47"/>
        <v>20</v>
      </c>
      <c r="Z735" s="219"/>
      <c r="AA735" s="219"/>
    </row>
    <row r="736" spans="1:27" x14ac:dyDescent="0.3">
      <c r="A736" s="88">
        <v>734</v>
      </c>
      <c r="B736" s="173">
        <v>506</v>
      </c>
      <c r="C736" s="159"/>
      <c r="D736" s="88" t="s">
        <v>503</v>
      </c>
      <c r="E736" s="88" t="s">
        <v>715</v>
      </c>
      <c r="F736" s="88" t="s">
        <v>608</v>
      </c>
      <c r="G736" s="88" t="s">
        <v>1343</v>
      </c>
      <c r="H736" s="88"/>
      <c r="I736" s="88"/>
      <c r="J736" s="49">
        <v>1</v>
      </c>
      <c r="K736" s="49">
        <v>20</v>
      </c>
      <c r="L736" s="169">
        <f t="shared" si="44"/>
        <v>20</v>
      </c>
      <c r="M736" s="169">
        <f t="shared" si="45"/>
        <v>0</v>
      </c>
      <c r="N736" s="169">
        <f t="shared" si="46"/>
        <v>0</v>
      </c>
      <c r="O736" s="169">
        <f t="shared" si="47"/>
        <v>20</v>
      </c>
      <c r="Z736" s="219"/>
      <c r="AA736" s="219"/>
    </row>
    <row r="737" spans="1:27" x14ac:dyDescent="0.3">
      <c r="A737" s="88">
        <v>735</v>
      </c>
      <c r="B737" s="173">
        <v>507</v>
      </c>
      <c r="C737" s="159"/>
      <c r="D737" s="88" t="s">
        <v>503</v>
      </c>
      <c r="E737" s="88" t="s">
        <v>715</v>
      </c>
      <c r="F737" s="88" t="s">
        <v>1346</v>
      </c>
      <c r="G737" s="88" t="s">
        <v>1365</v>
      </c>
      <c r="H737" s="88"/>
      <c r="I737" s="88"/>
      <c r="J737" s="49">
        <v>1</v>
      </c>
      <c r="K737" s="49">
        <v>35</v>
      </c>
      <c r="L737" s="169">
        <f t="shared" si="44"/>
        <v>35</v>
      </c>
      <c r="M737" s="169">
        <f t="shared" si="45"/>
        <v>0</v>
      </c>
      <c r="N737" s="169">
        <f t="shared" si="46"/>
        <v>0</v>
      </c>
      <c r="O737" s="169">
        <f t="shared" si="47"/>
        <v>35</v>
      </c>
      <c r="Z737" s="219"/>
      <c r="AA737" s="219"/>
    </row>
    <row r="738" spans="1:27" x14ac:dyDescent="0.3">
      <c r="A738" s="88">
        <v>735</v>
      </c>
      <c r="B738" s="173">
        <v>508</v>
      </c>
      <c r="C738" s="159"/>
      <c r="D738" s="88" t="s">
        <v>503</v>
      </c>
      <c r="E738" s="88" t="s">
        <v>763</v>
      </c>
      <c r="F738" s="88" t="s">
        <v>1263</v>
      </c>
      <c r="G738" s="88" t="s">
        <v>1366</v>
      </c>
      <c r="H738" s="88">
        <v>310933804300003</v>
      </c>
      <c r="I738" s="88" t="s">
        <v>776</v>
      </c>
      <c r="J738" s="49">
        <v>10</v>
      </c>
      <c r="K738" s="49">
        <v>78.260999999999996</v>
      </c>
      <c r="L738" s="169">
        <f t="shared" si="44"/>
        <v>782.6099999999999</v>
      </c>
      <c r="M738" s="169">
        <f t="shared" si="45"/>
        <v>1</v>
      </c>
      <c r="N738" s="169">
        <f t="shared" si="46"/>
        <v>117.39149999999998</v>
      </c>
      <c r="O738" s="169">
        <f t="shared" si="47"/>
        <v>900.00149999999985</v>
      </c>
      <c r="Z738" s="219"/>
      <c r="AA738" s="219"/>
    </row>
    <row r="739" spans="1:27" x14ac:dyDescent="0.3">
      <c r="A739" s="88">
        <v>736</v>
      </c>
      <c r="B739" s="173">
        <v>509</v>
      </c>
      <c r="C739" s="159"/>
      <c r="D739" s="88" t="s">
        <v>1367</v>
      </c>
      <c r="E739" s="88" t="s">
        <v>709</v>
      </c>
      <c r="F739" s="88" t="s">
        <v>1368</v>
      </c>
      <c r="G739" s="88" t="s">
        <v>1280</v>
      </c>
      <c r="H739" s="88">
        <v>300844969700003</v>
      </c>
      <c r="I739" s="88"/>
      <c r="J739" s="49">
        <v>1</v>
      </c>
      <c r="K739" s="49">
        <v>5.6520000000000001</v>
      </c>
      <c r="L739" s="169">
        <f t="shared" si="44"/>
        <v>5.6520000000000001</v>
      </c>
      <c r="M739" s="169">
        <f t="shared" si="45"/>
        <v>1</v>
      </c>
      <c r="N739" s="169">
        <f t="shared" si="46"/>
        <v>0.8478</v>
      </c>
      <c r="O739" s="169">
        <f t="shared" si="47"/>
        <v>6.4998000000000005</v>
      </c>
      <c r="Z739" s="219"/>
      <c r="AA739" s="219"/>
    </row>
    <row r="740" spans="1:27" x14ac:dyDescent="0.3">
      <c r="A740" s="88">
        <v>737</v>
      </c>
      <c r="B740" s="173">
        <v>510</v>
      </c>
      <c r="C740" s="159"/>
      <c r="D740" s="88" t="s">
        <v>1367</v>
      </c>
      <c r="E740" s="88" t="s">
        <v>715</v>
      </c>
      <c r="F740" s="88" t="s">
        <v>1279</v>
      </c>
      <c r="G740" s="88" t="s">
        <v>1280</v>
      </c>
      <c r="H740" s="88">
        <v>300844969700003</v>
      </c>
      <c r="I740" s="88"/>
      <c r="J740" s="49">
        <v>1</v>
      </c>
      <c r="K740" s="49">
        <v>5.2169999999999996</v>
      </c>
      <c r="L740" s="169">
        <f t="shared" si="44"/>
        <v>5.2169999999999996</v>
      </c>
      <c r="M740" s="169">
        <f t="shared" si="45"/>
        <v>1</v>
      </c>
      <c r="N740" s="169">
        <f t="shared" si="46"/>
        <v>0.78254999999999997</v>
      </c>
      <c r="O740" s="169">
        <f t="shared" si="47"/>
        <v>5.9995499999999993</v>
      </c>
      <c r="Z740" s="219"/>
      <c r="AA740" s="219"/>
    </row>
    <row r="741" spans="1:27" x14ac:dyDescent="0.3">
      <c r="A741" s="88">
        <v>738</v>
      </c>
      <c r="B741" s="173">
        <v>511</v>
      </c>
      <c r="C741" s="159"/>
      <c r="D741" s="88" t="s">
        <v>1367</v>
      </c>
      <c r="E741" s="88" t="s">
        <v>709</v>
      </c>
      <c r="F741" s="88" t="s">
        <v>1368</v>
      </c>
      <c r="G741" s="88" t="s">
        <v>1280</v>
      </c>
      <c r="H741" s="88">
        <v>300844969700003</v>
      </c>
      <c r="I741" s="88"/>
      <c r="J741" s="49">
        <v>2</v>
      </c>
      <c r="K741" s="49">
        <v>3.0430000000000001</v>
      </c>
      <c r="L741" s="169">
        <f t="shared" si="44"/>
        <v>6.0860000000000003</v>
      </c>
      <c r="M741" s="169">
        <f t="shared" si="45"/>
        <v>1</v>
      </c>
      <c r="N741" s="169">
        <f t="shared" ref="N741:N766" si="48">M741*L741*15%</f>
        <v>0.91290000000000004</v>
      </c>
      <c r="O741" s="169">
        <f t="shared" ref="O741:O766" si="49">N741+L741</f>
        <v>6.9989000000000008</v>
      </c>
      <c r="Z741" s="219"/>
      <c r="AA741" s="219"/>
    </row>
    <row r="742" spans="1:27" x14ac:dyDescent="0.3">
      <c r="A742" s="88">
        <v>739</v>
      </c>
      <c r="B742" s="173">
        <v>512</v>
      </c>
      <c r="C742" s="159"/>
      <c r="D742" s="88" t="s">
        <v>1367</v>
      </c>
      <c r="E742" s="88" t="s">
        <v>715</v>
      </c>
      <c r="F742" s="88" t="s">
        <v>1279</v>
      </c>
      <c r="G742" s="88" t="s">
        <v>1326</v>
      </c>
      <c r="H742" s="88">
        <v>311172172500003</v>
      </c>
      <c r="I742" s="88"/>
      <c r="J742" s="49">
        <v>1</v>
      </c>
      <c r="K742" s="49">
        <v>5.22</v>
      </c>
      <c r="L742" s="169">
        <f t="shared" si="44"/>
        <v>5.22</v>
      </c>
      <c r="M742" s="169">
        <f t="shared" si="45"/>
        <v>1</v>
      </c>
      <c r="N742" s="169">
        <f t="shared" si="48"/>
        <v>0.78299999999999992</v>
      </c>
      <c r="O742" s="169">
        <f t="shared" si="49"/>
        <v>6.0030000000000001</v>
      </c>
      <c r="Z742" s="219"/>
      <c r="AA742" s="219"/>
    </row>
    <row r="743" spans="1:27" x14ac:dyDescent="0.3">
      <c r="A743" s="88">
        <v>740</v>
      </c>
      <c r="B743" s="173">
        <v>513</v>
      </c>
      <c r="C743" s="159"/>
      <c r="D743" s="88" t="s">
        <v>1367</v>
      </c>
      <c r="E743" s="88" t="s">
        <v>715</v>
      </c>
      <c r="F743" s="88" t="s">
        <v>1279</v>
      </c>
      <c r="G743" s="88" t="s">
        <v>1326</v>
      </c>
      <c r="H743" s="88">
        <v>311172172500003</v>
      </c>
      <c r="I743" s="88"/>
      <c r="J743" s="49">
        <v>1</v>
      </c>
      <c r="K743" s="49">
        <v>5.22</v>
      </c>
      <c r="L743" s="169">
        <f t="shared" si="44"/>
        <v>5.22</v>
      </c>
      <c r="M743" s="169">
        <f t="shared" si="45"/>
        <v>1</v>
      </c>
      <c r="N743" s="169">
        <f t="shared" si="48"/>
        <v>0.78299999999999992</v>
      </c>
      <c r="O743" s="169">
        <f t="shared" si="49"/>
        <v>6.0030000000000001</v>
      </c>
      <c r="Z743" s="219"/>
      <c r="AA743" s="219"/>
    </row>
    <row r="744" spans="1:27" x14ac:dyDescent="0.3">
      <c r="A744" s="88">
        <v>741</v>
      </c>
      <c r="B744" s="173">
        <v>514</v>
      </c>
      <c r="C744" s="159"/>
      <c r="D744" s="88" t="s">
        <v>1367</v>
      </c>
      <c r="E744" s="88" t="s">
        <v>715</v>
      </c>
      <c r="F744" s="88" t="s">
        <v>1279</v>
      </c>
      <c r="G744" s="88" t="s">
        <v>1326</v>
      </c>
      <c r="H744" s="88">
        <v>311172172500003</v>
      </c>
      <c r="I744" s="88"/>
      <c r="J744" s="49">
        <v>1</v>
      </c>
      <c r="K744" s="49">
        <v>5.22</v>
      </c>
      <c r="L744" s="169">
        <f t="shared" si="44"/>
        <v>5.22</v>
      </c>
      <c r="M744" s="169">
        <f t="shared" si="45"/>
        <v>1</v>
      </c>
      <c r="N744" s="169">
        <f t="shared" si="48"/>
        <v>0.78299999999999992</v>
      </c>
      <c r="O744" s="169">
        <f t="shared" si="49"/>
        <v>6.0030000000000001</v>
      </c>
      <c r="Z744" s="219"/>
      <c r="AA744" s="219"/>
    </row>
    <row r="745" spans="1:27" x14ac:dyDescent="0.3">
      <c r="A745" s="88">
        <v>742</v>
      </c>
      <c r="B745" s="173">
        <v>515</v>
      </c>
      <c r="C745" s="159"/>
      <c r="D745" s="88" t="s">
        <v>1367</v>
      </c>
      <c r="E745" s="88" t="s">
        <v>715</v>
      </c>
      <c r="F745" s="88" t="s">
        <v>1279</v>
      </c>
      <c r="G745" s="88" t="s">
        <v>1326</v>
      </c>
      <c r="H745" s="88">
        <v>311172172500003</v>
      </c>
      <c r="I745" s="88"/>
      <c r="J745" s="49">
        <v>1</v>
      </c>
      <c r="K745" s="49">
        <v>5.22</v>
      </c>
      <c r="L745" s="169">
        <f t="shared" si="44"/>
        <v>5.22</v>
      </c>
      <c r="M745" s="169">
        <f t="shared" si="45"/>
        <v>1</v>
      </c>
      <c r="N745" s="169">
        <f t="shared" si="48"/>
        <v>0.78299999999999992</v>
      </c>
      <c r="O745" s="169">
        <f t="shared" si="49"/>
        <v>6.0030000000000001</v>
      </c>
      <c r="Z745" s="219"/>
      <c r="AA745" s="219"/>
    </row>
    <row r="746" spans="1:27" x14ac:dyDescent="0.3">
      <c r="A746" s="88">
        <v>743</v>
      </c>
      <c r="B746" s="173">
        <v>516</v>
      </c>
      <c r="C746" s="159"/>
      <c r="D746" s="88" t="s">
        <v>1367</v>
      </c>
      <c r="E746" s="88" t="s">
        <v>709</v>
      </c>
      <c r="F746" s="88" t="s">
        <v>1369</v>
      </c>
      <c r="G746" s="88" t="s">
        <v>1370</v>
      </c>
      <c r="H746" s="88">
        <v>300508296700003</v>
      </c>
      <c r="I746" s="88"/>
      <c r="J746" s="49">
        <v>2</v>
      </c>
      <c r="K746" s="49">
        <v>15.608000000000001</v>
      </c>
      <c r="L746" s="169">
        <f t="shared" si="44"/>
        <v>31.216000000000001</v>
      </c>
      <c r="M746" s="169">
        <f t="shared" si="45"/>
        <v>1</v>
      </c>
      <c r="N746" s="169">
        <f t="shared" si="48"/>
        <v>4.6824000000000003</v>
      </c>
      <c r="O746" s="169">
        <f t="shared" si="49"/>
        <v>35.898400000000002</v>
      </c>
      <c r="Z746" s="219"/>
      <c r="AA746" s="219"/>
    </row>
    <row r="747" spans="1:27" x14ac:dyDescent="0.3">
      <c r="A747" s="88">
        <v>744</v>
      </c>
      <c r="B747" s="173">
        <v>517</v>
      </c>
      <c r="C747" s="159"/>
      <c r="D747" s="88" t="s">
        <v>1367</v>
      </c>
      <c r="E747" s="88" t="s">
        <v>740</v>
      </c>
      <c r="F747" s="88" t="s">
        <v>1270</v>
      </c>
      <c r="G747" s="88" t="s">
        <v>1275</v>
      </c>
      <c r="H747" s="88">
        <v>300498479600003</v>
      </c>
      <c r="I747" s="88" t="s">
        <v>776</v>
      </c>
      <c r="J747" s="49">
        <v>5</v>
      </c>
      <c r="K747" s="49">
        <v>1</v>
      </c>
      <c r="L747" s="169">
        <f t="shared" si="44"/>
        <v>5</v>
      </c>
      <c r="M747" s="169">
        <f t="shared" si="45"/>
        <v>1</v>
      </c>
      <c r="N747" s="169">
        <f t="shared" si="48"/>
        <v>0.75</v>
      </c>
      <c r="O747" s="169">
        <f t="shared" si="49"/>
        <v>5.75</v>
      </c>
      <c r="Z747" s="219"/>
      <c r="AA747" s="219"/>
    </row>
    <row r="748" spans="1:27" x14ac:dyDescent="0.3">
      <c r="A748" s="88">
        <v>745</v>
      </c>
      <c r="B748" s="173">
        <v>518</v>
      </c>
      <c r="C748" s="159"/>
      <c r="D748" s="88" t="s">
        <v>1367</v>
      </c>
      <c r="E748" s="88" t="s">
        <v>740</v>
      </c>
      <c r="F748" s="88" t="s">
        <v>1270</v>
      </c>
      <c r="G748" s="88" t="s">
        <v>1275</v>
      </c>
      <c r="H748" s="88">
        <v>300498479600003</v>
      </c>
      <c r="I748" s="88" t="s">
        <v>776</v>
      </c>
      <c r="J748" s="49">
        <v>3</v>
      </c>
      <c r="K748" s="49">
        <v>1.3</v>
      </c>
      <c r="L748" s="169">
        <f t="shared" si="44"/>
        <v>3.9000000000000004</v>
      </c>
      <c r="M748" s="169">
        <f t="shared" si="45"/>
        <v>1</v>
      </c>
      <c r="N748" s="169">
        <f t="shared" si="48"/>
        <v>0.58500000000000008</v>
      </c>
      <c r="O748" s="169">
        <f t="shared" si="49"/>
        <v>4.4850000000000003</v>
      </c>
      <c r="Z748" s="219"/>
      <c r="AA748" s="219"/>
    </row>
    <row r="749" spans="1:27" x14ac:dyDescent="0.3">
      <c r="A749" s="88">
        <v>746</v>
      </c>
      <c r="B749" s="173">
        <v>519</v>
      </c>
      <c r="C749" s="159"/>
      <c r="D749" s="88" t="s">
        <v>503</v>
      </c>
      <c r="E749" s="88" t="s">
        <v>740</v>
      </c>
      <c r="F749" s="88" t="s">
        <v>1270</v>
      </c>
      <c r="G749" s="88" t="s">
        <v>1275</v>
      </c>
      <c r="H749" s="88">
        <v>300498479600003</v>
      </c>
      <c r="I749" s="88" t="s">
        <v>776</v>
      </c>
      <c r="J749" s="49">
        <v>5</v>
      </c>
      <c r="K749" s="49">
        <v>1</v>
      </c>
      <c r="L749" s="169">
        <f t="shared" si="44"/>
        <v>5</v>
      </c>
      <c r="M749" s="169">
        <f t="shared" si="45"/>
        <v>1</v>
      </c>
      <c r="N749" s="169">
        <f t="shared" si="48"/>
        <v>0.75</v>
      </c>
      <c r="O749" s="169">
        <f t="shared" si="49"/>
        <v>5.75</v>
      </c>
      <c r="Z749" s="219"/>
      <c r="AA749" s="219"/>
    </row>
    <row r="750" spans="1:27" x14ac:dyDescent="0.3">
      <c r="A750" s="88">
        <v>747</v>
      </c>
      <c r="B750" s="173">
        <v>520</v>
      </c>
      <c r="C750" s="159"/>
      <c r="D750" s="88" t="s">
        <v>1367</v>
      </c>
      <c r="E750" s="88" t="s">
        <v>740</v>
      </c>
      <c r="F750" s="88" t="s">
        <v>1270</v>
      </c>
      <c r="G750" s="88" t="s">
        <v>1275</v>
      </c>
      <c r="H750" s="88">
        <v>300498479600003</v>
      </c>
      <c r="I750" s="88" t="s">
        <v>776</v>
      </c>
      <c r="J750" s="49">
        <v>6</v>
      </c>
      <c r="K750" s="49">
        <v>1</v>
      </c>
      <c r="L750" s="169">
        <f t="shared" si="44"/>
        <v>6</v>
      </c>
      <c r="M750" s="169">
        <f t="shared" si="45"/>
        <v>1</v>
      </c>
      <c r="N750" s="169">
        <f t="shared" si="48"/>
        <v>0.89999999999999991</v>
      </c>
      <c r="O750" s="169">
        <f t="shared" si="49"/>
        <v>6.9</v>
      </c>
      <c r="Z750" s="219"/>
      <c r="AA750" s="219"/>
    </row>
    <row r="751" spans="1:27" x14ac:dyDescent="0.3">
      <c r="A751" s="88">
        <v>748</v>
      </c>
      <c r="B751" s="173">
        <v>521</v>
      </c>
      <c r="C751" s="159"/>
      <c r="D751" s="88" t="s">
        <v>1367</v>
      </c>
      <c r="E751" s="88" t="s">
        <v>740</v>
      </c>
      <c r="F751" s="88" t="s">
        <v>1270</v>
      </c>
      <c r="G751" s="88" t="s">
        <v>1275</v>
      </c>
      <c r="H751" s="88">
        <v>300498479600003</v>
      </c>
      <c r="I751" s="88" t="s">
        <v>776</v>
      </c>
      <c r="J751" s="49">
        <v>6</v>
      </c>
      <c r="K751" s="49">
        <v>1</v>
      </c>
      <c r="L751" s="169">
        <f t="shared" si="44"/>
        <v>6</v>
      </c>
      <c r="M751" s="169">
        <f t="shared" si="45"/>
        <v>1</v>
      </c>
      <c r="N751" s="169">
        <f t="shared" si="48"/>
        <v>0.89999999999999991</v>
      </c>
      <c r="O751" s="169">
        <f t="shared" si="49"/>
        <v>6.9</v>
      </c>
      <c r="Z751" s="219"/>
      <c r="AA751" s="219"/>
    </row>
    <row r="752" spans="1:27" x14ac:dyDescent="0.3">
      <c r="A752" s="88">
        <v>749</v>
      </c>
      <c r="B752" s="173">
        <v>522</v>
      </c>
      <c r="C752" s="159"/>
      <c r="D752" s="88" t="s">
        <v>1367</v>
      </c>
      <c r="E752" s="88" t="s">
        <v>740</v>
      </c>
      <c r="F752" s="88" t="s">
        <v>1270</v>
      </c>
      <c r="G752" s="88" t="s">
        <v>1275</v>
      </c>
      <c r="H752" s="88">
        <v>300498479600003</v>
      </c>
      <c r="I752" s="88" t="s">
        <v>776</v>
      </c>
      <c r="J752" s="49">
        <v>5</v>
      </c>
      <c r="K752" s="49">
        <v>1</v>
      </c>
      <c r="L752" s="169">
        <v>5</v>
      </c>
      <c r="M752" s="169">
        <f t="shared" si="45"/>
        <v>1</v>
      </c>
      <c r="N752" s="169">
        <f t="shared" si="48"/>
        <v>0.75</v>
      </c>
      <c r="O752" s="169">
        <f t="shared" si="49"/>
        <v>5.75</v>
      </c>
      <c r="Z752" s="219"/>
      <c r="AA752" s="219"/>
    </row>
    <row r="753" spans="1:27" x14ac:dyDescent="0.3">
      <c r="A753" s="88">
        <v>750</v>
      </c>
      <c r="B753" s="173">
        <v>523</v>
      </c>
      <c r="C753" s="159"/>
      <c r="D753" s="88" t="s">
        <v>1367</v>
      </c>
      <c r="E753" s="88" t="s">
        <v>740</v>
      </c>
      <c r="F753" s="88" t="s">
        <v>1270</v>
      </c>
      <c r="G753" s="88" t="s">
        <v>1275</v>
      </c>
      <c r="H753" s="88">
        <v>300498479600003</v>
      </c>
      <c r="I753" s="88" t="s">
        <v>776</v>
      </c>
      <c r="J753" s="49">
        <v>5</v>
      </c>
      <c r="K753" s="49">
        <v>1</v>
      </c>
      <c r="L753" s="169">
        <f t="shared" ref="L753:L761" si="50">K753*J753</f>
        <v>5</v>
      </c>
      <c r="M753" s="169">
        <f t="shared" si="45"/>
        <v>1</v>
      </c>
      <c r="N753" s="169">
        <f t="shared" si="48"/>
        <v>0.75</v>
      </c>
      <c r="O753" s="169">
        <f t="shared" si="49"/>
        <v>5.75</v>
      </c>
      <c r="Z753" s="219"/>
      <c r="AA753" s="219"/>
    </row>
    <row r="754" spans="1:27" x14ac:dyDescent="0.3">
      <c r="A754" s="88">
        <v>751</v>
      </c>
      <c r="B754" s="173">
        <v>524</v>
      </c>
      <c r="C754" s="159"/>
      <c r="D754" s="88" t="s">
        <v>1367</v>
      </c>
      <c r="E754" s="88" t="s">
        <v>740</v>
      </c>
      <c r="F754" s="88" t="s">
        <v>1270</v>
      </c>
      <c r="G754" s="88" t="s">
        <v>1275</v>
      </c>
      <c r="H754" s="88">
        <v>300498479600003</v>
      </c>
      <c r="I754" s="88" t="s">
        <v>776</v>
      </c>
      <c r="J754" s="49">
        <v>5</v>
      </c>
      <c r="K754" s="49">
        <v>1</v>
      </c>
      <c r="L754" s="169">
        <f t="shared" si="50"/>
        <v>5</v>
      </c>
      <c r="M754" s="169">
        <f t="shared" si="45"/>
        <v>1</v>
      </c>
      <c r="N754" s="169">
        <f t="shared" si="48"/>
        <v>0.75</v>
      </c>
      <c r="O754" s="169">
        <f t="shared" si="49"/>
        <v>5.75</v>
      </c>
      <c r="Z754" s="219"/>
      <c r="AA754" s="219"/>
    </row>
    <row r="755" spans="1:27" x14ac:dyDescent="0.3">
      <c r="A755" s="88">
        <v>752</v>
      </c>
      <c r="B755" s="173">
        <v>525</v>
      </c>
      <c r="C755" s="159"/>
      <c r="D755" s="88" t="s">
        <v>1367</v>
      </c>
      <c r="E755" s="88" t="s">
        <v>715</v>
      </c>
      <c r="F755" s="88" t="s">
        <v>1279</v>
      </c>
      <c r="G755" s="88" t="s">
        <v>1326</v>
      </c>
      <c r="H755" s="88">
        <v>311172172500003</v>
      </c>
      <c r="I755" s="88"/>
      <c r="J755" s="49">
        <v>1</v>
      </c>
      <c r="K755" s="49">
        <v>5.22</v>
      </c>
      <c r="L755" s="169">
        <f t="shared" si="50"/>
        <v>5.22</v>
      </c>
      <c r="M755" s="169">
        <f t="shared" si="45"/>
        <v>1</v>
      </c>
      <c r="N755" s="169">
        <f t="shared" si="48"/>
        <v>0.78299999999999992</v>
      </c>
      <c r="O755" s="169">
        <f t="shared" si="49"/>
        <v>6.0030000000000001</v>
      </c>
      <c r="Z755" s="219"/>
      <c r="AA755" s="219"/>
    </row>
    <row r="756" spans="1:27" x14ac:dyDescent="0.3">
      <c r="A756" s="88">
        <v>753</v>
      </c>
      <c r="B756" s="173">
        <v>526</v>
      </c>
      <c r="C756" s="159"/>
      <c r="D756" s="88" t="s">
        <v>1367</v>
      </c>
      <c r="E756" s="88" t="s">
        <v>740</v>
      </c>
      <c r="F756" s="88" t="s">
        <v>1270</v>
      </c>
      <c r="G756" s="88" t="s">
        <v>1275</v>
      </c>
      <c r="H756" s="88">
        <v>300498479600003</v>
      </c>
      <c r="I756" s="88" t="s">
        <v>776</v>
      </c>
      <c r="J756" s="49">
        <v>5</v>
      </c>
      <c r="K756" s="49">
        <v>1</v>
      </c>
      <c r="L756" s="169">
        <f t="shared" si="50"/>
        <v>5</v>
      </c>
      <c r="M756" s="169">
        <f t="shared" si="45"/>
        <v>1</v>
      </c>
      <c r="N756" s="169">
        <f t="shared" si="48"/>
        <v>0.75</v>
      </c>
      <c r="O756" s="169">
        <f t="shared" si="49"/>
        <v>5.75</v>
      </c>
      <c r="Z756" s="20"/>
      <c r="AA756" s="20"/>
    </row>
    <row r="757" spans="1:27" x14ac:dyDescent="0.3">
      <c r="A757" s="88">
        <v>754</v>
      </c>
      <c r="B757" s="173">
        <v>527</v>
      </c>
      <c r="C757" s="159"/>
      <c r="D757" s="88" t="s">
        <v>1367</v>
      </c>
      <c r="E757" s="88" t="s">
        <v>740</v>
      </c>
      <c r="F757" s="88" t="s">
        <v>1270</v>
      </c>
      <c r="G757" s="88" t="s">
        <v>1275</v>
      </c>
      <c r="H757" s="88">
        <v>300498479600003</v>
      </c>
      <c r="I757" s="88" t="s">
        <v>776</v>
      </c>
      <c r="J757" s="49">
        <v>5</v>
      </c>
      <c r="K757" s="49">
        <v>1</v>
      </c>
      <c r="L757" s="169">
        <f t="shared" si="50"/>
        <v>5</v>
      </c>
      <c r="M757" s="169">
        <f t="shared" si="45"/>
        <v>1</v>
      </c>
      <c r="N757" s="169">
        <f t="shared" si="48"/>
        <v>0.75</v>
      </c>
      <c r="O757" s="169">
        <f t="shared" si="49"/>
        <v>5.75</v>
      </c>
      <c r="Z757" s="20"/>
      <c r="AA757" s="20"/>
    </row>
    <row r="758" spans="1:27" x14ac:dyDescent="0.3">
      <c r="A758" s="88">
        <v>755</v>
      </c>
      <c r="B758" s="173">
        <v>528</v>
      </c>
      <c r="C758" s="159"/>
      <c r="D758" s="88" t="s">
        <v>1367</v>
      </c>
      <c r="E758" s="88" t="s">
        <v>740</v>
      </c>
      <c r="F758" s="88" t="s">
        <v>1270</v>
      </c>
      <c r="G758" s="88" t="s">
        <v>1275</v>
      </c>
      <c r="H758" s="88">
        <v>300498479600003</v>
      </c>
      <c r="I758" s="88" t="s">
        <v>776</v>
      </c>
      <c r="J758" s="49">
        <v>5</v>
      </c>
      <c r="K758" s="49">
        <v>1</v>
      </c>
      <c r="L758" s="169">
        <f t="shared" si="50"/>
        <v>5</v>
      </c>
      <c r="M758" s="169">
        <f t="shared" si="45"/>
        <v>1</v>
      </c>
      <c r="N758" s="169">
        <f t="shared" si="48"/>
        <v>0.75</v>
      </c>
      <c r="O758" s="169">
        <f t="shared" si="49"/>
        <v>5.75</v>
      </c>
      <c r="Z758" s="20"/>
      <c r="AA758" s="20"/>
    </row>
    <row r="759" spans="1:27" x14ac:dyDescent="0.3">
      <c r="A759" s="88">
        <v>756</v>
      </c>
      <c r="B759" s="173">
        <v>529</v>
      </c>
      <c r="C759" s="159"/>
      <c r="D759" s="88" t="s">
        <v>1367</v>
      </c>
      <c r="E759" s="88" t="s">
        <v>740</v>
      </c>
      <c r="F759" s="88" t="s">
        <v>1270</v>
      </c>
      <c r="G759" s="88" t="s">
        <v>1275</v>
      </c>
      <c r="H759" s="88">
        <v>300498479600003</v>
      </c>
      <c r="I759" s="88" t="s">
        <v>776</v>
      </c>
      <c r="J759" s="49">
        <v>5</v>
      </c>
      <c r="K759" s="49">
        <v>1</v>
      </c>
      <c r="L759" s="169">
        <f t="shared" si="50"/>
        <v>5</v>
      </c>
      <c r="M759" s="169">
        <f t="shared" si="45"/>
        <v>1</v>
      </c>
      <c r="N759" s="169">
        <f t="shared" si="48"/>
        <v>0.75</v>
      </c>
      <c r="O759" s="169">
        <f t="shared" si="49"/>
        <v>5.75</v>
      </c>
      <c r="Z759" s="20"/>
      <c r="AA759" s="20"/>
    </row>
    <row r="760" spans="1:27" x14ac:dyDescent="0.3">
      <c r="A760" s="88">
        <v>757</v>
      </c>
      <c r="B760" s="173">
        <v>530</v>
      </c>
      <c r="C760" s="159"/>
      <c r="D760" s="88" t="s">
        <v>1367</v>
      </c>
      <c r="E760" s="88" t="s">
        <v>740</v>
      </c>
      <c r="F760" s="88" t="s">
        <v>1270</v>
      </c>
      <c r="G760" s="88" t="s">
        <v>1275</v>
      </c>
      <c r="H760" s="88">
        <v>300498479600003</v>
      </c>
      <c r="I760" s="88" t="s">
        <v>776</v>
      </c>
      <c r="J760" s="49">
        <v>5</v>
      </c>
      <c r="K760" s="49">
        <v>1</v>
      </c>
      <c r="L760" s="169">
        <f t="shared" si="50"/>
        <v>5</v>
      </c>
      <c r="M760" s="169">
        <f t="shared" si="45"/>
        <v>1</v>
      </c>
      <c r="N760" s="169">
        <f t="shared" si="48"/>
        <v>0.75</v>
      </c>
      <c r="O760" s="169">
        <f t="shared" si="49"/>
        <v>5.75</v>
      </c>
      <c r="Z760" s="20"/>
      <c r="AA760" s="20"/>
    </row>
    <row r="761" spans="1:27" x14ac:dyDescent="0.3">
      <c r="A761" s="88">
        <v>758</v>
      </c>
      <c r="B761" s="173">
        <v>531</v>
      </c>
      <c r="C761" s="159"/>
      <c r="D761" s="88" t="s">
        <v>1367</v>
      </c>
      <c r="E761" s="88" t="s">
        <v>740</v>
      </c>
      <c r="F761" s="88" t="s">
        <v>1270</v>
      </c>
      <c r="G761" s="88" t="s">
        <v>1275</v>
      </c>
      <c r="H761" s="88">
        <v>300498479600003</v>
      </c>
      <c r="I761" s="88" t="s">
        <v>776</v>
      </c>
      <c r="J761" s="49">
        <v>5</v>
      </c>
      <c r="K761" s="49">
        <v>1</v>
      </c>
      <c r="L761" s="169">
        <f t="shared" si="50"/>
        <v>5</v>
      </c>
      <c r="M761" s="169">
        <f t="shared" si="45"/>
        <v>1</v>
      </c>
      <c r="N761" s="169">
        <f t="shared" si="48"/>
        <v>0.75</v>
      </c>
      <c r="O761" s="169">
        <f t="shared" si="49"/>
        <v>5.75</v>
      </c>
      <c r="Z761" s="20"/>
      <c r="AA761" s="20"/>
    </row>
    <row r="762" spans="1:27" x14ac:dyDescent="0.3">
      <c r="A762" s="88">
        <v>759</v>
      </c>
      <c r="B762" s="173">
        <v>532</v>
      </c>
      <c r="C762" s="159"/>
      <c r="D762" s="88" t="s">
        <v>1367</v>
      </c>
      <c r="E762" s="88" t="s">
        <v>740</v>
      </c>
      <c r="F762" s="88" t="s">
        <v>1270</v>
      </c>
      <c r="G762" s="88" t="s">
        <v>1275</v>
      </c>
      <c r="H762" s="88">
        <v>300498479600003</v>
      </c>
      <c r="I762" s="88" t="s">
        <v>776</v>
      </c>
      <c r="J762" s="49">
        <v>5</v>
      </c>
      <c r="K762" s="49">
        <v>1</v>
      </c>
      <c r="L762" s="169">
        <f t="shared" ref="L762:L777" si="51">K762*J762</f>
        <v>5</v>
      </c>
      <c r="M762" s="169">
        <f t="shared" si="45"/>
        <v>1</v>
      </c>
      <c r="N762" s="169">
        <f t="shared" si="48"/>
        <v>0.75</v>
      </c>
      <c r="O762" s="169">
        <f t="shared" si="49"/>
        <v>5.75</v>
      </c>
      <c r="Z762" s="20"/>
      <c r="AA762" s="20"/>
    </row>
    <row r="763" spans="1:27" x14ac:dyDescent="0.3">
      <c r="A763" s="88">
        <v>760</v>
      </c>
      <c r="B763" s="173">
        <v>533</v>
      </c>
      <c r="C763" s="159"/>
      <c r="D763" s="88" t="s">
        <v>1367</v>
      </c>
      <c r="E763" s="88" t="s">
        <v>740</v>
      </c>
      <c r="F763" s="88" t="s">
        <v>1270</v>
      </c>
      <c r="G763" s="88" t="s">
        <v>1275</v>
      </c>
      <c r="H763" s="88">
        <v>300498479600003</v>
      </c>
      <c r="I763" s="88" t="s">
        <v>776</v>
      </c>
      <c r="J763" s="49">
        <v>5</v>
      </c>
      <c r="K763" s="49">
        <v>1</v>
      </c>
      <c r="L763" s="169">
        <f t="shared" si="51"/>
        <v>5</v>
      </c>
      <c r="M763" s="169">
        <f t="shared" si="45"/>
        <v>1</v>
      </c>
      <c r="N763" s="169">
        <f t="shared" si="48"/>
        <v>0.75</v>
      </c>
      <c r="O763" s="169">
        <f t="shared" si="49"/>
        <v>5.75</v>
      </c>
      <c r="Z763" s="20"/>
      <c r="AA763" s="20"/>
    </row>
    <row r="764" spans="1:27" x14ac:dyDescent="0.3">
      <c r="A764" s="88">
        <v>761</v>
      </c>
      <c r="B764" s="173">
        <v>534</v>
      </c>
      <c r="C764" s="159"/>
      <c r="D764" s="88" t="s">
        <v>1367</v>
      </c>
      <c r="E764" s="88" t="s">
        <v>740</v>
      </c>
      <c r="F764" s="88" t="s">
        <v>1270</v>
      </c>
      <c r="G764" s="88" t="s">
        <v>1275</v>
      </c>
      <c r="H764" s="88">
        <v>300498479600003</v>
      </c>
      <c r="I764" s="88" t="s">
        <v>776</v>
      </c>
      <c r="J764" s="49">
        <v>5</v>
      </c>
      <c r="K764" s="49">
        <v>1</v>
      </c>
      <c r="L764" s="169">
        <f t="shared" si="51"/>
        <v>5</v>
      </c>
      <c r="M764" s="169">
        <f t="shared" si="45"/>
        <v>1</v>
      </c>
      <c r="N764" s="169">
        <f t="shared" si="48"/>
        <v>0.75</v>
      </c>
      <c r="O764" s="169">
        <f t="shared" si="49"/>
        <v>5.75</v>
      </c>
      <c r="Z764" s="20"/>
      <c r="AA764" s="20"/>
    </row>
    <row r="765" spans="1:27" x14ac:dyDescent="0.3">
      <c r="A765" s="88">
        <v>762</v>
      </c>
      <c r="B765" s="173">
        <v>535</v>
      </c>
      <c r="C765" s="159"/>
      <c r="D765" s="88" t="s">
        <v>1367</v>
      </c>
      <c r="E765" s="88" t="s">
        <v>740</v>
      </c>
      <c r="F765" s="88" t="s">
        <v>1270</v>
      </c>
      <c r="G765" s="88" t="s">
        <v>1275</v>
      </c>
      <c r="H765" s="88">
        <v>300498479600003</v>
      </c>
      <c r="I765" s="88" t="s">
        <v>776</v>
      </c>
      <c r="J765" s="49">
        <v>2</v>
      </c>
      <c r="K765" s="49">
        <v>1.3</v>
      </c>
      <c r="L765" s="169">
        <f t="shared" si="51"/>
        <v>2.6</v>
      </c>
      <c r="M765" s="169">
        <f t="shared" si="45"/>
        <v>1</v>
      </c>
      <c r="N765" s="169">
        <f t="shared" si="48"/>
        <v>0.39</v>
      </c>
      <c r="O765" s="169">
        <f t="shared" si="49"/>
        <v>2.99</v>
      </c>
      <c r="Z765" s="20"/>
      <c r="AA765" s="20"/>
    </row>
    <row r="766" spans="1:27" x14ac:dyDescent="0.3">
      <c r="A766" s="88">
        <v>763</v>
      </c>
      <c r="B766" s="173">
        <v>536</v>
      </c>
      <c r="C766" s="159"/>
      <c r="D766" s="88" t="s">
        <v>1367</v>
      </c>
      <c r="E766" s="88" t="s">
        <v>740</v>
      </c>
      <c r="F766" s="88" t="s">
        <v>1270</v>
      </c>
      <c r="G766" s="88" t="s">
        <v>1275</v>
      </c>
      <c r="H766" s="88">
        <v>300498479600003</v>
      </c>
      <c r="I766" s="88" t="s">
        <v>776</v>
      </c>
      <c r="J766" s="49">
        <v>6</v>
      </c>
      <c r="K766" s="49">
        <v>1</v>
      </c>
      <c r="L766" s="169">
        <f t="shared" si="51"/>
        <v>6</v>
      </c>
      <c r="M766" s="169">
        <f t="shared" si="45"/>
        <v>1</v>
      </c>
      <c r="N766" s="169">
        <f t="shared" si="48"/>
        <v>0.89999999999999991</v>
      </c>
      <c r="O766" s="169">
        <f t="shared" si="49"/>
        <v>6.9</v>
      </c>
      <c r="Z766" s="20"/>
      <c r="AA766" s="20"/>
    </row>
    <row r="767" spans="1:27" x14ac:dyDescent="0.3">
      <c r="A767" s="88">
        <v>764</v>
      </c>
      <c r="B767" s="173">
        <v>537</v>
      </c>
      <c r="C767" s="159"/>
      <c r="D767" s="88" t="s">
        <v>504</v>
      </c>
      <c r="E767" s="88" t="s">
        <v>740</v>
      </c>
      <c r="F767" s="88" t="s">
        <v>1270</v>
      </c>
      <c r="G767" s="88" t="s">
        <v>1275</v>
      </c>
      <c r="H767" s="88">
        <v>300498479600003</v>
      </c>
      <c r="I767" s="88" t="s">
        <v>776</v>
      </c>
      <c r="J767" s="49">
        <v>6</v>
      </c>
      <c r="K767" s="49">
        <v>1</v>
      </c>
      <c r="L767" s="169">
        <f t="shared" si="51"/>
        <v>6</v>
      </c>
      <c r="M767" s="169">
        <f t="shared" si="45"/>
        <v>1</v>
      </c>
      <c r="N767" s="169">
        <f t="shared" ref="N767:N830" si="52">M767*L767*15%</f>
        <v>0.89999999999999991</v>
      </c>
      <c r="O767" s="169">
        <f t="shared" ref="O767:O830" si="53">N767+L767</f>
        <v>6.9</v>
      </c>
      <c r="Z767" s="20"/>
      <c r="AA767" s="20"/>
    </row>
    <row r="768" spans="1:27" x14ac:dyDescent="0.3">
      <c r="A768" s="88">
        <v>765</v>
      </c>
      <c r="B768" s="173">
        <v>538</v>
      </c>
      <c r="C768" s="159"/>
      <c r="D768" s="88" t="s">
        <v>504</v>
      </c>
      <c r="E768" s="88" t="s">
        <v>740</v>
      </c>
      <c r="F768" s="88" t="s">
        <v>1270</v>
      </c>
      <c r="G768" s="88" t="s">
        <v>1275</v>
      </c>
      <c r="H768" s="88">
        <v>300498479600003</v>
      </c>
      <c r="I768" s="88" t="s">
        <v>776</v>
      </c>
      <c r="J768" s="49">
        <v>6</v>
      </c>
      <c r="K768" s="49">
        <v>1</v>
      </c>
      <c r="L768" s="169">
        <f t="shared" si="51"/>
        <v>6</v>
      </c>
      <c r="M768" s="169">
        <f t="shared" si="45"/>
        <v>1</v>
      </c>
      <c r="N768" s="169">
        <f t="shared" si="52"/>
        <v>0.89999999999999991</v>
      </c>
      <c r="O768" s="169">
        <f t="shared" si="53"/>
        <v>6.9</v>
      </c>
      <c r="Z768" s="20"/>
      <c r="AA768" s="20"/>
    </row>
    <row r="769" spans="1:27" x14ac:dyDescent="0.3">
      <c r="A769" s="88">
        <v>766</v>
      </c>
      <c r="B769" s="173">
        <v>539</v>
      </c>
      <c r="C769" s="159"/>
      <c r="D769" s="88" t="s">
        <v>1371</v>
      </c>
      <c r="E769" s="88" t="s">
        <v>740</v>
      </c>
      <c r="F769" s="88" t="s">
        <v>1270</v>
      </c>
      <c r="G769" s="88" t="s">
        <v>1275</v>
      </c>
      <c r="H769" s="88">
        <v>300498479600003</v>
      </c>
      <c r="I769" s="88" t="s">
        <v>776</v>
      </c>
      <c r="J769" s="49">
        <v>6</v>
      </c>
      <c r="K769" s="49">
        <v>1</v>
      </c>
      <c r="L769" s="169">
        <f t="shared" si="51"/>
        <v>6</v>
      </c>
      <c r="M769" s="169">
        <f t="shared" si="45"/>
        <v>1</v>
      </c>
      <c r="N769" s="169">
        <f t="shared" si="52"/>
        <v>0.89999999999999991</v>
      </c>
      <c r="O769" s="169">
        <f t="shared" si="53"/>
        <v>6.9</v>
      </c>
      <c r="Z769" s="20"/>
      <c r="AA769" s="20"/>
    </row>
    <row r="770" spans="1:27" x14ac:dyDescent="0.3">
      <c r="A770" s="88">
        <v>767</v>
      </c>
      <c r="B770" s="173">
        <v>540</v>
      </c>
      <c r="C770" s="159"/>
      <c r="D770" s="88" t="s">
        <v>1371</v>
      </c>
      <c r="E770" s="88" t="s">
        <v>740</v>
      </c>
      <c r="F770" s="88" t="s">
        <v>1270</v>
      </c>
      <c r="G770" s="88" t="s">
        <v>1275</v>
      </c>
      <c r="H770" s="88">
        <v>300498479600003</v>
      </c>
      <c r="I770" s="88" t="s">
        <v>776</v>
      </c>
      <c r="J770" s="49">
        <v>6</v>
      </c>
      <c r="K770" s="49">
        <v>1</v>
      </c>
      <c r="L770" s="169">
        <f t="shared" si="51"/>
        <v>6</v>
      </c>
      <c r="M770" s="169">
        <f t="shared" si="45"/>
        <v>1</v>
      </c>
      <c r="N770" s="169">
        <f t="shared" si="52"/>
        <v>0.89999999999999991</v>
      </c>
      <c r="O770" s="169">
        <f t="shared" si="53"/>
        <v>6.9</v>
      </c>
      <c r="Z770" s="20"/>
      <c r="AA770" s="20"/>
    </row>
    <row r="771" spans="1:27" x14ac:dyDescent="0.3">
      <c r="A771" s="88">
        <v>768</v>
      </c>
      <c r="B771" s="173">
        <v>541</v>
      </c>
      <c r="C771" s="159"/>
      <c r="D771" s="88" t="s">
        <v>1371</v>
      </c>
      <c r="E771" s="88" t="s">
        <v>740</v>
      </c>
      <c r="F771" s="88" t="s">
        <v>1270</v>
      </c>
      <c r="G771" s="88" t="s">
        <v>1275</v>
      </c>
      <c r="H771" s="88">
        <v>300498479600003</v>
      </c>
      <c r="I771" s="88" t="s">
        <v>776</v>
      </c>
      <c r="J771" s="49">
        <v>6</v>
      </c>
      <c r="K771" s="49">
        <v>1</v>
      </c>
      <c r="L771" s="169">
        <f t="shared" si="51"/>
        <v>6</v>
      </c>
      <c r="M771" s="169">
        <f t="shared" si="45"/>
        <v>1</v>
      </c>
      <c r="N771" s="169">
        <f t="shared" si="52"/>
        <v>0.89999999999999991</v>
      </c>
      <c r="O771" s="169">
        <f t="shared" si="53"/>
        <v>6.9</v>
      </c>
      <c r="Z771" s="20"/>
      <c r="AA771" s="20"/>
    </row>
    <row r="772" spans="1:27" x14ac:dyDescent="0.3">
      <c r="A772" s="88">
        <v>769</v>
      </c>
      <c r="B772" s="173">
        <v>542</v>
      </c>
      <c r="C772" s="159"/>
      <c r="D772" s="88" t="s">
        <v>1371</v>
      </c>
      <c r="E772" s="88" t="s">
        <v>740</v>
      </c>
      <c r="F772" s="88" t="s">
        <v>1270</v>
      </c>
      <c r="G772" s="88" t="s">
        <v>1275</v>
      </c>
      <c r="H772" s="88">
        <v>300498479600003</v>
      </c>
      <c r="I772" s="88" t="s">
        <v>776</v>
      </c>
      <c r="J772" s="49">
        <v>6</v>
      </c>
      <c r="K772" s="49">
        <v>1</v>
      </c>
      <c r="L772" s="169">
        <f t="shared" si="51"/>
        <v>6</v>
      </c>
      <c r="M772" s="169">
        <f t="shared" si="45"/>
        <v>1</v>
      </c>
      <c r="N772" s="169">
        <f t="shared" si="52"/>
        <v>0.89999999999999991</v>
      </c>
      <c r="O772" s="169">
        <f t="shared" si="53"/>
        <v>6.9</v>
      </c>
      <c r="Z772" s="20"/>
      <c r="AA772" s="20"/>
    </row>
    <row r="773" spans="1:27" x14ac:dyDescent="0.3">
      <c r="A773" s="88">
        <v>770</v>
      </c>
      <c r="B773" s="173">
        <v>543</v>
      </c>
      <c r="C773" s="159"/>
      <c r="D773" s="88" t="s">
        <v>1371</v>
      </c>
      <c r="E773" s="88" t="s">
        <v>740</v>
      </c>
      <c r="F773" s="88" t="s">
        <v>1270</v>
      </c>
      <c r="G773" s="88" t="s">
        <v>1275</v>
      </c>
      <c r="H773" s="88">
        <v>300498479600003</v>
      </c>
      <c r="I773" s="88" t="s">
        <v>776</v>
      </c>
      <c r="J773" s="49">
        <v>6</v>
      </c>
      <c r="K773" s="49">
        <v>1</v>
      </c>
      <c r="L773" s="169">
        <f t="shared" si="51"/>
        <v>6</v>
      </c>
      <c r="M773" s="169">
        <f t="shared" si="45"/>
        <v>1</v>
      </c>
      <c r="N773" s="169">
        <f t="shared" si="52"/>
        <v>0.89999999999999991</v>
      </c>
      <c r="O773" s="169">
        <f t="shared" si="53"/>
        <v>6.9</v>
      </c>
      <c r="Z773" s="20"/>
      <c r="AA773" s="20"/>
    </row>
    <row r="774" spans="1:27" x14ac:dyDescent="0.3">
      <c r="A774" s="88">
        <v>771</v>
      </c>
      <c r="B774" s="173">
        <v>544</v>
      </c>
      <c r="C774" s="159"/>
      <c r="D774" s="88" t="s">
        <v>1371</v>
      </c>
      <c r="E774" s="88" t="s">
        <v>740</v>
      </c>
      <c r="F774" s="88" t="s">
        <v>1270</v>
      </c>
      <c r="G774" s="88" t="s">
        <v>1275</v>
      </c>
      <c r="H774" s="88">
        <v>300498479600003</v>
      </c>
      <c r="I774" s="88" t="s">
        <v>776</v>
      </c>
      <c r="J774" s="49">
        <v>6</v>
      </c>
      <c r="K774" s="49">
        <v>1</v>
      </c>
      <c r="L774" s="169">
        <f t="shared" si="51"/>
        <v>6</v>
      </c>
      <c r="M774" s="169">
        <f t="shared" si="45"/>
        <v>1</v>
      </c>
      <c r="N774" s="169">
        <f t="shared" si="52"/>
        <v>0.89999999999999991</v>
      </c>
      <c r="O774" s="169">
        <f t="shared" si="53"/>
        <v>6.9</v>
      </c>
      <c r="Z774" s="20"/>
      <c r="AA774" s="20"/>
    </row>
    <row r="775" spans="1:27" x14ac:dyDescent="0.3">
      <c r="A775" s="88">
        <v>772</v>
      </c>
      <c r="B775" s="173">
        <v>545</v>
      </c>
      <c r="C775" s="159"/>
      <c r="D775" s="88" t="s">
        <v>1371</v>
      </c>
      <c r="E775" s="88" t="s">
        <v>740</v>
      </c>
      <c r="F775" s="88" t="s">
        <v>1270</v>
      </c>
      <c r="G775" s="88" t="s">
        <v>1275</v>
      </c>
      <c r="H775" s="88">
        <v>300498479600003</v>
      </c>
      <c r="I775" s="88" t="s">
        <v>776</v>
      </c>
      <c r="J775" s="49">
        <v>6</v>
      </c>
      <c r="K775" s="49">
        <v>1</v>
      </c>
      <c r="L775" s="169">
        <f t="shared" si="51"/>
        <v>6</v>
      </c>
      <c r="M775" s="169">
        <f t="shared" si="45"/>
        <v>1</v>
      </c>
      <c r="N775" s="169">
        <f t="shared" si="52"/>
        <v>0.89999999999999991</v>
      </c>
      <c r="O775" s="169">
        <f t="shared" si="53"/>
        <v>6.9</v>
      </c>
      <c r="Z775" s="20"/>
      <c r="AA775" s="20"/>
    </row>
    <row r="776" spans="1:27" x14ac:dyDescent="0.3">
      <c r="A776" s="88">
        <v>773</v>
      </c>
      <c r="B776" s="173">
        <v>546</v>
      </c>
      <c r="C776" s="159"/>
      <c r="D776" s="88" t="s">
        <v>1371</v>
      </c>
      <c r="E776" s="88" t="s">
        <v>740</v>
      </c>
      <c r="F776" s="88" t="s">
        <v>1270</v>
      </c>
      <c r="G776" s="88" t="s">
        <v>1275</v>
      </c>
      <c r="H776" s="88">
        <v>300498479600003</v>
      </c>
      <c r="I776" s="88" t="s">
        <v>776</v>
      </c>
      <c r="J776" s="49">
        <v>6</v>
      </c>
      <c r="K776" s="49">
        <v>1</v>
      </c>
      <c r="L776" s="169">
        <f t="shared" si="51"/>
        <v>6</v>
      </c>
      <c r="M776" s="169">
        <f t="shared" si="45"/>
        <v>1</v>
      </c>
      <c r="N776" s="169">
        <f t="shared" si="52"/>
        <v>0.89999999999999991</v>
      </c>
      <c r="O776" s="169">
        <f t="shared" si="53"/>
        <v>6.9</v>
      </c>
      <c r="Z776" s="20"/>
      <c r="AA776" s="20"/>
    </row>
    <row r="777" spans="1:27" x14ac:dyDescent="0.3">
      <c r="A777" s="88">
        <v>774</v>
      </c>
      <c r="B777" s="173">
        <v>547</v>
      </c>
      <c r="C777" s="159"/>
      <c r="D777" s="88" t="s">
        <v>1371</v>
      </c>
      <c r="E777" s="88" t="s">
        <v>740</v>
      </c>
      <c r="F777" s="88" t="s">
        <v>1270</v>
      </c>
      <c r="G777" s="88" t="s">
        <v>1275</v>
      </c>
      <c r="H777" s="88">
        <v>300498479600003</v>
      </c>
      <c r="I777" s="88" t="s">
        <v>776</v>
      </c>
      <c r="J777" s="49">
        <v>6</v>
      </c>
      <c r="K777" s="49">
        <v>1</v>
      </c>
      <c r="L777" s="169">
        <f t="shared" si="51"/>
        <v>6</v>
      </c>
      <c r="M777" s="169">
        <f t="shared" si="45"/>
        <v>1</v>
      </c>
      <c r="N777" s="169">
        <f t="shared" si="52"/>
        <v>0.89999999999999991</v>
      </c>
      <c r="O777" s="169">
        <f>N777+L777</f>
        <v>6.9</v>
      </c>
      <c r="Z777" s="20"/>
      <c r="AA777" s="20"/>
    </row>
    <row r="778" spans="1:27" x14ac:dyDescent="0.3">
      <c r="A778" s="88">
        <v>775</v>
      </c>
      <c r="B778" s="173">
        <v>548</v>
      </c>
      <c r="C778" s="159"/>
      <c r="D778" s="88" t="s">
        <v>1371</v>
      </c>
      <c r="E778" s="88" t="s">
        <v>715</v>
      </c>
      <c r="F778" s="88" t="s">
        <v>1279</v>
      </c>
      <c r="G778" s="88" t="s">
        <v>1280</v>
      </c>
      <c r="H778" s="88">
        <v>300844969700003</v>
      </c>
      <c r="I778" s="88"/>
      <c r="J778" s="49">
        <v>1</v>
      </c>
      <c r="K778" s="49">
        <v>5.2169999999999996</v>
      </c>
      <c r="L778" s="169">
        <f t="shared" ref="L778:L790" si="54">K778*J778</f>
        <v>5.2169999999999996</v>
      </c>
      <c r="M778" s="169">
        <f t="shared" si="45"/>
        <v>1</v>
      </c>
      <c r="N778" s="169">
        <f t="shared" si="52"/>
        <v>0.78254999999999997</v>
      </c>
      <c r="O778" s="169">
        <f>N778+L778</f>
        <v>5.9995499999999993</v>
      </c>
      <c r="Z778" s="20"/>
      <c r="AA778" s="20"/>
    </row>
    <row r="779" spans="1:27" x14ac:dyDescent="0.3">
      <c r="A779" s="88">
        <v>776</v>
      </c>
      <c r="B779" s="173">
        <v>549</v>
      </c>
      <c r="C779" s="159"/>
      <c r="D779" s="88" t="s">
        <v>1371</v>
      </c>
      <c r="E779" s="88" t="s">
        <v>740</v>
      </c>
      <c r="F779" s="88" t="s">
        <v>1270</v>
      </c>
      <c r="G779" s="88" t="s">
        <v>1275</v>
      </c>
      <c r="H779" s="88">
        <v>300498479600003</v>
      </c>
      <c r="I779" s="88" t="s">
        <v>776</v>
      </c>
      <c r="J779" s="49">
        <v>6</v>
      </c>
      <c r="K779" s="49">
        <v>1</v>
      </c>
      <c r="L779" s="169">
        <f t="shared" si="54"/>
        <v>6</v>
      </c>
      <c r="M779" s="169">
        <f t="shared" si="45"/>
        <v>1</v>
      </c>
      <c r="N779" s="169">
        <f t="shared" si="52"/>
        <v>0.89999999999999991</v>
      </c>
      <c r="O779" s="169">
        <f t="shared" si="53"/>
        <v>6.9</v>
      </c>
      <c r="Z779" s="20"/>
      <c r="AA779" s="20"/>
    </row>
    <row r="780" spans="1:27" x14ac:dyDescent="0.3">
      <c r="A780" s="88">
        <v>777</v>
      </c>
      <c r="B780" s="173">
        <v>550</v>
      </c>
      <c r="C780" s="159"/>
      <c r="D780" s="88" t="s">
        <v>1371</v>
      </c>
      <c r="E780" s="88" t="s">
        <v>740</v>
      </c>
      <c r="F780" s="88" t="s">
        <v>1270</v>
      </c>
      <c r="G780" s="88" t="s">
        <v>1275</v>
      </c>
      <c r="H780" s="88">
        <v>300498479600003</v>
      </c>
      <c r="I780" s="88" t="s">
        <v>776</v>
      </c>
      <c r="J780" s="49">
        <v>6</v>
      </c>
      <c r="K780" s="49">
        <v>1</v>
      </c>
      <c r="L780" s="169">
        <f t="shared" si="54"/>
        <v>6</v>
      </c>
      <c r="M780" s="169">
        <f t="shared" si="45"/>
        <v>1</v>
      </c>
      <c r="N780" s="169">
        <f t="shared" si="52"/>
        <v>0.89999999999999991</v>
      </c>
      <c r="O780" s="169">
        <f t="shared" si="53"/>
        <v>6.9</v>
      </c>
      <c r="Z780" s="20"/>
      <c r="AA780" s="20"/>
    </row>
    <row r="781" spans="1:27" x14ac:dyDescent="0.3">
      <c r="A781" s="88">
        <v>778</v>
      </c>
      <c r="B781" s="173">
        <v>551</v>
      </c>
      <c r="C781" s="159"/>
      <c r="D781" s="88" t="s">
        <v>1371</v>
      </c>
      <c r="E781" s="88" t="s">
        <v>740</v>
      </c>
      <c r="F781" s="88" t="s">
        <v>1270</v>
      </c>
      <c r="G781" s="88" t="s">
        <v>1275</v>
      </c>
      <c r="H781" s="88">
        <v>300498479600003</v>
      </c>
      <c r="I781" s="88" t="s">
        <v>776</v>
      </c>
      <c r="J781" s="49">
        <v>6</v>
      </c>
      <c r="K781" s="49">
        <v>1</v>
      </c>
      <c r="L781" s="169">
        <f t="shared" si="54"/>
        <v>6</v>
      </c>
      <c r="M781" s="169">
        <f t="shared" si="45"/>
        <v>1</v>
      </c>
      <c r="N781" s="169">
        <f t="shared" si="52"/>
        <v>0.89999999999999991</v>
      </c>
      <c r="O781" s="169">
        <f t="shared" si="53"/>
        <v>6.9</v>
      </c>
      <c r="Z781" s="20"/>
      <c r="AA781" s="20"/>
    </row>
    <row r="782" spans="1:27" x14ac:dyDescent="0.3">
      <c r="A782" s="88">
        <v>779</v>
      </c>
      <c r="B782" s="173">
        <v>552</v>
      </c>
      <c r="C782" s="159"/>
      <c r="D782" s="88" t="s">
        <v>1371</v>
      </c>
      <c r="E782" s="88" t="s">
        <v>740</v>
      </c>
      <c r="F782" s="88" t="s">
        <v>1270</v>
      </c>
      <c r="G782" s="88" t="s">
        <v>1275</v>
      </c>
      <c r="H782" s="88">
        <v>300498479600003</v>
      </c>
      <c r="I782" s="88" t="s">
        <v>776</v>
      </c>
      <c r="J782" s="49">
        <v>6</v>
      </c>
      <c r="K782" s="49">
        <v>1</v>
      </c>
      <c r="L782" s="169">
        <f t="shared" si="54"/>
        <v>6</v>
      </c>
      <c r="M782" s="169">
        <f t="shared" si="45"/>
        <v>1</v>
      </c>
      <c r="N782" s="169">
        <f t="shared" si="52"/>
        <v>0.89999999999999991</v>
      </c>
      <c r="O782" s="169">
        <f t="shared" si="53"/>
        <v>6.9</v>
      </c>
      <c r="Z782" s="20"/>
      <c r="AA782" s="20"/>
    </row>
    <row r="783" spans="1:27" x14ac:dyDescent="0.3">
      <c r="A783" s="88">
        <v>780</v>
      </c>
      <c r="B783" s="173">
        <v>553</v>
      </c>
      <c r="C783" s="159"/>
      <c r="D783" s="88" t="s">
        <v>1371</v>
      </c>
      <c r="E783" s="88" t="s">
        <v>740</v>
      </c>
      <c r="F783" s="88" t="s">
        <v>1270</v>
      </c>
      <c r="G783" s="88" t="s">
        <v>1275</v>
      </c>
      <c r="H783" s="88">
        <v>300498479600003</v>
      </c>
      <c r="I783" s="88" t="s">
        <v>776</v>
      </c>
      <c r="J783" s="49">
        <v>6</v>
      </c>
      <c r="K783" s="49">
        <v>1</v>
      </c>
      <c r="L783" s="169">
        <f t="shared" si="54"/>
        <v>6</v>
      </c>
      <c r="M783" s="169">
        <f t="shared" si="45"/>
        <v>1</v>
      </c>
      <c r="N783" s="169">
        <f t="shared" si="52"/>
        <v>0.89999999999999991</v>
      </c>
      <c r="O783" s="169">
        <f t="shared" si="53"/>
        <v>6.9</v>
      </c>
      <c r="Z783" s="20"/>
      <c r="AA783" s="20"/>
    </row>
    <row r="784" spans="1:27" x14ac:dyDescent="0.3">
      <c r="A784" s="88">
        <v>781</v>
      </c>
      <c r="B784" s="173">
        <v>554</v>
      </c>
      <c r="C784" s="159"/>
      <c r="D784" s="88" t="s">
        <v>1371</v>
      </c>
      <c r="E784" s="88" t="s">
        <v>740</v>
      </c>
      <c r="F784" s="88" t="s">
        <v>1270</v>
      </c>
      <c r="G784" s="88" t="s">
        <v>1275</v>
      </c>
      <c r="H784" s="88">
        <v>300498479600003</v>
      </c>
      <c r="I784" s="88" t="s">
        <v>776</v>
      </c>
      <c r="J784" s="49">
        <v>6</v>
      </c>
      <c r="K784" s="49">
        <v>1</v>
      </c>
      <c r="L784" s="169">
        <f t="shared" si="54"/>
        <v>6</v>
      </c>
      <c r="M784" s="169">
        <f t="shared" si="45"/>
        <v>1</v>
      </c>
      <c r="N784" s="169">
        <f t="shared" si="52"/>
        <v>0.89999999999999991</v>
      </c>
      <c r="O784" s="169">
        <f t="shared" si="53"/>
        <v>6.9</v>
      </c>
      <c r="Z784" s="20"/>
      <c r="AA784" s="20"/>
    </row>
    <row r="785" spans="1:27" x14ac:dyDescent="0.3">
      <c r="A785" s="88">
        <v>782</v>
      </c>
      <c r="B785" s="173">
        <v>555</v>
      </c>
      <c r="C785" s="159"/>
      <c r="D785" s="88" t="s">
        <v>1371</v>
      </c>
      <c r="E785" s="88" t="s">
        <v>740</v>
      </c>
      <c r="F785" s="88" t="s">
        <v>1270</v>
      </c>
      <c r="G785" s="88" t="s">
        <v>1275</v>
      </c>
      <c r="H785" s="88">
        <v>300498479600003</v>
      </c>
      <c r="I785" s="88" t="s">
        <v>776</v>
      </c>
      <c r="J785" s="49">
        <v>6</v>
      </c>
      <c r="K785" s="49">
        <v>1</v>
      </c>
      <c r="L785" s="169">
        <f t="shared" si="54"/>
        <v>6</v>
      </c>
      <c r="M785" s="169">
        <f t="shared" si="45"/>
        <v>1</v>
      </c>
      <c r="N785" s="169">
        <f t="shared" si="52"/>
        <v>0.89999999999999991</v>
      </c>
      <c r="O785" s="169">
        <f t="shared" si="53"/>
        <v>6.9</v>
      </c>
      <c r="Z785" s="20"/>
      <c r="AA785" s="20"/>
    </row>
    <row r="786" spans="1:27" x14ac:dyDescent="0.3">
      <c r="A786" s="88">
        <v>783</v>
      </c>
      <c r="B786" s="173">
        <v>556</v>
      </c>
      <c r="C786" s="159"/>
      <c r="D786" s="88" t="s">
        <v>1371</v>
      </c>
      <c r="E786" s="88" t="s">
        <v>740</v>
      </c>
      <c r="F786" s="88" t="s">
        <v>1270</v>
      </c>
      <c r="G786" s="88" t="s">
        <v>1275</v>
      </c>
      <c r="H786" s="88">
        <v>300498479600003</v>
      </c>
      <c r="I786" s="88" t="s">
        <v>776</v>
      </c>
      <c r="J786" s="49">
        <v>7</v>
      </c>
      <c r="K786" s="49">
        <v>1</v>
      </c>
      <c r="L786" s="169">
        <f t="shared" si="54"/>
        <v>7</v>
      </c>
      <c r="M786" s="169">
        <f t="shared" si="45"/>
        <v>1</v>
      </c>
      <c r="N786" s="169">
        <f>M786*L786*15%</f>
        <v>1.05</v>
      </c>
      <c r="O786" s="169">
        <f t="shared" si="53"/>
        <v>8.0500000000000007</v>
      </c>
      <c r="Z786" s="20"/>
      <c r="AA786" s="20"/>
    </row>
    <row r="787" spans="1:27" x14ac:dyDescent="0.3">
      <c r="A787" s="88">
        <v>784</v>
      </c>
      <c r="B787" s="173">
        <v>557</v>
      </c>
      <c r="C787" s="159"/>
      <c r="D787" s="88" t="s">
        <v>1371</v>
      </c>
      <c r="E787" s="88" t="s">
        <v>715</v>
      </c>
      <c r="F787" s="88" t="s">
        <v>1279</v>
      </c>
      <c r="G787" s="88" t="s">
        <v>1326</v>
      </c>
      <c r="H787" s="88">
        <v>311172172500003</v>
      </c>
      <c r="I787" s="88"/>
      <c r="J787" s="49">
        <v>1</v>
      </c>
      <c r="K787" s="49">
        <v>5.22</v>
      </c>
      <c r="L787" s="169">
        <f t="shared" si="54"/>
        <v>5.22</v>
      </c>
      <c r="M787" s="169">
        <f t="shared" si="45"/>
        <v>1</v>
      </c>
      <c r="N787" s="169">
        <f t="shared" si="52"/>
        <v>0.78299999999999992</v>
      </c>
      <c r="O787" s="169">
        <f t="shared" si="53"/>
        <v>6.0030000000000001</v>
      </c>
      <c r="Z787" s="20"/>
      <c r="AA787" s="20"/>
    </row>
    <row r="788" spans="1:27" x14ac:dyDescent="0.3">
      <c r="A788" s="88">
        <v>785</v>
      </c>
      <c r="B788" s="173">
        <v>558</v>
      </c>
      <c r="C788" s="159"/>
      <c r="D788" s="88" t="s">
        <v>1371</v>
      </c>
      <c r="E788" s="88" t="s">
        <v>715</v>
      </c>
      <c r="F788" s="88" t="s">
        <v>1279</v>
      </c>
      <c r="G788" s="88" t="s">
        <v>1326</v>
      </c>
      <c r="H788" s="88">
        <v>311172172500003</v>
      </c>
      <c r="I788" s="88"/>
      <c r="J788" s="49">
        <v>1</v>
      </c>
      <c r="K788" s="49">
        <v>5.22</v>
      </c>
      <c r="L788" s="169">
        <f t="shared" si="54"/>
        <v>5.22</v>
      </c>
      <c r="M788" s="169">
        <f t="shared" si="45"/>
        <v>1</v>
      </c>
      <c r="N788" s="169">
        <f>M788*L788*15%</f>
        <v>0.78299999999999992</v>
      </c>
      <c r="O788" s="169">
        <f t="shared" si="53"/>
        <v>6.0030000000000001</v>
      </c>
      <c r="Z788" s="20"/>
      <c r="AA788" s="20"/>
    </row>
    <row r="789" spans="1:27" x14ac:dyDescent="0.3">
      <c r="A789" s="88">
        <v>786</v>
      </c>
      <c r="B789" s="173">
        <v>559</v>
      </c>
      <c r="C789" s="159"/>
      <c r="D789" s="88" t="s">
        <v>1371</v>
      </c>
      <c r="E789" s="88" t="s">
        <v>740</v>
      </c>
      <c r="F789" s="88" t="s">
        <v>288</v>
      </c>
      <c r="G789" s="88" t="s">
        <v>1334</v>
      </c>
      <c r="H789" s="88">
        <v>300042682300003</v>
      </c>
      <c r="I789" s="88" t="s">
        <v>776</v>
      </c>
      <c r="J789" s="49">
        <v>3</v>
      </c>
      <c r="K789" s="49">
        <v>5.2169999999999996</v>
      </c>
      <c r="L789" s="169">
        <f t="shared" si="54"/>
        <v>15.651</v>
      </c>
      <c r="M789" s="169">
        <f t="shared" si="45"/>
        <v>1</v>
      </c>
      <c r="N789" s="169">
        <f t="shared" si="52"/>
        <v>2.3476499999999998</v>
      </c>
      <c r="O789" s="169">
        <f t="shared" si="53"/>
        <v>17.998649999999998</v>
      </c>
      <c r="Z789" s="20"/>
      <c r="AA789" s="20"/>
    </row>
    <row r="790" spans="1:27" x14ac:dyDescent="0.3">
      <c r="A790" s="88">
        <v>787</v>
      </c>
      <c r="B790" s="173">
        <v>560</v>
      </c>
      <c r="C790" s="159"/>
      <c r="D790" s="88" t="s">
        <v>1371</v>
      </c>
      <c r="E790" s="88" t="s">
        <v>714</v>
      </c>
      <c r="F790" s="88" t="s">
        <v>1372</v>
      </c>
      <c r="G790" s="88" t="s">
        <v>1326</v>
      </c>
      <c r="H790" s="88">
        <v>311172172500003</v>
      </c>
      <c r="I790" s="88"/>
      <c r="J790" s="49">
        <v>1</v>
      </c>
      <c r="K790" s="49">
        <v>26.04</v>
      </c>
      <c r="L790" s="169">
        <f t="shared" si="54"/>
        <v>26.04</v>
      </c>
      <c r="M790" s="169">
        <f t="shared" si="45"/>
        <v>1</v>
      </c>
      <c r="N790" s="169">
        <f t="shared" si="52"/>
        <v>3.9059999999999997</v>
      </c>
      <c r="O790" s="169">
        <f t="shared" si="53"/>
        <v>29.945999999999998</v>
      </c>
      <c r="Z790" s="20"/>
      <c r="AA790" s="20"/>
    </row>
    <row r="791" spans="1:27" x14ac:dyDescent="0.3">
      <c r="A791" s="88">
        <v>788</v>
      </c>
      <c r="B791" s="173">
        <v>561</v>
      </c>
      <c r="C791" s="159"/>
      <c r="D791" s="88" t="s">
        <v>1371</v>
      </c>
      <c r="E791" s="88" t="s">
        <v>740</v>
      </c>
      <c r="F791" s="88" t="s">
        <v>1270</v>
      </c>
      <c r="G791" s="88" t="s">
        <v>1275</v>
      </c>
      <c r="H791" s="88">
        <v>300498479600003</v>
      </c>
      <c r="I791" s="88" t="s">
        <v>776</v>
      </c>
      <c r="J791" s="49">
        <v>5</v>
      </c>
      <c r="K791" s="49">
        <v>1</v>
      </c>
      <c r="L791" s="169">
        <f t="shared" ref="L791:L854" si="55">K791*J791</f>
        <v>5</v>
      </c>
      <c r="M791" s="169">
        <f t="shared" si="45"/>
        <v>1</v>
      </c>
      <c r="N791" s="169">
        <f t="shared" si="52"/>
        <v>0.75</v>
      </c>
      <c r="O791" s="169">
        <f t="shared" si="53"/>
        <v>5.75</v>
      </c>
      <c r="Z791" s="20"/>
      <c r="AA791" s="20"/>
    </row>
    <row r="792" spans="1:27" x14ac:dyDescent="0.3">
      <c r="A792" s="88">
        <v>789</v>
      </c>
      <c r="B792" s="173">
        <v>562</v>
      </c>
      <c r="C792" s="159"/>
      <c r="D792" s="88" t="s">
        <v>1371</v>
      </c>
      <c r="E792" s="88" t="s">
        <v>740</v>
      </c>
      <c r="F792" s="88" t="s">
        <v>1270</v>
      </c>
      <c r="G792" s="88" t="s">
        <v>1275</v>
      </c>
      <c r="H792" s="88">
        <v>300498479600003</v>
      </c>
      <c r="I792" s="88" t="s">
        <v>776</v>
      </c>
      <c r="J792" s="49">
        <v>6</v>
      </c>
      <c r="K792" s="49">
        <v>1</v>
      </c>
      <c r="L792" s="169">
        <f t="shared" si="55"/>
        <v>6</v>
      </c>
      <c r="M792" s="169">
        <f t="shared" si="45"/>
        <v>1</v>
      </c>
      <c r="N792" s="169">
        <f t="shared" si="52"/>
        <v>0.89999999999999991</v>
      </c>
      <c r="O792" s="169">
        <f t="shared" si="53"/>
        <v>6.9</v>
      </c>
      <c r="Z792" s="20"/>
      <c r="AA792" s="20"/>
    </row>
    <row r="793" spans="1:27" x14ac:dyDescent="0.3">
      <c r="A793" s="88">
        <v>790</v>
      </c>
      <c r="B793" s="173">
        <v>563</v>
      </c>
      <c r="C793" s="159"/>
      <c r="D793" s="88" t="s">
        <v>1371</v>
      </c>
      <c r="E793" s="88" t="s">
        <v>740</v>
      </c>
      <c r="F793" s="88" t="s">
        <v>1270</v>
      </c>
      <c r="G793" s="88" t="s">
        <v>1275</v>
      </c>
      <c r="H793" s="88">
        <v>300498479600003</v>
      </c>
      <c r="I793" s="88" t="s">
        <v>776</v>
      </c>
      <c r="J793" s="49">
        <v>5</v>
      </c>
      <c r="K793" s="49">
        <v>1</v>
      </c>
      <c r="L793" s="169">
        <f t="shared" si="55"/>
        <v>5</v>
      </c>
      <c r="M793" s="169">
        <f t="shared" si="45"/>
        <v>1</v>
      </c>
      <c r="N793" s="169">
        <f t="shared" si="52"/>
        <v>0.75</v>
      </c>
      <c r="O793" s="169">
        <f t="shared" si="53"/>
        <v>5.75</v>
      </c>
      <c r="Z793" s="20"/>
      <c r="AA793" s="20"/>
    </row>
    <row r="794" spans="1:27" x14ac:dyDescent="0.3">
      <c r="A794" s="88">
        <v>791</v>
      </c>
      <c r="B794" s="173">
        <v>564</v>
      </c>
      <c r="C794" s="159"/>
      <c r="D794" s="88" t="s">
        <v>1371</v>
      </c>
      <c r="E794" s="88" t="s">
        <v>740</v>
      </c>
      <c r="F794" s="88" t="s">
        <v>1270</v>
      </c>
      <c r="G794" s="88" t="s">
        <v>1275</v>
      </c>
      <c r="H794" s="88">
        <v>300498479600003</v>
      </c>
      <c r="I794" s="88" t="s">
        <v>776</v>
      </c>
      <c r="J794" s="49">
        <v>6</v>
      </c>
      <c r="K794" s="49">
        <v>1</v>
      </c>
      <c r="L794" s="169">
        <f t="shared" si="55"/>
        <v>6</v>
      </c>
      <c r="M794" s="169">
        <f t="shared" si="45"/>
        <v>1</v>
      </c>
      <c r="N794" s="169">
        <f t="shared" si="52"/>
        <v>0.89999999999999991</v>
      </c>
      <c r="O794" s="169">
        <f t="shared" si="53"/>
        <v>6.9</v>
      </c>
      <c r="Z794" s="20"/>
      <c r="AA794" s="20"/>
    </row>
    <row r="795" spans="1:27" x14ac:dyDescent="0.3">
      <c r="A795" s="88">
        <v>792</v>
      </c>
      <c r="B795" s="173">
        <v>565</v>
      </c>
      <c r="C795" s="159"/>
      <c r="D795" s="88" t="s">
        <v>1371</v>
      </c>
      <c r="E795" s="88" t="s">
        <v>740</v>
      </c>
      <c r="F795" s="88" t="s">
        <v>1270</v>
      </c>
      <c r="G795" s="88" t="s">
        <v>1275</v>
      </c>
      <c r="H795" s="88">
        <v>300498479600003</v>
      </c>
      <c r="I795" s="88" t="s">
        <v>776</v>
      </c>
      <c r="J795" s="49">
        <v>6</v>
      </c>
      <c r="K795" s="49">
        <v>1</v>
      </c>
      <c r="L795" s="169">
        <f t="shared" si="55"/>
        <v>6</v>
      </c>
      <c r="M795" s="169">
        <f t="shared" si="45"/>
        <v>1</v>
      </c>
      <c r="N795" s="169">
        <f t="shared" si="52"/>
        <v>0.89999999999999991</v>
      </c>
      <c r="O795" s="169">
        <f t="shared" si="53"/>
        <v>6.9</v>
      </c>
      <c r="Z795" s="20"/>
      <c r="AA795" s="20"/>
    </row>
    <row r="796" spans="1:27" x14ac:dyDescent="0.3">
      <c r="A796" s="88">
        <v>793</v>
      </c>
      <c r="B796" s="173">
        <v>566</v>
      </c>
      <c r="C796" s="159"/>
      <c r="D796" s="88" t="s">
        <v>1371</v>
      </c>
      <c r="E796" s="88" t="s">
        <v>740</v>
      </c>
      <c r="F796" s="88" t="s">
        <v>1270</v>
      </c>
      <c r="G796" s="88" t="s">
        <v>1275</v>
      </c>
      <c r="H796" s="88">
        <v>300498479600003</v>
      </c>
      <c r="I796" s="88" t="s">
        <v>776</v>
      </c>
      <c r="J796" s="49">
        <v>6</v>
      </c>
      <c r="K796" s="49">
        <v>1</v>
      </c>
      <c r="L796" s="169">
        <f t="shared" si="55"/>
        <v>6</v>
      </c>
      <c r="M796" s="169">
        <f t="shared" si="45"/>
        <v>1</v>
      </c>
      <c r="N796" s="169">
        <f t="shared" si="52"/>
        <v>0.89999999999999991</v>
      </c>
      <c r="O796" s="169">
        <f t="shared" si="53"/>
        <v>6.9</v>
      </c>
      <c r="Z796" s="20"/>
      <c r="AA796" s="20"/>
    </row>
    <row r="797" spans="1:27" x14ac:dyDescent="0.3">
      <c r="A797" s="88">
        <v>794</v>
      </c>
      <c r="B797" s="173">
        <v>567</v>
      </c>
      <c r="C797" s="159"/>
      <c r="D797" s="88" t="s">
        <v>1371</v>
      </c>
      <c r="E797" s="88" t="s">
        <v>740</v>
      </c>
      <c r="F797" s="88" t="s">
        <v>1270</v>
      </c>
      <c r="G797" s="88" t="s">
        <v>1275</v>
      </c>
      <c r="H797" s="88">
        <v>300498479600003</v>
      </c>
      <c r="I797" s="88" t="s">
        <v>776</v>
      </c>
      <c r="J797" s="49">
        <v>2</v>
      </c>
      <c r="K797" s="49">
        <v>1.3</v>
      </c>
      <c r="L797" s="169">
        <f t="shared" si="55"/>
        <v>2.6</v>
      </c>
      <c r="M797" s="169">
        <f t="shared" si="45"/>
        <v>1</v>
      </c>
      <c r="N797" s="169">
        <f t="shared" si="52"/>
        <v>0.39</v>
      </c>
      <c r="O797" s="169">
        <f t="shared" si="53"/>
        <v>2.99</v>
      </c>
      <c r="Z797" s="20"/>
      <c r="AA797" s="20"/>
    </row>
    <row r="798" spans="1:27" x14ac:dyDescent="0.3">
      <c r="A798" s="88">
        <v>795</v>
      </c>
      <c r="B798" s="173">
        <v>568</v>
      </c>
      <c r="C798" s="159"/>
      <c r="D798" s="88" t="s">
        <v>1371</v>
      </c>
      <c r="E798" s="88" t="s">
        <v>740</v>
      </c>
      <c r="F798" s="88" t="s">
        <v>1270</v>
      </c>
      <c r="G798" s="88" t="s">
        <v>1275</v>
      </c>
      <c r="H798" s="88">
        <v>300498479600003</v>
      </c>
      <c r="I798" s="88" t="s">
        <v>776</v>
      </c>
      <c r="J798" s="49">
        <v>3</v>
      </c>
      <c r="K798" s="49">
        <v>1</v>
      </c>
      <c r="L798" s="169">
        <f t="shared" si="55"/>
        <v>3</v>
      </c>
      <c r="M798" s="169">
        <f t="shared" si="45"/>
        <v>1</v>
      </c>
      <c r="N798" s="169">
        <f t="shared" si="52"/>
        <v>0.44999999999999996</v>
      </c>
      <c r="O798" s="169">
        <f t="shared" si="53"/>
        <v>3.45</v>
      </c>
      <c r="Z798" s="20"/>
      <c r="AA798" s="20"/>
    </row>
    <row r="799" spans="1:27" x14ac:dyDescent="0.3">
      <c r="A799" s="88">
        <v>796</v>
      </c>
      <c r="B799" s="173">
        <v>569</v>
      </c>
      <c r="C799" s="159"/>
      <c r="D799" s="88" t="s">
        <v>1371</v>
      </c>
      <c r="E799" s="88" t="s">
        <v>740</v>
      </c>
      <c r="F799" s="88" t="s">
        <v>1270</v>
      </c>
      <c r="G799" s="88" t="s">
        <v>1275</v>
      </c>
      <c r="H799" s="88">
        <v>300498479600003</v>
      </c>
      <c r="I799" s="88" t="s">
        <v>776</v>
      </c>
      <c r="J799" s="49">
        <v>4</v>
      </c>
      <c r="K799" s="49">
        <v>1</v>
      </c>
      <c r="L799" s="169">
        <f t="shared" si="55"/>
        <v>4</v>
      </c>
      <c r="M799" s="169">
        <f t="shared" si="45"/>
        <v>1</v>
      </c>
      <c r="N799" s="169">
        <f t="shared" si="52"/>
        <v>0.6</v>
      </c>
      <c r="O799" s="169">
        <f t="shared" si="53"/>
        <v>4.5999999999999996</v>
      </c>
      <c r="Z799" s="20"/>
      <c r="AA799" s="20"/>
    </row>
    <row r="800" spans="1:27" x14ac:dyDescent="0.3">
      <c r="A800" s="88">
        <v>797</v>
      </c>
      <c r="B800" s="173">
        <v>570</v>
      </c>
      <c r="C800" s="159"/>
      <c r="D800" s="88" t="s">
        <v>1371</v>
      </c>
      <c r="E800" s="88" t="s">
        <v>740</v>
      </c>
      <c r="F800" s="88" t="s">
        <v>1270</v>
      </c>
      <c r="G800" s="88" t="s">
        <v>1275</v>
      </c>
      <c r="H800" s="88">
        <v>300498479600003</v>
      </c>
      <c r="I800" s="88" t="s">
        <v>776</v>
      </c>
      <c r="J800" s="49">
        <v>2</v>
      </c>
      <c r="K800" s="49">
        <v>1</v>
      </c>
      <c r="L800" s="169">
        <f t="shared" si="55"/>
        <v>2</v>
      </c>
      <c r="M800" s="169">
        <f t="shared" si="45"/>
        <v>1</v>
      </c>
      <c r="N800" s="169">
        <f t="shared" si="52"/>
        <v>0.3</v>
      </c>
      <c r="O800" s="169">
        <f t="shared" si="53"/>
        <v>2.2999999999999998</v>
      </c>
      <c r="Z800" s="20"/>
      <c r="AA800" s="20"/>
    </row>
    <row r="801" spans="1:27" x14ac:dyDescent="0.3">
      <c r="A801" s="88">
        <v>798</v>
      </c>
      <c r="B801" s="173">
        <v>571</v>
      </c>
      <c r="C801" s="159"/>
      <c r="D801" s="88" t="s">
        <v>1371</v>
      </c>
      <c r="E801" s="88" t="s">
        <v>740</v>
      </c>
      <c r="F801" s="88" t="s">
        <v>1270</v>
      </c>
      <c r="G801" s="88" t="s">
        <v>1275</v>
      </c>
      <c r="H801" s="88">
        <v>300498479600003</v>
      </c>
      <c r="I801" s="88" t="s">
        <v>776</v>
      </c>
      <c r="J801" s="49">
        <v>4</v>
      </c>
      <c r="K801" s="49">
        <v>1</v>
      </c>
      <c r="L801" s="169">
        <f t="shared" si="55"/>
        <v>4</v>
      </c>
      <c r="M801" s="169">
        <f t="shared" si="45"/>
        <v>1</v>
      </c>
      <c r="N801" s="169">
        <f t="shared" si="52"/>
        <v>0.6</v>
      </c>
      <c r="O801" s="169">
        <f t="shared" si="53"/>
        <v>4.5999999999999996</v>
      </c>
      <c r="Z801" s="20"/>
      <c r="AA801" s="20"/>
    </row>
    <row r="802" spans="1:27" x14ac:dyDescent="0.3">
      <c r="A802" s="88">
        <v>799</v>
      </c>
      <c r="B802" s="173">
        <v>572</v>
      </c>
      <c r="C802" s="159"/>
      <c r="D802" s="88" t="s">
        <v>1371</v>
      </c>
      <c r="E802" s="88" t="s">
        <v>740</v>
      </c>
      <c r="F802" s="88" t="s">
        <v>1270</v>
      </c>
      <c r="G802" s="88" t="s">
        <v>1275</v>
      </c>
      <c r="H802" s="88">
        <v>300498479600003</v>
      </c>
      <c r="I802" s="88" t="s">
        <v>776</v>
      </c>
      <c r="J802" s="49">
        <v>4</v>
      </c>
      <c r="K802" s="49">
        <v>1</v>
      </c>
      <c r="L802" s="169">
        <f t="shared" si="55"/>
        <v>4</v>
      </c>
      <c r="M802" s="169">
        <f t="shared" si="45"/>
        <v>1</v>
      </c>
      <c r="N802" s="169">
        <f t="shared" si="52"/>
        <v>0.6</v>
      </c>
      <c r="O802" s="169">
        <f t="shared" si="53"/>
        <v>4.5999999999999996</v>
      </c>
      <c r="Z802" s="20"/>
      <c r="AA802" s="20"/>
    </row>
    <row r="803" spans="1:27" x14ac:dyDescent="0.3">
      <c r="A803" s="88">
        <v>800</v>
      </c>
      <c r="B803" s="173">
        <v>573</v>
      </c>
      <c r="C803" s="159"/>
      <c r="D803" s="88" t="s">
        <v>1371</v>
      </c>
      <c r="E803" s="88" t="s">
        <v>740</v>
      </c>
      <c r="F803" s="88" t="s">
        <v>1270</v>
      </c>
      <c r="G803" s="88" t="s">
        <v>1275</v>
      </c>
      <c r="H803" s="88">
        <v>300498479600003</v>
      </c>
      <c r="I803" s="88" t="s">
        <v>776</v>
      </c>
      <c r="J803" s="49">
        <v>6</v>
      </c>
      <c r="K803" s="49">
        <v>1</v>
      </c>
      <c r="L803" s="169">
        <f t="shared" si="55"/>
        <v>6</v>
      </c>
      <c r="M803" s="169">
        <f t="shared" si="45"/>
        <v>1</v>
      </c>
      <c r="N803" s="169">
        <f t="shared" si="52"/>
        <v>0.89999999999999991</v>
      </c>
      <c r="O803" s="169">
        <f t="shared" si="53"/>
        <v>6.9</v>
      </c>
      <c r="Z803" s="20"/>
      <c r="AA803" s="20"/>
    </row>
    <row r="804" spans="1:27" x14ac:dyDescent="0.3">
      <c r="A804" s="88">
        <v>801</v>
      </c>
      <c r="B804" s="173">
        <v>574</v>
      </c>
      <c r="C804" s="159"/>
      <c r="D804" s="88" t="s">
        <v>1371</v>
      </c>
      <c r="E804" s="88" t="s">
        <v>740</v>
      </c>
      <c r="F804" s="88" t="s">
        <v>1270</v>
      </c>
      <c r="G804" s="88" t="s">
        <v>1275</v>
      </c>
      <c r="H804" s="88">
        <v>300498479600003</v>
      </c>
      <c r="I804" s="88" t="s">
        <v>776</v>
      </c>
      <c r="J804" s="49">
        <v>6</v>
      </c>
      <c r="K804" s="49">
        <v>1</v>
      </c>
      <c r="L804" s="169">
        <f t="shared" si="55"/>
        <v>6</v>
      </c>
      <c r="M804" s="169">
        <f t="shared" si="45"/>
        <v>1</v>
      </c>
      <c r="N804" s="169">
        <f t="shared" si="52"/>
        <v>0.89999999999999991</v>
      </c>
      <c r="O804" s="169">
        <f t="shared" si="53"/>
        <v>6.9</v>
      </c>
      <c r="Z804" s="20"/>
      <c r="AA804" s="20"/>
    </row>
    <row r="805" spans="1:27" x14ac:dyDescent="0.3">
      <c r="A805" s="88">
        <v>802</v>
      </c>
      <c r="B805" s="173">
        <v>575</v>
      </c>
      <c r="C805" s="159"/>
      <c r="D805" s="88" t="s">
        <v>1371</v>
      </c>
      <c r="E805" s="88" t="s">
        <v>740</v>
      </c>
      <c r="F805" s="88" t="s">
        <v>1270</v>
      </c>
      <c r="G805" s="88" t="s">
        <v>1275</v>
      </c>
      <c r="H805" s="88">
        <v>300498479600003</v>
      </c>
      <c r="I805" s="88" t="s">
        <v>776</v>
      </c>
      <c r="J805" s="49">
        <v>6</v>
      </c>
      <c r="K805" s="49">
        <v>1</v>
      </c>
      <c r="L805" s="169">
        <f t="shared" si="55"/>
        <v>6</v>
      </c>
      <c r="M805" s="169">
        <f t="shared" si="45"/>
        <v>1</v>
      </c>
      <c r="N805" s="169">
        <f t="shared" si="52"/>
        <v>0.89999999999999991</v>
      </c>
      <c r="O805" s="169">
        <f t="shared" si="53"/>
        <v>6.9</v>
      </c>
      <c r="Z805" s="20"/>
      <c r="AA805" s="20"/>
    </row>
    <row r="806" spans="1:27" x14ac:dyDescent="0.3">
      <c r="A806" s="88">
        <v>803</v>
      </c>
      <c r="B806" s="173">
        <v>576</v>
      </c>
      <c r="C806" s="159"/>
      <c r="D806" s="88" t="s">
        <v>1371</v>
      </c>
      <c r="E806" s="88" t="s">
        <v>740</v>
      </c>
      <c r="F806" s="88" t="s">
        <v>1270</v>
      </c>
      <c r="G806" s="88" t="s">
        <v>1275</v>
      </c>
      <c r="H806" s="88">
        <v>300498479600003</v>
      </c>
      <c r="I806" s="88" t="s">
        <v>776</v>
      </c>
      <c r="J806" s="49">
        <v>6</v>
      </c>
      <c r="K806" s="49">
        <v>1</v>
      </c>
      <c r="L806" s="169">
        <f t="shared" si="55"/>
        <v>6</v>
      </c>
      <c r="M806" s="169">
        <f t="shared" si="45"/>
        <v>1</v>
      </c>
      <c r="N806" s="169">
        <f t="shared" si="52"/>
        <v>0.89999999999999991</v>
      </c>
      <c r="O806" s="169">
        <f t="shared" si="53"/>
        <v>6.9</v>
      </c>
      <c r="Z806" s="20"/>
      <c r="AA806" s="20"/>
    </row>
    <row r="807" spans="1:27" x14ac:dyDescent="0.3">
      <c r="A807" s="88">
        <v>804</v>
      </c>
      <c r="B807" s="173">
        <v>577</v>
      </c>
      <c r="C807" s="159"/>
      <c r="D807" s="88" t="s">
        <v>1371</v>
      </c>
      <c r="E807" s="88" t="s">
        <v>740</v>
      </c>
      <c r="F807" s="88" t="s">
        <v>1270</v>
      </c>
      <c r="G807" s="88" t="s">
        <v>1275</v>
      </c>
      <c r="H807" s="88">
        <v>300498479600003</v>
      </c>
      <c r="I807" s="88" t="s">
        <v>776</v>
      </c>
      <c r="J807" s="49">
        <v>3</v>
      </c>
      <c r="K807" s="49">
        <v>1.3</v>
      </c>
      <c r="L807" s="169">
        <f t="shared" si="55"/>
        <v>3.9000000000000004</v>
      </c>
      <c r="M807" s="169">
        <f t="shared" si="45"/>
        <v>1</v>
      </c>
      <c r="N807" s="169">
        <f t="shared" si="52"/>
        <v>0.58500000000000008</v>
      </c>
      <c r="O807" s="169">
        <f>N807+L807</f>
        <v>4.4850000000000003</v>
      </c>
      <c r="Z807" s="20"/>
      <c r="AA807" s="20"/>
    </row>
    <row r="808" spans="1:27" x14ac:dyDescent="0.3">
      <c r="A808" s="88">
        <v>805</v>
      </c>
      <c r="B808" s="173">
        <v>578</v>
      </c>
      <c r="C808" s="159"/>
      <c r="D808" s="88" t="s">
        <v>1371</v>
      </c>
      <c r="E808" s="88" t="s">
        <v>740</v>
      </c>
      <c r="F808" s="88" t="s">
        <v>1270</v>
      </c>
      <c r="G808" s="88" t="s">
        <v>1275</v>
      </c>
      <c r="H808" s="88">
        <v>300498479600003</v>
      </c>
      <c r="I808" s="88" t="s">
        <v>776</v>
      </c>
      <c r="J808" s="49">
        <v>5</v>
      </c>
      <c r="K808" s="49">
        <v>1</v>
      </c>
      <c r="L808" s="169">
        <f t="shared" si="55"/>
        <v>5</v>
      </c>
      <c r="M808" s="169">
        <f t="shared" si="45"/>
        <v>1</v>
      </c>
      <c r="N808" s="169">
        <f t="shared" si="52"/>
        <v>0.75</v>
      </c>
      <c r="O808" s="169">
        <f>N808+L808</f>
        <v>5.75</v>
      </c>
      <c r="Z808" s="20"/>
      <c r="AA808" s="20"/>
    </row>
    <row r="809" spans="1:27" x14ac:dyDescent="0.3">
      <c r="A809" s="88">
        <v>806</v>
      </c>
      <c r="B809" s="173">
        <v>579</v>
      </c>
      <c r="C809" s="159"/>
      <c r="D809" s="88" t="s">
        <v>1371</v>
      </c>
      <c r="E809" s="88" t="s">
        <v>740</v>
      </c>
      <c r="F809" s="88" t="s">
        <v>1270</v>
      </c>
      <c r="G809" s="88" t="s">
        <v>1275</v>
      </c>
      <c r="H809" s="88">
        <v>300498479600003</v>
      </c>
      <c r="I809" s="88" t="s">
        <v>776</v>
      </c>
      <c r="J809" s="49">
        <v>5</v>
      </c>
      <c r="K809" s="49">
        <v>1</v>
      </c>
      <c r="L809" s="169">
        <f t="shared" si="55"/>
        <v>5</v>
      </c>
      <c r="M809" s="169">
        <f t="shared" si="45"/>
        <v>1</v>
      </c>
      <c r="N809" s="169">
        <f t="shared" si="52"/>
        <v>0.75</v>
      </c>
      <c r="O809" s="169">
        <f t="shared" si="53"/>
        <v>5.75</v>
      </c>
      <c r="Z809" s="20"/>
      <c r="AA809" s="20"/>
    </row>
    <row r="810" spans="1:27" x14ac:dyDescent="0.3">
      <c r="A810" s="88">
        <v>807</v>
      </c>
      <c r="B810" s="173">
        <v>580</v>
      </c>
      <c r="C810" s="159"/>
      <c r="D810" s="88" t="s">
        <v>1371</v>
      </c>
      <c r="E810" s="88" t="s">
        <v>740</v>
      </c>
      <c r="F810" s="88" t="s">
        <v>1270</v>
      </c>
      <c r="G810" s="88" t="s">
        <v>1275</v>
      </c>
      <c r="H810" s="88">
        <v>300498479600003</v>
      </c>
      <c r="I810" s="88" t="s">
        <v>776</v>
      </c>
      <c r="J810" s="49">
        <v>5</v>
      </c>
      <c r="K810" s="49">
        <v>1</v>
      </c>
      <c r="L810" s="169">
        <f t="shared" si="55"/>
        <v>5</v>
      </c>
      <c r="M810" s="169">
        <f t="shared" si="45"/>
        <v>1</v>
      </c>
      <c r="N810" s="169">
        <f t="shared" si="52"/>
        <v>0.75</v>
      </c>
      <c r="O810" s="169">
        <f t="shared" si="53"/>
        <v>5.75</v>
      </c>
      <c r="Z810" s="20"/>
      <c r="AA810" s="20"/>
    </row>
    <row r="811" spans="1:27" x14ac:dyDescent="0.3">
      <c r="A811" s="88">
        <v>808</v>
      </c>
      <c r="B811" s="173">
        <v>581</v>
      </c>
      <c r="C811" s="159"/>
      <c r="D811" s="88" t="s">
        <v>1371</v>
      </c>
      <c r="E811" s="88" t="s">
        <v>740</v>
      </c>
      <c r="F811" s="88" t="s">
        <v>1270</v>
      </c>
      <c r="G811" s="88" t="s">
        <v>1275</v>
      </c>
      <c r="H811" s="88">
        <v>300498479600003</v>
      </c>
      <c r="I811" s="88" t="s">
        <v>776</v>
      </c>
      <c r="J811" s="49">
        <v>5</v>
      </c>
      <c r="K811" s="49">
        <v>1</v>
      </c>
      <c r="L811" s="169">
        <f t="shared" si="55"/>
        <v>5</v>
      </c>
      <c r="M811" s="169">
        <f t="shared" si="45"/>
        <v>1</v>
      </c>
      <c r="N811" s="169">
        <f t="shared" si="52"/>
        <v>0.75</v>
      </c>
      <c r="O811" s="169">
        <f t="shared" si="53"/>
        <v>5.75</v>
      </c>
      <c r="Z811" s="20"/>
      <c r="AA811" s="20"/>
    </row>
    <row r="812" spans="1:27" x14ac:dyDescent="0.3">
      <c r="A812" s="88">
        <v>809</v>
      </c>
      <c r="B812" s="173">
        <v>582</v>
      </c>
      <c r="C812" s="159"/>
      <c r="D812" s="88" t="s">
        <v>1371</v>
      </c>
      <c r="E812" s="88" t="s">
        <v>740</v>
      </c>
      <c r="F812" s="88" t="s">
        <v>1270</v>
      </c>
      <c r="G812" s="88" t="s">
        <v>1275</v>
      </c>
      <c r="H812" s="88">
        <v>300498479600003</v>
      </c>
      <c r="I812" s="88" t="s">
        <v>776</v>
      </c>
      <c r="J812" s="49">
        <v>2</v>
      </c>
      <c r="K812" s="49">
        <v>1</v>
      </c>
      <c r="L812" s="169">
        <f t="shared" si="55"/>
        <v>2</v>
      </c>
      <c r="M812" s="169">
        <f t="shared" si="45"/>
        <v>1</v>
      </c>
      <c r="N812" s="169">
        <f t="shared" si="52"/>
        <v>0.3</v>
      </c>
      <c r="O812" s="169">
        <f t="shared" si="53"/>
        <v>2.2999999999999998</v>
      </c>
      <c r="Z812" s="20"/>
      <c r="AA812" s="20"/>
    </row>
    <row r="813" spans="1:27" x14ac:dyDescent="0.3">
      <c r="A813" s="88">
        <v>810</v>
      </c>
      <c r="B813" s="173">
        <v>583</v>
      </c>
      <c r="C813" s="159"/>
      <c r="D813" s="88" t="s">
        <v>1371</v>
      </c>
      <c r="E813" s="88" t="s">
        <v>740</v>
      </c>
      <c r="F813" s="88" t="s">
        <v>1270</v>
      </c>
      <c r="G813" s="88" t="s">
        <v>1275</v>
      </c>
      <c r="H813" s="88">
        <v>300498479600003</v>
      </c>
      <c r="I813" s="88" t="s">
        <v>776</v>
      </c>
      <c r="J813" s="49">
        <v>3</v>
      </c>
      <c r="K813" s="49">
        <v>1.3</v>
      </c>
      <c r="L813" s="169">
        <f t="shared" si="55"/>
        <v>3.9000000000000004</v>
      </c>
      <c r="M813" s="169">
        <f t="shared" si="45"/>
        <v>1</v>
      </c>
      <c r="N813" s="169">
        <f t="shared" si="52"/>
        <v>0.58500000000000008</v>
      </c>
      <c r="O813" s="169">
        <f>N813+L813</f>
        <v>4.4850000000000003</v>
      </c>
      <c r="Z813" s="20"/>
      <c r="AA813" s="20"/>
    </row>
    <row r="814" spans="1:27" x14ac:dyDescent="0.3">
      <c r="A814" s="88">
        <v>811</v>
      </c>
      <c r="B814" s="173">
        <v>584</v>
      </c>
      <c r="C814" s="159"/>
      <c r="D814" s="88" t="s">
        <v>1371</v>
      </c>
      <c r="E814" s="88" t="s">
        <v>740</v>
      </c>
      <c r="F814" s="88" t="s">
        <v>1270</v>
      </c>
      <c r="G814" s="88" t="s">
        <v>1275</v>
      </c>
      <c r="H814" s="88">
        <v>300498479600003</v>
      </c>
      <c r="I814" s="88" t="s">
        <v>776</v>
      </c>
      <c r="J814" s="49">
        <v>5</v>
      </c>
      <c r="K814" s="49">
        <v>1</v>
      </c>
      <c r="L814" s="169">
        <f t="shared" si="55"/>
        <v>5</v>
      </c>
      <c r="M814" s="169">
        <f t="shared" si="45"/>
        <v>1</v>
      </c>
      <c r="N814" s="169">
        <f t="shared" si="52"/>
        <v>0.75</v>
      </c>
      <c r="O814" s="169">
        <f t="shared" si="53"/>
        <v>5.75</v>
      </c>
      <c r="Z814" s="20"/>
      <c r="AA814" s="20"/>
    </row>
    <row r="815" spans="1:27" x14ac:dyDescent="0.3">
      <c r="A815" s="88">
        <v>812</v>
      </c>
      <c r="B815" s="173">
        <v>585</v>
      </c>
      <c r="C815" s="159"/>
      <c r="D815" s="88" t="s">
        <v>1371</v>
      </c>
      <c r="E815" s="88" t="s">
        <v>740</v>
      </c>
      <c r="F815" s="88" t="s">
        <v>1270</v>
      </c>
      <c r="G815" s="88" t="s">
        <v>1275</v>
      </c>
      <c r="H815" s="88">
        <v>300498479600003</v>
      </c>
      <c r="I815" s="88" t="s">
        <v>776</v>
      </c>
      <c r="J815" s="49">
        <v>4</v>
      </c>
      <c r="K815" s="49">
        <v>1</v>
      </c>
      <c r="L815" s="169">
        <f t="shared" si="55"/>
        <v>4</v>
      </c>
      <c r="M815" s="169">
        <f t="shared" si="45"/>
        <v>1</v>
      </c>
      <c r="N815" s="169">
        <f t="shared" si="52"/>
        <v>0.6</v>
      </c>
      <c r="O815" s="169">
        <f t="shared" si="53"/>
        <v>4.5999999999999996</v>
      </c>
      <c r="Z815" s="20"/>
      <c r="AA815" s="20"/>
    </row>
    <row r="816" spans="1:27" x14ac:dyDescent="0.3">
      <c r="A816" s="88">
        <v>813</v>
      </c>
      <c r="B816" s="173">
        <v>586</v>
      </c>
      <c r="C816" s="159"/>
      <c r="D816" s="88" t="s">
        <v>1371</v>
      </c>
      <c r="E816" s="88" t="s">
        <v>740</v>
      </c>
      <c r="F816" s="88" t="s">
        <v>1270</v>
      </c>
      <c r="G816" s="88" t="s">
        <v>1275</v>
      </c>
      <c r="H816" s="88">
        <v>300498479600003</v>
      </c>
      <c r="I816" s="88" t="s">
        <v>776</v>
      </c>
      <c r="J816" s="49">
        <v>5</v>
      </c>
      <c r="K816" s="49">
        <v>1</v>
      </c>
      <c r="L816" s="169">
        <f t="shared" si="55"/>
        <v>5</v>
      </c>
      <c r="M816" s="169">
        <f t="shared" si="45"/>
        <v>1</v>
      </c>
      <c r="N816" s="169">
        <f t="shared" si="52"/>
        <v>0.75</v>
      </c>
      <c r="O816" s="169">
        <f t="shared" si="53"/>
        <v>5.75</v>
      </c>
      <c r="Z816" s="20"/>
      <c r="AA816" s="20"/>
    </row>
    <row r="817" spans="1:27" x14ac:dyDescent="0.3">
      <c r="A817" s="88">
        <v>814</v>
      </c>
      <c r="B817" s="173">
        <v>587</v>
      </c>
      <c r="C817" s="159"/>
      <c r="D817" s="88" t="s">
        <v>1371</v>
      </c>
      <c r="E817" s="88" t="s">
        <v>740</v>
      </c>
      <c r="F817" s="88" t="s">
        <v>1270</v>
      </c>
      <c r="G817" s="88" t="s">
        <v>1275</v>
      </c>
      <c r="H817" s="88">
        <v>300498479600003</v>
      </c>
      <c r="I817" s="88" t="s">
        <v>776</v>
      </c>
      <c r="J817" s="49">
        <v>5</v>
      </c>
      <c r="K817" s="49">
        <v>1</v>
      </c>
      <c r="L817" s="169">
        <f t="shared" si="55"/>
        <v>5</v>
      </c>
      <c r="M817" s="169">
        <f t="shared" si="45"/>
        <v>1</v>
      </c>
      <c r="N817" s="169">
        <f t="shared" si="52"/>
        <v>0.75</v>
      </c>
      <c r="O817" s="169">
        <f t="shared" si="53"/>
        <v>5.75</v>
      </c>
      <c r="Z817" s="20"/>
      <c r="AA817" s="20"/>
    </row>
    <row r="818" spans="1:27" x14ac:dyDescent="0.3">
      <c r="A818" s="88">
        <v>815</v>
      </c>
      <c r="B818" s="173">
        <v>588</v>
      </c>
      <c r="C818" s="159"/>
      <c r="D818" s="88" t="s">
        <v>1371</v>
      </c>
      <c r="E818" s="88" t="s">
        <v>740</v>
      </c>
      <c r="F818" s="88" t="s">
        <v>1270</v>
      </c>
      <c r="G818" s="88" t="s">
        <v>1275</v>
      </c>
      <c r="H818" s="88">
        <v>300498479600003</v>
      </c>
      <c r="I818" s="88" t="s">
        <v>776</v>
      </c>
      <c r="J818" s="49">
        <v>5</v>
      </c>
      <c r="K818" s="49">
        <v>1</v>
      </c>
      <c r="L818" s="169">
        <f t="shared" si="55"/>
        <v>5</v>
      </c>
      <c r="M818" s="169">
        <f t="shared" si="45"/>
        <v>1</v>
      </c>
      <c r="N818" s="169">
        <f t="shared" si="52"/>
        <v>0.75</v>
      </c>
      <c r="O818" s="169">
        <f t="shared" si="53"/>
        <v>5.75</v>
      </c>
      <c r="Z818" s="20"/>
      <c r="AA818" s="20"/>
    </row>
    <row r="819" spans="1:27" x14ac:dyDescent="0.3">
      <c r="A819" s="88">
        <v>816</v>
      </c>
      <c r="B819" s="173">
        <v>589</v>
      </c>
      <c r="C819" s="159"/>
      <c r="D819" s="88" t="s">
        <v>1371</v>
      </c>
      <c r="E819" s="88" t="s">
        <v>740</v>
      </c>
      <c r="F819" s="88" t="s">
        <v>1270</v>
      </c>
      <c r="G819" s="88" t="s">
        <v>1275</v>
      </c>
      <c r="H819" s="88">
        <v>300498479600003</v>
      </c>
      <c r="I819" s="88" t="s">
        <v>776</v>
      </c>
      <c r="J819" s="49">
        <v>5</v>
      </c>
      <c r="K819" s="49">
        <v>1</v>
      </c>
      <c r="L819" s="169">
        <f t="shared" si="55"/>
        <v>5</v>
      </c>
      <c r="M819" s="169">
        <f t="shared" si="45"/>
        <v>1</v>
      </c>
      <c r="N819" s="169">
        <f t="shared" si="52"/>
        <v>0.75</v>
      </c>
      <c r="O819" s="169">
        <f t="shared" si="53"/>
        <v>5.75</v>
      </c>
      <c r="Z819" s="20"/>
      <c r="AA819" s="20"/>
    </row>
    <row r="820" spans="1:27" x14ac:dyDescent="0.3">
      <c r="A820" s="88">
        <v>817</v>
      </c>
      <c r="B820" s="173">
        <v>590</v>
      </c>
      <c r="C820" s="159"/>
      <c r="D820" s="88" t="s">
        <v>1371</v>
      </c>
      <c r="E820" s="88" t="s">
        <v>740</v>
      </c>
      <c r="F820" s="88" t="s">
        <v>1270</v>
      </c>
      <c r="G820" s="88" t="s">
        <v>1275</v>
      </c>
      <c r="H820" s="88">
        <v>300498479600003</v>
      </c>
      <c r="I820" s="88" t="s">
        <v>776</v>
      </c>
      <c r="J820" s="49">
        <v>5</v>
      </c>
      <c r="K820" s="49">
        <v>1</v>
      </c>
      <c r="L820" s="169">
        <f t="shared" si="55"/>
        <v>5</v>
      </c>
      <c r="M820" s="169">
        <f t="shared" si="45"/>
        <v>1</v>
      </c>
      <c r="N820" s="169">
        <f t="shared" si="52"/>
        <v>0.75</v>
      </c>
      <c r="O820" s="169">
        <f t="shared" si="53"/>
        <v>5.75</v>
      </c>
      <c r="Z820" s="20"/>
      <c r="AA820" s="20"/>
    </row>
    <row r="821" spans="1:27" x14ac:dyDescent="0.3">
      <c r="A821" s="88">
        <v>818</v>
      </c>
      <c r="B821" s="173">
        <v>591</v>
      </c>
      <c r="C821" s="159"/>
      <c r="D821" s="88" t="s">
        <v>1371</v>
      </c>
      <c r="E821" s="88" t="s">
        <v>740</v>
      </c>
      <c r="F821" s="88" t="s">
        <v>1270</v>
      </c>
      <c r="G821" s="88" t="s">
        <v>1275</v>
      </c>
      <c r="H821" s="88">
        <v>300498479600003</v>
      </c>
      <c r="I821" s="88" t="s">
        <v>776</v>
      </c>
      <c r="J821" s="49">
        <v>5</v>
      </c>
      <c r="K821" s="49">
        <v>1</v>
      </c>
      <c r="L821" s="169">
        <f t="shared" si="55"/>
        <v>5</v>
      </c>
      <c r="M821" s="169">
        <f t="shared" si="45"/>
        <v>1</v>
      </c>
      <c r="N821" s="169">
        <f t="shared" si="52"/>
        <v>0.75</v>
      </c>
      <c r="O821" s="169">
        <f t="shared" si="53"/>
        <v>5.75</v>
      </c>
      <c r="Z821" s="20"/>
      <c r="AA821" s="20"/>
    </row>
    <row r="822" spans="1:27" x14ac:dyDescent="0.3">
      <c r="A822" s="88">
        <v>819</v>
      </c>
      <c r="B822" s="173">
        <v>592</v>
      </c>
      <c r="C822" s="159"/>
      <c r="D822" s="88" t="s">
        <v>1371</v>
      </c>
      <c r="E822" s="88" t="s">
        <v>740</v>
      </c>
      <c r="F822" s="88" t="s">
        <v>1270</v>
      </c>
      <c r="G822" s="88" t="s">
        <v>1275</v>
      </c>
      <c r="H822" s="88">
        <v>300498479600003</v>
      </c>
      <c r="I822" s="88" t="s">
        <v>776</v>
      </c>
      <c r="J822" s="49">
        <v>5</v>
      </c>
      <c r="K822" s="49">
        <v>1</v>
      </c>
      <c r="L822" s="169">
        <f t="shared" si="55"/>
        <v>5</v>
      </c>
      <c r="M822" s="169">
        <f t="shared" si="45"/>
        <v>1</v>
      </c>
      <c r="N822" s="169">
        <f t="shared" si="52"/>
        <v>0.75</v>
      </c>
      <c r="O822" s="169">
        <f t="shared" si="53"/>
        <v>5.75</v>
      </c>
      <c r="Z822" s="20"/>
      <c r="AA822" s="20"/>
    </row>
    <row r="823" spans="1:27" x14ac:dyDescent="0.3">
      <c r="A823" s="88">
        <v>820</v>
      </c>
      <c r="B823" s="173">
        <v>593</v>
      </c>
      <c r="C823" s="159"/>
      <c r="D823" s="88" t="s">
        <v>1371</v>
      </c>
      <c r="E823" s="88" t="s">
        <v>740</v>
      </c>
      <c r="F823" s="88" t="s">
        <v>1270</v>
      </c>
      <c r="G823" s="88" t="s">
        <v>1275</v>
      </c>
      <c r="H823" s="88">
        <v>300498479600003</v>
      </c>
      <c r="I823" s="88" t="s">
        <v>776</v>
      </c>
      <c r="J823" s="49">
        <v>5</v>
      </c>
      <c r="K823" s="49">
        <v>1</v>
      </c>
      <c r="L823" s="169">
        <f t="shared" si="55"/>
        <v>5</v>
      </c>
      <c r="M823" s="169">
        <f t="shared" si="45"/>
        <v>1</v>
      </c>
      <c r="N823" s="169">
        <f t="shared" si="52"/>
        <v>0.75</v>
      </c>
      <c r="O823" s="169">
        <f t="shared" si="53"/>
        <v>5.75</v>
      </c>
      <c r="Z823" s="20"/>
      <c r="AA823" s="20"/>
    </row>
    <row r="824" spans="1:27" x14ac:dyDescent="0.3">
      <c r="A824" s="88">
        <v>821</v>
      </c>
      <c r="B824" s="173">
        <v>594</v>
      </c>
      <c r="C824" s="159"/>
      <c r="D824" s="88" t="s">
        <v>1371</v>
      </c>
      <c r="E824" s="88" t="s">
        <v>740</v>
      </c>
      <c r="F824" s="88" t="s">
        <v>1270</v>
      </c>
      <c r="G824" s="88" t="s">
        <v>1275</v>
      </c>
      <c r="H824" s="88">
        <v>300498479600003</v>
      </c>
      <c r="I824" s="88" t="s">
        <v>776</v>
      </c>
      <c r="J824" s="49">
        <v>5</v>
      </c>
      <c r="K824" s="49">
        <v>1</v>
      </c>
      <c r="L824" s="169">
        <f t="shared" si="55"/>
        <v>5</v>
      </c>
      <c r="M824" s="169">
        <f t="shared" si="45"/>
        <v>1</v>
      </c>
      <c r="N824" s="169">
        <f t="shared" si="52"/>
        <v>0.75</v>
      </c>
      <c r="O824" s="169">
        <f t="shared" si="53"/>
        <v>5.75</v>
      </c>
      <c r="Z824" s="20"/>
      <c r="AA824" s="20"/>
    </row>
    <row r="825" spans="1:27" x14ac:dyDescent="0.3">
      <c r="A825" s="88">
        <v>822</v>
      </c>
      <c r="B825" s="173">
        <v>595</v>
      </c>
      <c r="C825" s="159"/>
      <c r="D825" s="88" t="s">
        <v>1371</v>
      </c>
      <c r="E825" s="88" t="s">
        <v>740</v>
      </c>
      <c r="F825" s="88" t="s">
        <v>1270</v>
      </c>
      <c r="G825" s="88" t="s">
        <v>1275</v>
      </c>
      <c r="H825" s="88">
        <v>300498479600003</v>
      </c>
      <c r="I825" s="88" t="s">
        <v>776</v>
      </c>
      <c r="J825" s="49">
        <v>5</v>
      </c>
      <c r="K825" s="49">
        <v>1</v>
      </c>
      <c r="L825" s="169">
        <f t="shared" si="55"/>
        <v>5</v>
      </c>
      <c r="M825" s="169">
        <f t="shared" si="45"/>
        <v>1</v>
      </c>
      <c r="N825" s="169">
        <f t="shared" si="52"/>
        <v>0.75</v>
      </c>
      <c r="O825" s="169">
        <f t="shared" si="53"/>
        <v>5.75</v>
      </c>
      <c r="Z825" s="20"/>
      <c r="AA825" s="20"/>
    </row>
    <row r="826" spans="1:27" x14ac:dyDescent="0.3">
      <c r="A826" s="88">
        <v>823</v>
      </c>
      <c r="B826" s="173">
        <v>596</v>
      </c>
      <c r="C826" s="159"/>
      <c r="D826" s="88" t="s">
        <v>1371</v>
      </c>
      <c r="E826" s="88" t="s">
        <v>740</v>
      </c>
      <c r="F826" s="88" t="s">
        <v>1270</v>
      </c>
      <c r="G826" s="88" t="s">
        <v>1275</v>
      </c>
      <c r="H826" s="88">
        <v>300498479600003</v>
      </c>
      <c r="I826" s="88" t="s">
        <v>776</v>
      </c>
      <c r="J826" s="49">
        <v>5</v>
      </c>
      <c r="K826" s="49">
        <v>1</v>
      </c>
      <c r="L826" s="169">
        <f t="shared" si="55"/>
        <v>5</v>
      </c>
      <c r="M826" s="169">
        <f t="shared" si="45"/>
        <v>1</v>
      </c>
      <c r="N826" s="169">
        <f t="shared" si="52"/>
        <v>0.75</v>
      </c>
      <c r="O826" s="169">
        <f t="shared" si="53"/>
        <v>5.75</v>
      </c>
      <c r="Z826" s="20"/>
      <c r="AA826" s="20"/>
    </row>
    <row r="827" spans="1:27" x14ac:dyDescent="0.3">
      <c r="A827" s="88">
        <v>824</v>
      </c>
      <c r="B827" s="173">
        <v>597</v>
      </c>
      <c r="C827" s="159"/>
      <c r="D827" s="88" t="s">
        <v>1371</v>
      </c>
      <c r="E827" s="88" t="s">
        <v>715</v>
      </c>
      <c r="F827" s="88" t="s">
        <v>1323</v>
      </c>
      <c r="G827" s="88" t="s">
        <v>1324</v>
      </c>
      <c r="H827" s="88">
        <v>300026972900003</v>
      </c>
      <c r="I827" s="88"/>
      <c r="J827" s="49">
        <v>1</v>
      </c>
      <c r="K827" s="49">
        <v>33.6</v>
      </c>
      <c r="L827" s="169">
        <f t="shared" si="55"/>
        <v>33.6</v>
      </c>
      <c r="M827" s="169">
        <f t="shared" si="45"/>
        <v>1</v>
      </c>
      <c r="N827" s="169">
        <f t="shared" si="52"/>
        <v>5.04</v>
      </c>
      <c r="O827" s="169">
        <f t="shared" si="53"/>
        <v>38.64</v>
      </c>
      <c r="Z827" s="20"/>
      <c r="AA827" s="20"/>
    </row>
    <row r="828" spans="1:27" x14ac:dyDescent="0.3">
      <c r="A828" s="88">
        <v>825</v>
      </c>
      <c r="B828" s="173">
        <v>598</v>
      </c>
      <c r="C828" s="159"/>
      <c r="D828" s="88" t="s">
        <v>1371</v>
      </c>
      <c r="E828" s="88" t="s">
        <v>715</v>
      </c>
      <c r="F828" s="88" t="s">
        <v>1323</v>
      </c>
      <c r="G828" s="88" t="s">
        <v>1324</v>
      </c>
      <c r="H828" s="88">
        <v>300026972900003</v>
      </c>
      <c r="I828" s="88"/>
      <c r="J828" s="49">
        <v>1</v>
      </c>
      <c r="K828" s="49">
        <v>12</v>
      </c>
      <c r="L828" s="169">
        <f t="shared" si="55"/>
        <v>12</v>
      </c>
      <c r="M828" s="169">
        <f t="shared" si="45"/>
        <v>1</v>
      </c>
      <c r="N828" s="169">
        <f t="shared" si="52"/>
        <v>1.7999999999999998</v>
      </c>
      <c r="O828" s="169">
        <f t="shared" si="53"/>
        <v>13.8</v>
      </c>
      <c r="Z828" s="20"/>
      <c r="AA828" s="20"/>
    </row>
    <row r="829" spans="1:27" x14ac:dyDescent="0.3">
      <c r="A829" s="88">
        <v>826</v>
      </c>
      <c r="B829" s="173">
        <v>599</v>
      </c>
      <c r="C829" s="159"/>
      <c r="D829" s="88" t="s">
        <v>1371</v>
      </c>
      <c r="E829" s="88" t="s">
        <v>715</v>
      </c>
      <c r="F829" s="88" t="s">
        <v>1323</v>
      </c>
      <c r="G829" s="88" t="s">
        <v>1324</v>
      </c>
      <c r="H829" s="88">
        <v>300026972900003</v>
      </c>
      <c r="I829" s="88"/>
      <c r="J829" s="49">
        <v>1</v>
      </c>
      <c r="K829" s="49">
        <v>87</v>
      </c>
      <c r="L829" s="169">
        <f t="shared" si="55"/>
        <v>87</v>
      </c>
      <c r="M829" s="169">
        <f t="shared" si="45"/>
        <v>1</v>
      </c>
      <c r="N829" s="169">
        <f t="shared" si="52"/>
        <v>13.049999999999999</v>
      </c>
      <c r="O829" s="169">
        <f t="shared" si="53"/>
        <v>100.05</v>
      </c>
      <c r="Z829" s="20"/>
      <c r="AA829" s="20"/>
    </row>
    <row r="830" spans="1:27" x14ac:dyDescent="0.3">
      <c r="A830" s="88">
        <v>827</v>
      </c>
      <c r="B830" s="173">
        <v>600</v>
      </c>
      <c r="C830" s="159"/>
      <c r="D830" s="88" t="s">
        <v>1371</v>
      </c>
      <c r="E830" s="88" t="s">
        <v>708</v>
      </c>
      <c r="F830" s="88" t="s">
        <v>576</v>
      </c>
      <c r="G830" s="88" t="s">
        <v>1373</v>
      </c>
      <c r="H830" s="88">
        <v>300060864110003</v>
      </c>
      <c r="I830" s="88"/>
      <c r="J830" s="49">
        <v>1</v>
      </c>
      <c r="K830" s="49">
        <v>80.040000000000006</v>
      </c>
      <c r="L830" s="169">
        <f t="shared" si="55"/>
        <v>80.040000000000006</v>
      </c>
      <c r="M830" s="169">
        <f t="shared" si="45"/>
        <v>1</v>
      </c>
      <c r="N830" s="169">
        <f t="shared" si="52"/>
        <v>12.006</v>
      </c>
      <c r="O830" s="169">
        <f t="shared" si="53"/>
        <v>92.046000000000006</v>
      </c>
      <c r="Z830" s="20"/>
      <c r="AA830" s="20"/>
    </row>
    <row r="831" spans="1:27" x14ac:dyDescent="0.3">
      <c r="A831" s="88">
        <v>828</v>
      </c>
      <c r="B831" s="173">
        <v>601</v>
      </c>
      <c r="C831" s="159"/>
      <c r="D831" s="88" t="s">
        <v>1371</v>
      </c>
      <c r="E831" s="88" t="s">
        <v>715</v>
      </c>
      <c r="F831" s="88" t="s">
        <v>1279</v>
      </c>
      <c r="G831" s="88" t="s">
        <v>1326</v>
      </c>
      <c r="H831" s="88">
        <v>311172172500003</v>
      </c>
      <c r="I831" s="88"/>
      <c r="J831" s="49">
        <v>1</v>
      </c>
      <c r="K831" s="49">
        <v>5.22</v>
      </c>
      <c r="L831" s="169">
        <f t="shared" si="55"/>
        <v>5.22</v>
      </c>
      <c r="M831" s="169">
        <f t="shared" si="45"/>
        <v>1</v>
      </c>
      <c r="N831" s="169">
        <f t="shared" ref="N831:N1035" si="56">M831*L831*15%</f>
        <v>0.78299999999999992</v>
      </c>
      <c r="O831" s="169">
        <f t="shared" ref="O831:O863" si="57">N831+L831</f>
        <v>6.0030000000000001</v>
      </c>
      <c r="Z831" s="20"/>
      <c r="AA831" s="20"/>
    </row>
    <row r="832" spans="1:27" x14ac:dyDescent="0.3">
      <c r="A832" s="88">
        <v>829</v>
      </c>
      <c r="B832" s="173">
        <v>602</v>
      </c>
      <c r="C832" s="159"/>
      <c r="D832" s="88" t="s">
        <v>1371</v>
      </c>
      <c r="E832" s="88" t="s">
        <v>715</v>
      </c>
      <c r="F832" s="88" t="s">
        <v>1279</v>
      </c>
      <c r="G832" s="88" t="s">
        <v>1326</v>
      </c>
      <c r="H832" s="88">
        <v>311172172500003</v>
      </c>
      <c r="I832" s="88"/>
      <c r="J832" s="49">
        <v>1</v>
      </c>
      <c r="K832" s="49">
        <v>5.22</v>
      </c>
      <c r="L832" s="169">
        <f t="shared" si="55"/>
        <v>5.22</v>
      </c>
      <c r="M832" s="169">
        <f t="shared" si="45"/>
        <v>1</v>
      </c>
      <c r="N832" s="169">
        <f t="shared" si="56"/>
        <v>0.78299999999999992</v>
      </c>
      <c r="O832" s="169">
        <f t="shared" si="57"/>
        <v>6.0030000000000001</v>
      </c>
      <c r="Z832" s="20"/>
      <c r="AA832" s="20"/>
    </row>
    <row r="833" spans="1:27" x14ac:dyDescent="0.3">
      <c r="A833" s="88">
        <v>830</v>
      </c>
      <c r="B833" s="173">
        <v>603</v>
      </c>
      <c r="C833" s="159"/>
      <c r="D833" s="88" t="s">
        <v>1371</v>
      </c>
      <c r="E833" s="88" t="s">
        <v>715</v>
      </c>
      <c r="F833" s="88" t="s">
        <v>1279</v>
      </c>
      <c r="G833" s="88" t="s">
        <v>1326</v>
      </c>
      <c r="H833" s="88">
        <v>311172172500003</v>
      </c>
      <c r="I833" s="88"/>
      <c r="J833" s="49">
        <v>1</v>
      </c>
      <c r="K833" s="49">
        <v>5.22</v>
      </c>
      <c r="L833" s="169">
        <f t="shared" si="55"/>
        <v>5.22</v>
      </c>
      <c r="M833" s="169">
        <f t="shared" si="45"/>
        <v>1</v>
      </c>
      <c r="N833" s="169">
        <f t="shared" si="56"/>
        <v>0.78299999999999992</v>
      </c>
      <c r="O833" s="169">
        <f t="shared" si="57"/>
        <v>6.0030000000000001</v>
      </c>
      <c r="Z833" s="20"/>
      <c r="AA833" s="20"/>
    </row>
    <row r="834" spans="1:27" x14ac:dyDescent="0.3">
      <c r="A834" s="88">
        <v>831</v>
      </c>
      <c r="B834" s="173">
        <v>604</v>
      </c>
      <c r="C834" s="159"/>
      <c r="D834" s="88" t="s">
        <v>1371</v>
      </c>
      <c r="E834" s="88" t="s">
        <v>715</v>
      </c>
      <c r="F834" s="88" t="s">
        <v>1279</v>
      </c>
      <c r="G834" s="88" t="s">
        <v>1326</v>
      </c>
      <c r="H834" s="88">
        <v>311172172500003</v>
      </c>
      <c r="I834" s="88"/>
      <c r="J834" s="49">
        <v>1</v>
      </c>
      <c r="K834" s="49">
        <v>5.22</v>
      </c>
      <c r="L834" s="169">
        <f t="shared" si="55"/>
        <v>5.22</v>
      </c>
      <c r="M834" s="169">
        <f t="shared" si="45"/>
        <v>1</v>
      </c>
      <c r="N834" s="169">
        <f t="shared" si="56"/>
        <v>0.78299999999999992</v>
      </c>
      <c r="O834" s="169">
        <f t="shared" si="57"/>
        <v>6.0030000000000001</v>
      </c>
      <c r="Z834" s="20"/>
      <c r="AA834" s="20"/>
    </row>
    <row r="835" spans="1:27" x14ac:dyDescent="0.3">
      <c r="A835" s="88">
        <v>832</v>
      </c>
      <c r="B835" s="173">
        <v>605</v>
      </c>
      <c r="C835" s="159"/>
      <c r="D835" s="88" t="s">
        <v>1371</v>
      </c>
      <c r="E835" s="88" t="s">
        <v>715</v>
      </c>
      <c r="F835" s="88" t="s">
        <v>1279</v>
      </c>
      <c r="G835" s="88" t="s">
        <v>1326</v>
      </c>
      <c r="H835" s="88">
        <v>311172172500003</v>
      </c>
      <c r="I835" s="88"/>
      <c r="J835" s="49">
        <v>1</v>
      </c>
      <c r="K835" s="49">
        <v>5.22</v>
      </c>
      <c r="L835" s="169">
        <f t="shared" si="55"/>
        <v>5.22</v>
      </c>
      <c r="M835" s="169">
        <f t="shared" si="45"/>
        <v>1</v>
      </c>
      <c r="N835" s="169">
        <f t="shared" si="56"/>
        <v>0.78299999999999992</v>
      </c>
      <c r="O835" s="169">
        <f t="shared" si="57"/>
        <v>6.0030000000000001</v>
      </c>
      <c r="Z835" s="20"/>
      <c r="AA835" s="20"/>
    </row>
    <row r="836" spans="1:27" x14ac:dyDescent="0.3">
      <c r="A836" s="88">
        <v>833</v>
      </c>
      <c r="B836" s="173">
        <v>606</v>
      </c>
      <c r="C836" s="159"/>
      <c r="D836" s="88" t="s">
        <v>1371</v>
      </c>
      <c r="E836" s="88" t="s">
        <v>715</v>
      </c>
      <c r="F836" s="88" t="s">
        <v>1279</v>
      </c>
      <c r="G836" s="88" t="s">
        <v>801</v>
      </c>
      <c r="H836" s="88">
        <v>300272021500003</v>
      </c>
      <c r="I836" s="88"/>
      <c r="J836" s="49">
        <v>1</v>
      </c>
      <c r="K836" s="49">
        <v>3.4780000000000002</v>
      </c>
      <c r="L836" s="169">
        <f t="shared" si="55"/>
        <v>3.4780000000000002</v>
      </c>
      <c r="M836" s="169">
        <f t="shared" si="45"/>
        <v>1</v>
      </c>
      <c r="N836" s="169">
        <f t="shared" si="56"/>
        <v>0.52170000000000005</v>
      </c>
      <c r="O836" s="169">
        <f t="shared" si="57"/>
        <v>3.9997000000000003</v>
      </c>
      <c r="Z836" s="20"/>
      <c r="AA836" s="20"/>
    </row>
    <row r="837" spans="1:27" x14ac:dyDescent="0.3">
      <c r="A837" s="88">
        <v>834</v>
      </c>
      <c r="B837" s="173">
        <v>607</v>
      </c>
      <c r="C837" s="159"/>
      <c r="D837" s="88" t="s">
        <v>1371</v>
      </c>
      <c r="E837" s="88" t="s">
        <v>715</v>
      </c>
      <c r="F837" s="88" t="s">
        <v>1279</v>
      </c>
      <c r="G837" s="88" t="s">
        <v>801</v>
      </c>
      <c r="H837" s="88">
        <v>300272021500003</v>
      </c>
      <c r="I837" s="88"/>
      <c r="J837" s="49">
        <v>1</v>
      </c>
      <c r="K837" s="49">
        <v>5.2169999999999996</v>
      </c>
      <c r="L837" s="169">
        <f t="shared" si="55"/>
        <v>5.2169999999999996</v>
      </c>
      <c r="M837" s="169">
        <f t="shared" si="45"/>
        <v>1</v>
      </c>
      <c r="N837" s="169">
        <f t="shared" si="56"/>
        <v>0.78254999999999997</v>
      </c>
      <c r="O837" s="169">
        <f t="shared" si="57"/>
        <v>5.9995499999999993</v>
      </c>
      <c r="Z837" s="20"/>
      <c r="AA837" s="20"/>
    </row>
    <row r="838" spans="1:27" x14ac:dyDescent="0.3">
      <c r="A838" s="88">
        <v>835</v>
      </c>
      <c r="B838" s="173">
        <v>608</v>
      </c>
      <c r="C838" s="159"/>
      <c r="D838" s="88" t="s">
        <v>1371</v>
      </c>
      <c r="E838" s="88" t="s">
        <v>715</v>
      </c>
      <c r="F838" s="88" t="s">
        <v>1279</v>
      </c>
      <c r="G838" s="88" t="s">
        <v>801</v>
      </c>
      <c r="H838" s="88">
        <v>300272021500003</v>
      </c>
      <c r="I838" s="88"/>
      <c r="J838" s="49">
        <v>1</v>
      </c>
      <c r="K838" s="49">
        <v>5.2169999999999996</v>
      </c>
      <c r="L838" s="169">
        <f t="shared" si="55"/>
        <v>5.2169999999999996</v>
      </c>
      <c r="M838" s="169">
        <f t="shared" si="45"/>
        <v>1</v>
      </c>
      <c r="N838" s="169">
        <f t="shared" si="56"/>
        <v>0.78254999999999997</v>
      </c>
      <c r="O838" s="169">
        <f t="shared" si="57"/>
        <v>5.9995499999999993</v>
      </c>
      <c r="Z838" s="20"/>
      <c r="AA838" s="20"/>
    </row>
    <row r="839" spans="1:27" x14ac:dyDescent="0.3">
      <c r="A839" s="88">
        <v>836</v>
      </c>
      <c r="B839" s="173">
        <v>609</v>
      </c>
      <c r="C839" s="159"/>
      <c r="D839" s="88" t="s">
        <v>1371</v>
      </c>
      <c r="E839" s="88" t="s">
        <v>740</v>
      </c>
      <c r="F839" s="88" t="s">
        <v>1270</v>
      </c>
      <c r="G839" s="88" t="s">
        <v>801</v>
      </c>
      <c r="H839" s="88">
        <v>300272021500003</v>
      </c>
      <c r="I839" s="88"/>
      <c r="J839" s="49">
        <v>1</v>
      </c>
      <c r="K839" s="49">
        <v>6.0869999999999997</v>
      </c>
      <c r="L839" s="169">
        <f t="shared" si="55"/>
        <v>6.0869999999999997</v>
      </c>
      <c r="M839" s="169">
        <f t="shared" si="45"/>
        <v>1</v>
      </c>
      <c r="N839" s="169">
        <f t="shared" si="56"/>
        <v>0.91304999999999992</v>
      </c>
      <c r="O839" s="169">
        <f t="shared" si="57"/>
        <v>7.0000499999999999</v>
      </c>
      <c r="Z839" s="20"/>
      <c r="AA839" s="20"/>
    </row>
    <row r="840" spans="1:27" x14ac:dyDescent="0.3">
      <c r="A840" s="88">
        <v>837</v>
      </c>
      <c r="B840" s="173">
        <v>610</v>
      </c>
      <c r="C840" s="159"/>
      <c r="D840" s="88" t="s">
        <v>1371</v>
      </c>
      <c r="E840" s="88" t="s">
        <v>715</v>
      </c>
      <c r="F840" s="88" t="s">
        <v>1279</v>
      </c>
      <c r="G840" s="88" t="s">
        <v>1280</v>
      </c>
      <c r="H840" s="88">
        <v>300844969700003</v>
      </c>
      <c r="I840" s="88"/>
      <c r="J840" s="49">
        <v>1</v>
      </c>
      <c r="K840" s="49">
        <v>5.2169999999999996</v>
      </c>
      <c r="L840" s="169">
        <f t="shared" si="55"/>
        <v>5.2169999999999996</v>
      </c>
      <c r="M840" s="169">
        <f t="shared" si="45"/>
        <v>1</v>
      </c>
      <c r="N840" s="169">
        <f t="shared" si="56"/>
        <v>0.78254999999999997</v>
      </c>
      <c r="O840" s="169">
        <f t="shared" si="57"/>
        <v>5.9995499999999993</v>
      </c>
      <c r="Z840" s="20"/>
      <c r="AA840" s="20"/>
    </row>
    <row r="841" spans="1:27" x14ac:dyDescent="0.3">
      <c r="A841" s="88">
        <v>838</v>
      </c>
      <c r="B841" s="173">
        <v>611</v>
      </c>
      <c r="C841" s="159"/>
      <c r="D841" s="88" t="s">
        <v>1371</v>
      </c>
      <c r="E841" s="88" t="s">
        <v>715</v>
      </c>
      <c r="F841" s="88" t="s">
        <v>1279</v>
      </c>
      <c r="G841" s="88" t="s">
        <v>1280</v>
      </c>
      <c r="H841" s="88">
        <v>300844969700003</v>
      </c>
      <c r="I841" s="88"/>
      <c r="J841" s="49">
        <v>1</v>
      </c>
      <c r="K841" s="49">
        <v>5.2169999999999996</v>
      </c>
      <c r="L841" s="169">
        <f t="shared" si="55"/>
        <v>5.2169999999999996</v>
      </c>
      <c r="M841" s="169">
        <f t="shared" si="45"/>
        <v>1</v>
      </c>
      <c r="N841" s="169">
        <f t="shared" si="56"/>
        <v>0.78254999999999997</v>
      </c>
      <c r="O841" s="169">
        <f t="shared" si="57"/>
        <v>5.9995499999999993</v>
      </c>
      <c r="Z841" s="20"/>
      <c r="AA841" s="20"/>
    </row>
    <row r="842" spans="1:27" x14ac:dyDescent="0.3">
      <c r="A842" s="88">
        <v>839</v>
      </c>
      <c r="B842" s="173">
        <v>612</v>
      </c>
      <c r="C842" s="159"/>
      <c r="D842" s="88" t="s">
        <v>1371</v>
      </c>
      <c r="E842" s="88" t="s">
        <v>715</v>
      </c>
      <c r="F842" s="88" t="s">
        <v>1279</v>
      </c>
      <c r="G842" s="88" t="s">
        <v>1280</v>
      </c>
      <c r="H842" s="88">
        <v>300844969700003</v>
      </c>
      <c r="I842" s="88"/>
      <c r="J842" s="49">
        <v>1</v>
      </c>
      <c r="K842" s="49">
        <v>5.2169999999999996</v>
      </c>
      <c r="L842" s="169">
        <f t="shared" si="55"/>
        <v>5.2169999999999996</v>
      </c>
      <c r="M842" s="169">
        <f t="shared" si="45"/>
        <v>1</v>
      </c>
      <c r="N842" s="169">
        <f t="shared" si="56"/>
        <v>0.78254999999999997</v>
      </c>
      <c r="O842" s="169">
        <f t="shared" si="57"/>
        <v>5.9995499999999993</v>
      </c>
      <c r="Z842" s="20"/>
      <c r="AA842" s="20"/>
    </row>
    <row r="843" spans="1:27" x14ac:dyDescent="0.3">
      <c r="A843" s="88">
        <v>840</v>
      </c>
      <c r="B843" s="173">
        <v>613</v>
      </c>
      <c r="C843" s="159"/>
      <c r="D843" s="88" t="s">
        <v>1371</v>
      </c>
      <c r="E843" s="88" t="s">
        <v>740</v>
      </c>
      <c r="F843" s="88" t="s">
        <v>1374</v>
      </c>
      <c r="G843" s="88" t="s">
        <v>1280</v>
      </c>
      <c r="H843" s="88">
        <v>300844969700003</v>
      </c>
      <c r="I843" s="88"/>
      <c r="J843" s="49">
        <v>3</v>
      </c>
      <c r="K843" s="49">
        <v>5.2169999999999996</v>
      </c>
      <c r="L843" s="169">
        <f t="shared" si="55"/>
        <v>15.651</v>
      </c>
      <c r="M843" s="169">
        <f>IF(H843="",0,1)</f>
        <v>1</v>
      </c>
      <c r="N843" s="169">
        <f t="shared" si="56"/>
        <v>2.3476499999999998</v>
      </c>
      <c r="O843" s="169">
        <f t="shared" si="57"/>
        <v>17.998649999999998</v>
      </c>
      <c r="Z843" s="20"/>
      <c r="AA843" s="20"/>
    </row>
    <row r="844" spans="1:27" x14ac:dyDescent="0.3">
      <c r="A844" s="88">
        <v>841</v>
      </c>
      <c r="B844" s="173">
        <v>614</v>
      </c>
      <c r="C844" s="159"/>
      <c r="D844" s="88" t="s">
        <v>1371</v>
      </c>
      <c r="E844" s="88" t="s">
        <v>740</v>
      </c>
      <c r="F844" s="88" t="s">
        <v>1374</v>
      </c>
      <c r="G844" s="88" t="s">
        <v>1280</v>
      </c>
      <c r="H844" s="88">
        <v>300844969700003</v>
      </c>
      <c r="I844" s="88"/>
      <c r="J844" s="49">
        <v>2</v>
      </c>
      <c r="K844" s="49">
        <v>5.2169999999999996</v>
      </c>
      <c r="L844" s="169">
        <f t="shared" si="55"/>
        <v>10.433999999999999</v>
      </c>
      <c r="M844" s="169">
        <f t="shared" si="45"/>
        <v>1</v>
      </c>
      <c r="N844" s="169">
        <f t="shared" si="56"/>
        <v>1.5650999999999999</v>
      </c>
      <c r="O844" s="169">
        <f t="shared" si="57"/>
        <v>11.999099999999999</v>
      </c>
      <c r="Z844" s="20"/>
      <c r="AA844" s="20"/>
    </row>
    <row r="845" spans="1:27" x14ac:dyDescent="0.3">
      <c r="A845" s="88">
        <v>842</v>
      </c>
      <c r="B845" s="173">
        <v>615</v>
      </c>
      <c r="C845" s="159"/>
      <c r="D845" s="88" t="s">
        <v>1371</v>
      </c>
      <c r="E845" s="88" t="s">
        <v>715</v>
      </c>
      <c r="F845" s="88" t="s">
        <v>1279</v>
      </c>
      <c r="G845" s="88" t="s">
        <v>1326</v>
      </c>
      <c r="H845" s="88">
        <v>311172172500003</v>
      </c>
      <c r="I845" s="88"/>
      <c r="J845" s="49">
        <v>1</v>
      </c>
      <c r="K845" s="49">
        <v>5.2169999999999996</v>
      </c>
      <c r="L845" s="169">
        <f t="shared" si="55"/>
        <v>5.2169999999999996</v>
      </c>
      <c r="M845" s="169">
        <f t="shared" si="45"/>
        <v>1</v>
      </c>
      <c r="N845" s="169">
        <f t="shared" si="56"/>
        <v>0.78254999999999997</v>
      </c>
      <c r="O845" s="169">
        <f t="shared" si="57"/>
        <v>5.9995499999999993</v>
      </c>
      <c r="Z845" s="20"/>
      <c r="AA845" s="20"/>
    </row>
    <row r="846" spans="1:27" x14ac:dyDescent="0.3">
      <c r="A846" s="88">
        <v>843</v>
      </c>
      <c r="B846" s="173">
        <v>616</v>
      </c>
      <c r="C846" s="159"/>
      <c r="D846" s="88" t="s">
        <v>1371</v>
      </c>
      <c r="E846" s="88" t="s">
        <v>715</v>
      </c>
      <c r="F846" s="88" t="s">
        <v>1279</v>
      </c>
      <c r="G846" s="88" t="s">
        <v>1326</v>
      </c>
      <c r="H846" s="88">
        <v>311172172500003</v>
      </c>
      <c r="I846" s="88"/>
      <c r="J846" s="49">
        <v>1</v>
      </c>
      <c r="K846" s="49">
        <v>5.2169999999999996</v>
      </c>
      <c r="L846" s="169">
        <f t="shared" si="55"/>
        <v>5.2169999999999996</v>
      </c>
      <c r="M846" s="169">
        <f t="shared" si="45"/>
        <v>1</v>
      </c>
      <c r="N846" s="169">
        <f t="shared" si="56"/>
        <v>0.78254999999999997</v>
      </c>
      <c r="O846" s="169">
        <f t="shared" si="57"/>
        <v>5.9995499999999993</v>
      </c>
      <c r="Z846" s="20"/>
      <c r="AA846" s="20"/>
    </row>
    <row r="847" spans="1:27" x14ac:dyDescent="0.3">
      <c r="A847" s="88">
        <v>844</v>
      </c>
      <c r="B847" s="173">
        <v>617</v>
      </c>
      <c r="C847" s="159"/>
      <c r="D847" s="88" t="s">
        <v>1371</v>
      </c>
      <c r="E847" s="88" t="s">
        <v>715</v>
      </c>
      <c r="F847" s="88" t="s">
        <v>1279</v>
      </c>
      <c r="G847" s="88" t="s">
        <v>1326</v>
      </c>
      <c r="H847" s="88">
        <v>311172172500003</v>
      </c>
      <c r="I847" s="88"/>
      <c r="J847" s="49">
        <v>1</v>
      </c>
      <c r="K847" s="49">
        <v>5.2169999999999996</v>
      </c>
      <c r="L847" s="169">
        <f t="shared" si="55"/>
        <v>5.2169999999999996</v>
      </c>
      <c r="M847" s="169">
        <f t="shared" si="45"/>
        <v>1</v>
      </c>
      <c r="N847" s="169">
        <f t="shared" si="56"/>
        <v>0.78254999999999997</v>
      </c>
      <c r="O847" s="169">
        <f t="shared" si="57"/>
        <v>5.9995499999999993</v>
      </c>
      <c r="Z847" s="20"/>
      <c r="AA847" s="20"/>
    </row>
    <row r="848" spans="1:27" x14ac:dyDescent="0.3">
      <c r="A848" s="88">
        <v>845</v>
      </c>
      <c r="B848" s="173">
        <v>618</v>
      </c>
      <c r="C848" s="159"/>
      <c r="D848" s="88" t="s">
        <v>1371</v>
      </c>
      <c r="E848" s="88" t="s">
        <v>715</v>
      </c>
      <c r="F848" s="88" t="s">
        <v>1279</v>
      </c>
      <c r="G848" s="88" t="s">
        <v>1326</v>
      </c>
      <c r="H848" s="88">
        <v>311172172500003</v>
      </c>
      <c r="I848" s="88"/>
      <c r="J848" s="49">
        <v>1</v>
      </c>
      <c r="K848" s="49">
        <v>5.2169999999999996</v>
      </c>
      <c r="L848" s="169">
        <f t="shared" si="55"/>
        <v>5.2169999999999996</v>
      </c>
      <c r="M848" s="169">
        <f t="shared" si="45"/>
        <v>1</v>
      </c>
      <c r="N848" s="169">
        <f t="shared" si="56"/>
        <v>0.78254999999999997</v>
      </c>
      <c r="O848" s="169">
        <f t="shared" si="57"/>
        <v>5.9995499999999993</v>
      </c>
      <c r="Z848" s="20"/>
      <c r="AA848" s="20"/>
    </row>
    <row r="849" spans="1:27" x14ac:dyDescent="0.3">
      <c r="A849" s="88">
        <v>846</v>
      </c>
      <c r="B849" s="173">
        <v>619</v>
      </c>
      <c r="C849" s="159"/>
      <c r="D849" s="88" t="s">
        <v>1371</v>
      </c>
      <c r="E849" s="88" t="s">
        <v>715</v>
      </c>
      <c r="F849" s="88" t="s">
        <v>1279</v>
      </c>
      <c r="G849" s="88" t="s">
        <v>1326</v>
      </c>
      <c r="H849" s="88">
        <v>311172172500003</v>
      </c>
      <c r="I849" s="88"/>
      <c r="J849" s="49">
        <v>1</v>
      </c>
      <c r="K849" s="49">
        <v>5.2169999999999996</v>
      </c>
      <c r="L849" s="169">
        <f t="shared" si="55"/>
        <v>5.2169999999999996</v>
      </c>
      <c r="M849" s="169">
        <f t="shared" si="45"/>
        <v>1</v>
      </c>
      <c r="N849" s="169">
        <f t="shared" si="56"/>
        <v>0.78254999999999997</v>
      </c>
      <c r="O849" s="169">
        <f t="shared" si="57"/>
        <v>5.9995499999999993</v>
      </c>
      <c r="Z849" s="20"/>
      <c r="AA849" s="20"/>
    </row>
    <row r="850" spans="1:27" x14ac:dyDescent="0.3">
      <c r="A850" s="88">
        <v>847</v>
      </c>
      <c r="B850" s="173">
        <v>620</v>
      </c>
      <c r="C850" s="159"/>
      <c r="D850" s="88" t="s">
        <v>1371</v>
      </c>
      <c r="E850" s="88" t="s">
        <v>715</v>
      </c>
      <c r="F850" s="88" t="s">
        <v>1279</v>
      </c>
      <c r="G850" s="88" t="s">
        <v>1326</v>
      </c>
      <c r="H850" s="88">
        <v>311172172500003</v>
      </c>
      <c r="I850" s="88"/>
      <c r="J850" s="49">
        <v>1</v>
      </c>
      <c r="K850" s="49">
        <v>5.2169999999999996</v>
      </c>
      <c r="L850" s="169">
        <f t="shared" si="55"/>
        <v>5.2169999999999996</v>
      </c>
      <c r="M850" s="169">
        <f t="shared" si="45"/>
        <v>1</v>
      </c>
      <c r="N850" s="169">
        <f t="shared" si="56"/>
        <v>0.78254999999999997</v>
      </c>
      <c r="O850" s="169">
        <f t="shared" si="57"/>
        <v>5.9995499999999993</v>
      </c>
      <c r="Z850" s="20"/>
      <c r="AA850" s="20"/>
    </row>
    <row r="851" spans="1:27" x14ac:dyDescent="0.3">
      <c r="A851" s="88">
        <v>848</v>
      </c>
      <c r="B851" s="173">
        <v>621</v>
      </c>
      <c r="C851" s="159"/>
      <c r="D851" s="88" t="s">
        <v>1371</v>
      </c>
      <c r="E851" s="88" t="s">
        <v>715</v>
      </c>
      <c r="F851" s="88" t="s">
        <v>1279</v>
      </c>
      <c r="G851" s="88" t="s">
        <v>1326</v>
      </c>
      <c r="H851" s="88">
        <v>311172172500003</v>
      </c>
      <c r="I851" s="88"/>
      <c r="J851" s="49">
        <v>1</v>
      </c>
      <c r="K851" s="49">
        <v>5.2169999999999996</v>
      </c>
      <c r="L851" s="169">
        <f t="shared" si="55"/>
        <v>5.2169999999999996</v>
      </c>
      <c r="M851" s="169">
        <f t="shared" si="45"/>
        <v>1</v>
      </c>
      <c r="N851" s="169">
        <f t="shared" si="56"/>
        <v>0.78254999999999997</v>
      </c>
      <c r="O851" s="169">
        <f t="shared" si="57"/>
        <v>5.9995499999999993</v>
      </c>
      <c r="Z851" s="20"/>
      <c r="AA851" s="20"/>
    </row>
    <row r="852" spans="1:27" x14ac:dyDescent="0.3">
      <c r="A852" s="88">
        <v>849</v>
      </c>
      <c r="B852" s="173">
        <v>622</v>
      </c>
      <c r="C852" s="159"/>
      <c r="D852" s="88" t="s">
        <v>1371</v>
      </c>
      <c r="E852" s="88" t="s">
        <v>715</v>
      </c>
      <c r="F852" s="88" t="s">
        <v>1279</v>
      </c>
      <c r="G852" s="88" t="s">
        <v>1326</v>
      </c>
      <c r="H852" s="88">
        <v>311172172500003</v>
      </c>
      <c r="I852" s="88"/>
      <c r="J852" s="49">
        <v>1</v>
      </c>
      <c r="K852" s="49">
        <v>5.2169999999999996</v>
      </c>
      <c r="L852" s="169">
        <f t="shared" si="55"/>
        <v>5.2169999999999996</v>
      </c>
      <c r="M852" s="169">
        <f t="shared" si="45"/>
        <v>1</v>
      </c>
      <c r="N852" s="169">
        <f t="shared" si="56"/>
        <v>0.78254999999999997</v>
      </c>
      <c r="O852" s="169">
        <f t="shared" si="57"/>
        <v>5.9995499999999993</v>
      </c>
      <c r="Z852" s="20"/>
      <c r="AA852" s="20"/>
    </row>
    <row r="853" spans="1:27" x14ac:dyDescent="0.3">
      <c r="A853" s="88">
        <v>850</v>
      </c>
      <c r="B853" s="173">
        <v>623</v>
      </c>
      <c r="C853" s="159"/>
      <c r="D853" s="88" t="s">
        <v>1371</v>
      </c>
      <c r="E853" s="88" t="s">
        <v>740</v>
      </c>
      <c r="F853" s="88" t="s">
        <v>288</v>
      </c>
      <c r="G853" s="175" t="s">
        <v>1334</v>
      </c>
      <c r="H853" s="88">
        <v>300042682300003</v>
      </c>
      <c r="I853" s="88"/>
      <c r="J853" s="49">
        <v>3</v>
      </c>
      <c r="K853" s="49">
        <v>5.2169999999999996</v>
      </c>
      <c r="L853" s="169">
        <f t="shared" si="55"/>
        <v>15.651</v>
      </c>
      <c r="M853" s="169">
        <f t="shared" si="45"/>
        <v>1</v>
      </c>
      <c r="N853" s="169">
        <f t="shared" si="56"/>
        <v>2.3476499999999998</v>
      </c>
      <c r="O853" s="169">
        <f t="shared" si="57"/>
        <v>17.998649999999998</v>
      </c>
      <c r="Z853" s="20"/>
      <c r="AA853" s="20"/>
    </row>
    <row r="854" spans="1:27" x14ac:dyDescent="0.3">
      <c r="A854" s="88">
        <v>851</v>
      </c>
      <c r="B854" s="173">
        <v>624</v>
      </c>
      <c r="C854" s="159"/>
      <c r="D854" s="88" t="s">
        <v>1371</v>
      </c>
      <c r="E854" s="88" t="s">
        <v>740</v>
      </c>
      <c r="F854" s="88" t="s">
        <v>288</v>
      </c>
      <c r="G854" s="88" t="s">
        <v>1334</v>
      </c>
      <c r="H854" s="88">
        <v>300042682300003</v>
      </c>
      <c r="I854" s="88"/>
      <c r="J854" s="49">
        <v>2</v>
      </c>
      <c r="K854" s="49">
        <v>5.2169999999999996</v>
      </c>
      <c r="L854" s="169">
        <f t="shared" si="55"/>
        <v>10.433999999999999</v>
      </c>
      <c r="M854" s="169">
        <f t="shared" si="45"/>
        <v>1</v>
      </c>
      <c r="N854" s="169">
        <f t="shared" si="56"/>
        <v>1.5650999999999999</v>
      </c>
      <c r="O854" s="169">
        <f t="shared" si="57"/>
        <v>11.999099999999999</v>
      </c>
      <c r="Z854" s="20"/>
      <c r="AA854" s="20"/>
    </row>
    <row r="855" spans="1:27" x14ac:dyDescent="0.3">
      <c r="A855" s="88">
        <v>852</v>
      </c>
      <c r="B855" s="173">
        <v>625</v>
      </c>
      <c r="C855" s="159"/>
      <c r="D855" s="88" t="s">
        <v>1371</v>
      </c>
      <c r="E855" s="88" t="s">
        <v>743</v>
      </c>
      <c r="F855" s="88" t="s">
        <v>304</v>
      </c>
      <c r="G855" s="88" t="s">
        <v>1334</v>
      </c>
      <c r="H855" s="88">
        <v>300042682300003</v>
      </c>
      <c r="I855" s="88"/>
      <c r="J855" s="49">
        <v>1</v>
      </c>
      <c r="K855" s="49">
        <v>8.94</v>
      </c>
      <c r="L855" s="169">
        <f t="shared" ref="L855:L863" si="58">K855*J855</f>
        <v>8.94</v>
      </c>
      <c r="M855" s="169">
        <f t="shared" si="45"/>
        <v>1</v>
      </c>
      <c r="N855" s="169">
        <f t="shared" si="56"/>
        <v>1.341</v>
      </c>
      <c r="O855" s="169">
        <f t="shared" si="57"/>
        <v>10.280999999999999</v>
      </c>
      <c r="Z855" s="20"/>
      <c r="AA855" s="20"/>
    </row>
    <row r="856" spans="1:27" x14ac:dyDescent="0.3">
      <c r="A856" s="88">
        <v>853</v>
      </c>
      <c r="B856" s="173">
        <v>626</v>
      </c>
      <c r="C856" s="159"/>
      <c r="D856" s="88" t="s">
        <v>1371</v>
      </c>
      <c r="E856" s="88" t="s">
        <v>740</v>
      </c>
      <c r="F856" s="88" t="s">
        <v>1270</v>
      </c>
      <c r="G856" s="88" t="s">
        <v>1334</v>
      </c>
      <c r="H856" s="88">
        <v>300042682300003</v>
      </c>
      <c r="I856" s="88"/>
      <c r="J856" s="49">
        <v>1</v>
      </c>
      <c r="K856" s="49">
        <v>7</v>
      </c>
      <c r="L856" s="169">
        <f t="shared" si="58"/>
        <v>7</v>
      </c>
      <c r="M856" s="169">
        <f t="shared" si="45"/>
        <v>1</v>
      </c>
      <c r="N856" s="169">
        <f t="shared" si="56"/>
        <v>1.05</v>
      </c>
      <c r="O856" s="169">
        <f t="shared" si="57"/>
        <v>8.0500000000000007</v>
      </c>
      <c r="Z856" s="20"/>
      <c r="AA856" s="20"/>
    </row>
    <row r="857" spans="1:27" x14ac:dyDescent="0.3">
      <c r="A857" s="88">
        <v>854</v>
      </c>
      <c r="B857" s="173">
        <v>627</v>
      </c>
      <c r="C857" s="159"/>
      <c r="D857" s="88" t="s">
        <v>1371</v>
      </c>
      <c r="E857" s="88" t="s">
        <v>715</v>
      </c>
      <c r="F857" s="88" t="s">
        <v>1279</v>
      </c>
      <c r="G857" s="88" t="s">
        <v>1280</v>
      </c>
      <c r="H857" s="88">
        <v>300844969700003</v>
      </c>
      <c r="I857" s="88"/>
      <c r="J857" s="49">
        <v>1</v>
      </c>
      <c r="K857" s="49">
        <v>5.22</v>
      </c>
      <c r="L857" s="169">
        <f t="shared" si="58"/>
        <v>5.22</v>
      </c>
      <c r="M857" s="169">
        <f t="shared" si="45"/>
        <v>1</v>
      </c>
      <c r="N857" s="169">
        <f t="shared" si="56"/>
        <v>0.78299999999999992</v>
      </c>
      <c r="O857" s="169">
        <f t="shared" si="57"/>
        <v>6.0030000000000001</v>
      </c>
      <c r="Z857" s="219"/>
      <c r="AA857" s="219"/>
    </row>
    <row r="858" spans="1:27" x14ac:dyDescent="0.3">
      <c r="A858" s="88">
        <v>855</v>
      </c>
      <c r="B858" s="173">
        <v>627</v>
      </c>
      <c r="C858" s="159"/>
      <c r="D858" s="88" t="s">
        <v>1371</v>
      </c>
      <c r="E858" s="175" t="s">
        <v>714</v>
      </c>
      <c r="F858" s="88" t="s">
        <v>1375</v>
      </c>
      <c r="G858" s="88" t="s">
        <v>1280</v>
      </c>
      <c r="H858" s="88">
        <v>300844969700003</v>
      </c>
      <c r="I858" s="88"/>
      <c r="J858" s="49">
        <v>1</v>
      </c>
      <c r="K858" s="49">
        <v>1.74</v>
      </c>
      <c r="L858" s="169">
        <f t="shared" si="58"/>
        <v>1.74</v>
      </c>
      <c r="M858" s="169">
        <f t="shared" si="45"/>
        <v>1</v>
      </c>
      <c r="N858" s="169">
        <f t="shared" si="56"/>
        <v>0.26100000000000001</v>
      </c>
      <c r="O858" s="169">
        <f t="shared" si="57"/>
        <v>2.0009999999999999</v>
      </c>
      <c r="Z858" s="219"/>
      <c r="AA858" s="219"/>
    </row>
    <row r="859" spans="1:27" x14ac:dyDescent="0.3">
      <c r="A859" s="88">
        <v>856</v>
      </c>
      <c r="B859" s="173">
        <v>628</v>
      </c>
      <c r="C859" s="159"/>
      <c r="D859" s="88" t="s">
        <v>1371</v>
      </c>
      <c r="E859" s="88" t="s">
        <v>714</v>
      </c>
      <c r="F859" s="88" t="s">
        <v>1375</v>
      </c>
      <c r="G859" s="88" t="s">
        <v>1280</v>
      </c>
      <c r="H859" s="88">
        <v>300844969700003</v>
      </c>
      <c r="I859" s="88"/>
      <c r="J859" s="49">
        <v>1</v>
      </c>
      <c r="K859" s="49">
        <v>6.96</v>
      </c>
      <c r="L859" s="169">
        <f t="shared" si="58"/>
        <v>6.96</v>
      </c>
      <c r="M859" s="169">
        <f t="shared" si="45"/>
        <v>1</v>
      </c>
      <c r="N859" s="169">
        <f t="shared" si="56"/>
        <v>1.044</v>
      </c>
      <c r="O859" s="169">
        <f t="shared" si="57"/>
        <v>8.0039999999999996</v>
      </c>
      <c r="Z859" s="219"/>
      <c r="AA859" s="219"/>
    </row>
    <row r="860" spans="1:27" x14ac:dyDescent="0.3">
      <c r="A860" s="88">
        <v>857</v>
      </c>
      <c r="B860" s="173">
        <v>629</v>
      </c>
      <c r="C860" s="159"/>
      <c r="D860" s="88" t="s">
        <v>1371</v>
      </c>
      <c r="E860" s="88" t="s">
        <v>715</v>
      </c>
      <c r="F860" s="88" t="s">
        <v>1377</v>
      </c>
      <c r="G860" s="88" t="s">
        <v>1376</v>
      </c>
      <c r="H860" s="88">
        <v>310761710200003</v>
      </c>
      <c r="I860" s="88"/>
      <c r="J860" s="49">
        <v>1</v>
      </c>
      <c r="K860" s="49">
        <v>23.04</v>
      </c>
      <c r="L860" s="169">
        <f t="shared" si="58"/>
        <v>23.04</v>
      </c>
      <c r="M860" s="169">
        <f t="shared" si="45"/>
        <v>1</v>
      </c>
      <c r="N860" s="169">
        <f t="shared" si="56"/>
        <v>3.456</v>
      </c>
      <c r="O860" s="169">
        <f t="shared" si="57"/>
        <v>26.495999999999999</v>
      </c>
      <c r="Z860" s="219"/>
      <c r="AA860" s="219"/>
    </row>
    <row r="861" spans="1:27" x14ac:dyDescent="0.3">
      <c r="A861" s="88">
        <v>858</v>
      </c>
      <c r="B861" s="173">
        <v>630</v>
      </c>
      <c r="C861" s="159"/>
      <c r="D861" s="88" t="s">
        <v>1371</v>
      </c>
      <c r="E861" s="88" t="s">
        <v>715</v>
      </c>
      <c r="F861" s="88" t="s">
        <v>1377</v>
      </c>
      <c r="G861" s="88" t="s">
        <v>1376</v>
      </c>
      <c r="H861" s="88">
        <v>310761710200003</v>
      </c>
      <c r="I861" s="88"/>
      <c r="J861" s="49">
        <v>1</v>
      </c>
      <c r="K861" s="49">
        <v>16.52</v>
      </c>
      <c r="L861" s="169">
        <f t="shared" si="58"/>
        <v>16.52</v>
      </c>
      <c r="M861" s="169">
        <f t="shared" si="45"/>
        <v>1</v>
      </c>
      <c r="N861" s="169">
        <f t="shared" si="56"/>
        <v>2.4779999999999998</v>
      </c>
      <c r="O861" s="169">
        <f t="shared" si="57"/>
        <v>18.997999999999998</v>
      </c>
      <c r="Z861" s="219"/>
      <c r="AA861" s="219"/>
    </row>
    <row r="862" spans="1:27" x14ac:dyDescent="0.3">
      <c r="A862" s="88">
        <v>859</v>
      </c>
      <c r="B862" s="173">
        <v>631</v>
      </c>
      <c r="C862" s="159"/>
      <c r="D862" s="88" t="s">
        <v>1371</v>
      </c>
      <c r="E862" s="88" t="s">
        <v>708</v>
      </c>
      <c r="F862" s="88" t="s">
        <v>1379</v>
      </c>
      <c r="G862" s="88" t="s">
        <v>1378</v>
      </c>
      <c r="H862" s="88">
        <v>300831642700003</v>
      </c>
      <c r="I862" s="88"/>
      <c r="J862" s="49">
        <v>1</v>
      </c>
      <c r="K862" s="49">
        <v>5.22</v>
      </c>
      <c r="L862" s="169">
        <f t="shared" si="58"/>
        <v>5.22</v>
      </c>
      <c r="M862" s="169">
        <f t="shared" si="45"/>
        <v>1</v>
      </c>
      <c r="N862" s="169">
        <f t="shared" si="56"/>
        <v>0.78299999999999992</v>
      </c>
      <c r="O862" s="169">
        <f t="shared" si="57"/>
        <v>6.0030000000000001</v>
      </c>
      <c r="Z862" s="219"/>
      <c r="AA862" s="219"/>
    </row>
    <row r="863" spans="1:27" x14ac:dyDescent="0.3">
      <c r="A863" s="88">
        <v>859</v>
      </c>
      <c r="B863" s="173">
        <v>632</v>
      </c>
      <c r="C863" s="159"/>
      <c r="D863" s="88" t="s">
        <v>1371</v>
      </c>
      <c r="E863" s="88" t="s">
        <v>709</v>
      </c>
      <c r="F863" s="88" t="s">
        <v>577</v>
      </c>
      <c r="G863" s="88" t="s">
        <v>1380</v>
      </c>
      <c r="H863" s="88">
        <v>302206782900003</v>
      </c>
      <c r="I863" s="88"/>
      <c r="J863" s="49">
        <v>1</v>
      </c>
      <c r="K863" s="49">
        <v>258</v>
      </c>
      <c r="L863" s="169">
        <f t="shared" si="58"/>
        <v>258</v>
      </c>
      <c r="M863" s="169">
        <f t="shared" si="45"/>
        <v>1</v>
      </c>
      <c r="N863" s="169">
        <f t="shared" si="56"/>
        <v>38.699999999999996</v>
      </c>
      <c r="O863" s="169">
        <f t="shared" si="57"/>
        <v>296.7</v>
      </c>
      <c r="Z863" s="20"/>
      <c r="AA863" s="20"/>
    </row>
    <row r="864" spans="1:27" x14ac:dyDescent="0.3">
      <c r="A864" s="88">
        <v>859</v>
      </c>
      <c r="B864" s="173">
        <v>633</v>
      </c>
      <c r="C864" s="159"/>
      <c r="D864" s="88" t="s">
        <v>1371</v>
      </c>
      <c r="E864" s="88" t="s">
        <v>714</v>
      </c>
      <c r="F864" s="88" t="s">
        <v>1381</v>
      </c>
      <c r="G864" s="88" t="s">
        <v>1382</v>
      </c>
      <c r="H864" s="88"/>
      <c r="I864" s="88"/>
      <c r="J864" s="49">
        <v>1</v>
      </c>
      <c r="K864" s="49">
        <v>15.95</v>
      </c>
      <c r="L864" s="169">
        <f t="shared" ref="L864:L927" si="59">K864*J864</f>
        <v>15.95</v>
      </c>
      <c r="M864" s="169">
        <f t="shared" si="45"/>
        <v>0</v>
      </c>
      <c r="N864" s="169">
        <f t="shared" si="56"/>
        <v>0</v>
      </c>
      <c r="O864" s="169">
        <f t="shared" ref="O864:O927" si="60">N864+L864</f>
        <v>15.95</v>
      </c>
      <c r="Z864" s="20"/>
      <c r="AA864" s="20"/>
    </row>
    <row r="865" spans="1:27" x14ac:dyDescent="0.3">
      <c r="A865" s="88">
        <v>859</v>
      </c>
      <c r="B865" s="173">
        <v>634</v>
      </c>
      <c r="C865" s="159"/>
      <c r="D865" s="88" t="s">
        <v>1371</v>
      </c>
      <c r="E865" s="88" t="s">
        <v>763</v>
      </c>
      <c r="F865" s="88" t="s">
        <v>1383</v>
      </c>
      <c r="G865" s="88" t="s">
        <v>1384</v>
      </c>
      <c r="H865" s="88">
        <v>302148515600003</v>
      </c>
      <c r="I865" s="88"/>
      <c r="J865" s="49">
        <v>2</v>
      </c>
      <c r="K865" s="49">
        <v>17.390999999999998</v>
      </c>
      <c r="L865" s="169">
        <f t="shared" si="59"/>
        <v>34.781999999999996</v>
      </c>
      <c r="M865" s="169">
        <f t="shared" si="45"/>
        <v>1</v>
      </c>
      <c r="N865" s="169">
        <f t="shared" si="56"/>
        <v>5.2172999999999989</v>
      </c>
      <c r="O865" s="169">
        <f t="shared" si="60"/>
        <v>39.999299999999998</v>
      </c>
      <c r="Z865" s="20"/>
      <c r="AA865" s="20"/>
    </row>
    <row r="866" spans="1:27" x14ac:dyDescent="0.3">
      <c r="A866" s="88">
        <v>859</v>
      </c>
      <c r="B866" s="173">
        <v>635</v>
      </c>
      <c r="C866" s="159"/>
      <c r="D866" s="88" t="s">
        <v>1371</v>
      </c>
      <c r="E866" s="88" t="s">
        <v>763</v>
      </c>
      <c r="F866" s="88" t="s">
        <v>1385</v>
      </c>
      <c r="G866" s="88" t="s">
        <v>1384</v>
      </c>
      <c r="H866" s="88">
        <v>302148515600003</v>
      </c>
      <c r="I866" s="88"/>
      <c r="J866" s="49">
        <v>10</v>
      </c>
      <c r="K866" s="49">
        <v>30.434999999999999</v>
      </c>
      <c r="L866" s="169">
        <f>K866*J866</f>
        <v>304.34999999999997</v>
      </c>
      <c r="M866" s="169">
        <f t="shared" si="45"/>
        <v>1</v>
      </c>
      <c r="N866" s="169">
        <f t="shared" si="56"/>
        <v>45.652499999999996</v>
      </c>
      <c r="O866" s="169">
        <f>N866+L866</f>
        <v>350.00249999999994</v>
      </c>
      <c r="Z866" s="20"/>
      <c r="AA866" s="20"/>
    </row>
    <row r="867" spans="1:27" x14ac:dyDescent="0.3">
      <c r="A867" s="88">
        <v>859</v>
      </c>
      <c r="B867" s="173">
        <v>636</v>
      </c>
      <c r="C867" s="159"/>
      <c r="D867" s="88" t="s">
        <v>1371</v>
      </c>
      <c r="E867" s="88" t="s">
        <v>763</v>
      </c>
      <c r="F867" s="88" t="s">
        <v>1386</v>
      </c>
      <c r="G867" s="88" t="s">
        <v>1384</v>
      </c>
      <c r="H867" s="88">
        <v>302148515600003</v>
      </c>
      <c r="I867" s="88"/>
      <c r="J867" s="49">
        <v>1</v>
      </c>
      <c r="K867" s="49">
        <v>17.390999999999998</v>
      </c>
      <c r="L867" s="169">
        <f t="shared" si="59"/>
        <v>17.390999999999998</v>
      </c>
      <c r="M867" s="169">
        <f t="shared" si="45"/>
        <v>1</v>
      </c>
      <c r="N867" s="169">
        <f t="shared" si="56"/>
        <v>2.6086499999999995</v>
      </c>
      <c r="O867" s="169">
        <f>N867+L867</f>
        <v>19.999649999999999</v>
      </c>
      <c r="Z867" s="20"/>
      <c r="AA867" s="20"/>
    </row>
    <row r="868" spans="1:27" x14ac:dyDescent="0.3">
      <c r="A868" s="88">
        <v>859</v>
      </c>
      <c r="B868" s="173">
        <v>637</v>
      </c>
      <c r="C868" s="159"/>
      <c r="D868" s="88" t="s">
        <v>1371</v>
      </c>
      <c r="E868" s="88" t="s">
        <v>710</v>
      </c>
      <c r="F868" s="88" t="s">
        <v>1387</v>
      </c>
      <c r="G868" s="88" t="s">
        <v>1388</v>
      </c>
      <c r="H868" s="88">
        <v>301332774600003</v>
      </c>
      <c r="I868" s="88"/>
      <c r="J868" s="49">
        <v>37</v>
      </c>
      <c r="K868" s="49">
        <v>1.8804000000000001</v>
      </c>
      <c r="L868" s="169">
        <f>K868*J868</f>
        <v>69.574799999999996</v>
      </c>
      <c r="M868" s="169">
        <f t="shared" si="45"/>
        <v>1</v>
      </c>
      <c r="N868" s="169">
        <f t="shared" si="56"/>
        <v>10.436219999999999</v>
      </c>
      <c r="O868" s="169">
        <f>N868+L868</f>
        <v>80.011020000000002</v>
      </c>
      <c r="Z868" s="20"/>
      <c r="AA868" s="20"/>
    </row>
    <row r="869" spans="1:27" x14ac:dyDescent="0.3">
      <c r="A869" s="88">
        <v>859</v>
      </c>
      <c r="B869" s="173">
        <v>638</v>
      </c>
      <c r="C869" s="159"/>
      <c r="D869" s="88" t="s">
        <v>1371</v>
      </c>
      <c r="E869" s="88" t="s">
        <v>715</v>
      </c>
      <c r="F869" s="88" t="s">
        <v>1390</v>
      </c>
      <c r="G869" s="88" t="s">
        <v>1389</v>
      </c>
      <c r="H869" s="88">
        <v>300048584400003</v>
      </c>
      <c r="I869" s="88"/>
      <c r="J869" s="49">
        <v>1</v>
      </c>
      <c r="K869" s="49">
        <v>13.042999999999999</v>
      </c>
      <c r="L869" s="169">
        <f t="shared" si="59"/>
        <v>13.042999999999999</v>
      </c>
      <c r="M869" s="169">
        <f t="shared" si="45"/>
        <v>1</v>
      </c>
      <c r="N869" s="169">
        <f t="shared" si="56"/>
        <v>1.9564499999999998</v>
      </c>
      <c r="O869" s="169">
        <f t="shared" si="60"/>
        <v>14.99945</v>
      </c>
      <c r="Z869" s="20"/>
      <c r="AA869" s="20"/>
    </row>
    <row r="870" spans="1:27" x14ac:dyDescent="0.3">
      <c r="A870" s="88">
        <v>859</v>
      </c>
      <c r="B870" s="173">
        <v>639</v>
      </c>
      <c r="C870" s="159"/>
      <c r="D870" s="88" t="s">
        <v>1371</v>
      </c>
      <c r="E870" s="88" t="s">
        <v>714</v>
      </c>
      <c r="F870" s="88" t="s">
        <v>1391</v>
      </c>
      <c r="G870" s="88" t="s">
        <v>1389</v>
      </c>
      <c r="H870" s="88">
        <v>300048584400003</v>
      </c>
      <c r="I870" s="88"/>
      <c r="J870" s="49">
        <v>2</v>
      </c>
      <c r="K870" s="49">
        <v>3.0434000000000001</v>
      </c>
      <c r="L870" s="169">
        <f t="shared" si="59"/>
        <v>6.0868000000000002</v>
      </c>
      <c r="M870" s="169">
        <f t="shared" si="45"/>
        <v>1</v>
      </c>
      <c r="N870" s="169">
        <f t="shared" si="56"/>
        <v>0.91301999999999994</v>
      </c>
      <c r="O870" s="169">
        <f t="shared" si="60"/>
        <v>6.9998199999999997</v>
      </c>
      <c r="Z870" s="20"/>
      <c r="AA870" s="20"/>
    </row>
    <row r="871" spans="1:27" x14ac:dyDescent="0.3">
      <c r="A871" s="88">
        <v>859</v>
      </c>
      <c r="B871" s="173">
        <v>640</v>
      </c>
      <c r="C871" s="159"/>
      <c r="D871" s="88" t="s">
        <v>1371</v>
      </c>
      <c r="E871" s="88" t="s">
        <v>714</v>
      </c>
      <c r="F871" s="88" t="s">
        <v>1392</v>
      </c>
      <c r="G871" s="88" t="s">
        <v>1389</v>
      </c>
      <c r="H871" s="88">
        <v>300048584400003</v>
      </c>
      <c r="I871" s="88"/>
      <c r="J871" s="49">
        <v>1</v>
      </c>
      <c r="K871" s="49">
        <v>14.782999999999999</v>
      </c>
      <c r="L871" s="169">
        <f t="shared" si="59"/>
        <v>14.782999999999999</v>
      </c>
      <c r="M871" s="169">
        <f t="shared" si="45"/>
        <v>1</v>
      </c>
      <c r="N871" s="169">
        <f t="shared" si="56"/>
        <v>2.2174499999999999</v>
      </c>
      <c r="O871" s="169">
        <f>N871+L871</f>
        <v>17.000450000000001</v>
      </c>
      <c r="Z871" s="20"/>
      <c r="AA871" s="20"/>
    </row>
    <row r="872" spans="1:27" x14ac:dyDescent="0.3">
      <c r="A872" s="88">
        <v>859</v>
      </c>
      <c r="B872" s="173">
        <v>641</v>
      </c>
      <c r="C872" s="159"/>
      <c r="D872" s="88" t="s">
        <v>1371</v>
      </c>
      <c r="E872" s="88" t="s">
        <v>708</v>
      </c>
      <c r="F872" s="88" t="s">
        <v>1393</v>
      </c>
      <c r="G872" s="88" t="s">
        <v>1389</v>
      </c>
      <c r="H872" s="88">
        <v>300048584400003</v>
      </c>
      <c r="I872" s="88"/>
      <c r="J872" s="49">
        <v>1</v>
      </c>
      <c r="K872" s="49">
        <v>15.651999999999999</v>
      </c>
      <c r="L872" s="169">
        <f t="shared" si="59"/>
        <v>15.651999999999999</v>
      </c>
      <c r="M872" s="169">
        <f t="shared" si="45"/>
        <v>1</v>
      </c>
      <c r="N872" s="169">
        <f t="shared" si="56"/>
        <v>2.3477999999999999</v>
      </c>
      <c r="O872" s="169">
        <f t="shared" si="60"/>
        <v>17.9998</v>
      </c>
      <c r="Z872" s="20"/>
      <c r="AA872" s="20"/>
    </row>
    <row r="873" spans="1:27" x14ac:dyDescent="0.3">
      <c r="A873" s="88">
        <v>859</v>
      </c>
      <c r="B873" s="173">
        <v>642</v>
      </c>
      <c r="C873" s="159"/>
      <c r="D873" s="88" t="s">
        <v>1371</v>
      </c>
      <c r="E873" s="88" t="s">
        <v>740</v>
      </c>
      <c r="F873" s="88" t="s">
        <v>1394</v>
      </c>
      <c r="G873" s="88" t="s">
        <v>1275</v>
      </c>
      <c r="H873" s="88">
        <v>300498479600003</v>
      </c>
      <c r="I873" s="88"/>
      <c r="J873" s="49">
        <v>1</v>
      </c>
      <c r="K873" s="49">
        <v>50</v>
      </c>
      <c r="L873" s="169">
        <f t="shared" si="59"/>
        <v>50</v>
      </c>
      <c r="M873" s="169">
        <f t="shared" si="45"/>
        <v>1</v>
      </c>
      <c r="N873" s="169">
        <f t="shared" si="56"/>
        <v>7.5</v>
      </c>
      <c r="O873" s="169">
        <f t="shared" si="60"/>
        <v>57.5</v>
      </c>
      <c r="Z873" s="20"/>
      <c r="AA873" s="20"/>
    </row>
    <row r="874" spans="1:27" x14ac:dyDescent="0.3">
      <c r="A874" s="88">
        <v>859</v>
      </c>
      <c r="B874" s="173">
        <v>643</v>
      </c>
      <c r="C874" s="159"/>
      <c r="D874" s="88" t="s">
        <v>1371</v>
      </c>
      <c r="E874" s="88" t="s">
        <v>740</v>
      </c>
      <c r="F874" s="88" t="s">
        <v>1394</v>
      </c>
      <c r="G874" s="88" t="s">
        <v>1275</v>
      </c>
      <c r="H874" s="88">
        <v>300498479600003</v>
      </c>
      <c r="I874" s="88"/>
      <c r="J874" s="49">
        <v>1</v>
      </c>
      <c r="K874" s="49">
        <v>5</v>
      </c>
      <c r="L874" s="169">
        <f t="shared" si="59"/>
        <v>5</v>
      </c>
      <c r="M874" s="169">
        <f t="shared" si="45"/>
        <v>1</v>
      </c>
      <c r="N874" s="169">
        <f t="shared" si="56"/>
        <v>0.75</v>
      </c>
      <c r="O874" s="169">
        <f t="shared" si="60"/>
        <v>5.75</v>
      </c>
      <c r="Z874" s="20"/>
      <c r="AA874" s="20"/>
    </row>
    <row r="875" spans="1:27" x14ac:dyDescent="0.3">
      <c r="A875" s="88">
        <v>859</v>
      </c>
      <c r="B875" s="173">
        <v>644</v>
      </c>
      <c r="C875" s="159"/>
      <c r="D875" s="88" t="s">
        <v>1371</v>
      </c>
      <c r="E875" s="88" t="s">
        <v>740</v>
      </c>
      <c r="F875" s="88" t="s">
        <v>1395</v>
      </c>
      <c r="G875" s="88" t="s">
        <v>1275</v>
      </c>
      <c r="H875" s="88">
        <v>300498479600003</v>
      </c>
      <c r="I875" s="88"/>
      <c r="J875" s="49">
        <v>5</v>
      </c>
      <c r="K875" s="49">
        <v>23.24</v>
      </c>
      <c r="L875" s="169">
        <f t="shared" si="59"/>
        <v>116.19999999999999</v>
      </c>
      <c r="M875" s="169">
        <f t="shared" si="45"/>
        <v>1</v>
      </c>
      <c r="N875" s="169">
        <f t="shared" si="56"/>
        <v>17.429999999999996</v>
      </c>
      <c r="O875" s="169">
        <f>N875+L875</f>
        <v>133.63</v>
      </c>
      <c r="Z875" s="20"/>
      <c r="AA875" s="20"/>
    </row>
    <row r="876" spans="1:27" x14ac:dyDescent="0.3">
      <c r="A876" s="88">
        <v>859</v>
      </c>
      <c r="B876" s="173">
        <v>645</v>
      </c>
      <c r="C876" s="159"/>
      <c r="D876" s="88" t="s">
        <v>1371</v>
      </c>
      <c r="E876" s="88" t="s">
        <v>740</v>
      </c>
      <c r="F876" s="88" t="s">
        <v>741</v>
      </c>
      <c r="G876" s="88" t="s">
        <v>1275</v>
      </c>
      <c r="H876" s="88">
        <v>300498479600003</v>
      </c>
      <c r="I876" s="88"/>
      <c r="J876" s="49">
        <v>1</v>
      </c>
      <c r="K876" s="49">
        <v>4</v>
      </c>
      <c r="L876" s="169">
        <f t="shared" si="59"/>
        <v>4</v>
      </c>
      <c r="M876" s="169">
        <f t="shared" si="45"/>
        <v>1</v>
      </c>
      <c r="N876" s="169">
        <f t="shared" si="56"/>
        <v>0.6</v>
      </c>
      <c r="O876" s="169">
        <f t="shared" si="60"/>
        <v>4.5999999999999996</v>
      </c>
      <c r="Z876" s="20"/>
      <c r="AA876" s="20"/>
    </row>
    <row r="877" spans="1:27" x14ac:dyDescent="0.3">
      <c r="A877" s="88">
        <v>859</v>
      </c>
      <c r="B877" s="173">
        <v>646</v>
      </c>
      <c r="C877" s="159"/>
      <c r="D877" s="88" t="s">
        <v>1371</v>
      </c>
      <c r="E877" s="88" t="s">
        <v>789</v>
      </c>
      <c r="F877" s="88" t="s">
        <v>1396</v>
      </c>
      <c r="G877" s="88" t="s">
        <v>1340</v>
      </c>
      <c r="H877" s="88">
        <v>311241254200003</v>
      </c>
      <c r="I877" s="88"/>
      <c r="J877" s="49">
        <v>3</v>
      </c>
      <c r="K877" s="49">
        <v>53</v>
      </c>
      <c r="L877" s="169">
        <f t="shared" si="59"/>
        <v>159</v>
      </c>
      <c r="M877" s="169">
        <f t="shared" si="45"/>
        <v>1</v>
      </c>
      <c r="N877" s="169">
        <f t="shared" si="56"/>
        <v>23.849999999999998</v>
      </c>
      <c r="O877" s="169">
        <f t="shared" si="60"/>
        <v>182.85</v>
      </c>
      <c r="Z877" s="20"/>
      <c r="AA877" s="20"/>
    </row>
    <row r="878" spans="1:27" x14ac:dyDescent="0.3">
      <c r="A878" s="88">
        <v>859</v>
      </c>
      <c r="B878" s="173">
        <v>647</v>
      </c>
      <c r="C878" s="159"/>
      <c r="D878" s="88" t="s">
        <v>1371</v>
      </c>
      <c r="E878" s="88" t="s">
        <v>789</v>
      </c>
      <c r="F878" s="88" t="s">
        <v>1397</v>
      </c>
      <c r="G878" s="88" t="s">
        <v>1340</v>
      </c>
      <c r="H878" s="88">
        <v>311241254200003</v>
      </c>
      <c r="I878" s="88"/>
      <c r="J878" s="49">
        <v>3</v>
      </c>
      <c r="K878" s="49">
        <v>57.390999999999998</v>
      </c>
      <c r="L878" s="169">
        <f t="shared" si="59"/>
        <v>172.173</v>
      </c>
      <c r="M878" s="169">
        <f t="shared" si="45"/>
        <v>1</v>
      </c>
      <c r="N878" s="169">
        <f t="shared" si="56"/>
        <v>25.825949999999999</v>
      </c>
      <c r="O878" s="169">
        <f>N878+L878</f>
        <v>197.99895000000001</v>
      </c>
      <c r="Z878" s="20"/>
      <c r="AA878" s="20"/>
    </row>
    <row r="879" spans="1:27" x14ac:dyDescent="0.3">
      <c r="A879" s="88">
        <v>859</v>
      </c>
      <c r="B879" s="173">
        <v>648</v>
      </c>
      <c r="C879" s="159"/>
      <c r="D879" s="88" t="s">
        <v>1371</v>
      </c>
      <c r="E879" s="88" t="s">
        <v>1090</v>
      </c>
      <c r="F879" s="88" t="s">
        <v>1399</v>
      </c>
      <c r="G879" s="88" t="s">
        <v>1398</v>
      </c>
      <c r="H879" s="88">
        <v>300474138200003</v>
      </c>
      <c r="I879" s="88"/>
      <c r="J879" s="49">
        <v>1</v>
      </c>
      <c r="K879" s="49">
        <v>398.1</v>
      </c>
      <c r="L879" s="169">
        <f t="shared" si="59"/>
        <v>398.1</v>
      </c>
      <c r="M879" s="169">
        <f t="shared" si="45"/>
        <v>1</v>
      </c>
      <c r="N879" s="169">
        <f t="shared" si="56"/>
        <v>59.715000000000003</v>
      </c>
      <c r="O879" s="169">
        <f t="shared" si="60"/>
        <v>457.81500000000005</v>
      </c>
      <c r="Z879" s="20"/>
      <c r="AA879" s="20"/>
    </row>
    <row r="880" spans="1:27" x14ac:dyDescent="0.3">
      <c r="A880" s="88">
        <v>859</v>
      </c>
      <c r="B880" s="173">
        <v>649</v>
      </c>
      <c r="C880" s="159"/>
      <c r="D880" s="88" t="s">
        <v>1371</v>
      </c>
      <c r="E880" s="88" t="s">
        <v>763</v>
      </c>
      <c r="F880" s="88" t="s">
        <v>1218</v>
      </c>
      <c r="G880" s="88" t="s">
        <v>1400</v>
      </c>
      <c r="H880" s="88">
        <v>310193267800003</v>
      </c>
      <c r="I880" s="88"/>
      <c r="J880" s="49">
        <v>1</v>
      </c>
      <c r="K880" s="49">
        <v>121</v>
      </c>
      <c r="L880" s="169">
        <f t="shared" si="59"/>
        <v>121</v>
      </c>
      <c r="M880" s="169">
        <f t="shared" si="45"/>
        <v>1</v>
      </c>
      <c r="N880" s="169">
        <f t="shared" si="56"/>
        <v>18.149999999999999</v>
      </c>
      <c r="O880" s="169">
        <f t="shared" si="60"/>
        <v>139.15</v>
      </c>
      <c r="Z880" s="20"/>
      <c r="AA880" s="20"/>
    </row>
    <row r="881" spans="1:27" x14ac:dyDescent="0.3">
      <c r="A881" s="88">
        <v>859</v>
      </c>
      <c r="B881" s="173">
        <v>650</v>
      </c>
      <c r="C881" s="159"/>
      <c r="D881" s="88" t="s">
        <v>1371</v>
      </c>
      <c r="E881" s="88" t="s">
        <v>763</v>
      </c>
      <c r="F881" s="88" t="s">
        <v>1196</v>
      </c>
      <c r="G881" s="88" t="s">
        <v>1400</v>
      </c>
      <c r="H881" s="88">
        <v>310193267800003</v>
      </c>
      <c r="I881" s="88"/>
      <c r="J881" s="49">
        <v>1</v>
      </c>
      <c r="K881" s="49">
        <v>75</v>
      </c>
      <c r="L881" s="169">
        <f t="shared" si="59"/>
        <v>75</v>
      </c>
      <c r="M881" s="169">
        <f t="shared" si="45"/>
        <v>1</v>
      </c>
      <c r="N881" s="169">
        <f t="shared" si="56"/>
        <v>11.25</v>
      </c>
      <c r="O881" s="169">
        <f t="shared" si="60"/>
        <v>86.25</v>
      </c>
      <c r="Z881" s="20"/>
      <c r="AA881" s="20"/>
    </row>
    <row r="882" spans="1:27" x14ac:dyDescent="0.3">
      <c r="A882" s="88">
        <v>859</v>
      </c>
      <c r="B882" s="173">
        <v>651</v>
      </c>
      <c r="C882" s="159"/>
      <c r="D882" s="88" t="s">
        <v>1371</v>
      </c>
      <c r="E882" s="88" t="s">
        <v>789</v>
      </c>
      <c r="F882" s="88" t="s">
        <v>1401</v>
      </c>
      <c r="G882" s="88" t="s">
        <v>1340</v>
      </c>
      <c r="H882" s="88">
        <v>311241254200003</v>
      </c>
      <c r="I882" s="88"/>
      <c r="J882" s="49">
        <v>1</v>
      </c>
      <c r="K882" s="49">
        <v>58</v>
      </c>
      <c r="L882" s="169">
        <f t="shared" si="59"/>
        <v>58</v>
      </c>
      <c r="M882" s="169">
        <f t="shared" si="45"/>
        <v>1</v>
      </c>
      <c r="N882" s="169">
        <f t="shared" si="56"/>
        <v>8.6999999999999993</v>
      </c>
      <c r="O882" s="169">
        <f t="shared" si="60"/>
        <v>66.7</v>
      </c>
      <c r="Z882" s="20"/>
      <c r="AA882" s="20"/>
    </row>
    <row r="883" spans="1:27" x14ac:dyDescent="0.3">
      <c r="A883" s="88">
        <v>859</v>
      </c>
      <c r="B883" s="173">
        <v>652</v>
      </c>
      <c r="C883" s="159"/>
      <c r="D883" s="88" t="s">
        <v>1371</v>
      </c>
      <c r="E883" s="88" t="s">
        <v>771</v>
      </c>
      <c r="F883" s="88" t="s">
        <v>1403</v>
      </c>
      <c r="G883" s="88" t="s">
        <v>1402</v>
      </c>
      <c r="H883" s="88">
        <v>302065549700003</v>
      </c>
      <c r="I883" s="88"/>
      <c r="J883" s="49">
        <v>1</v>
      </c>
      <c r="K883" s="49">
        <v>290</v>
      </c>
      <c r="L883" s="169">
        <f t="shared" si="59"/>
        <v>290</v>
      </c>
      <c r="M883" s="169">
        <f t="shared" si="45"/>
        <v>1</v>
      </c>
      <c r="N883" s="169">
        <f t="shared" si="56"/>
        <v>43.5</v>
      </c>
      <c r="O883" s="169">
        <f t="shared" si="60"/>
        <v>333.5</v>
      </c>
      <c r="Z883" s="20"/>
      <c r="AA883" s="20"/>
    </row>
    <row r="884" spans="1:27" x14ac:dyDescent="0.3">
      <c r="A884" s="88">
        <v>859</v>
      </c>
      <c r="B884" s="173">
        <v>653</v>
      </c>
      <c r="C884" s="159"/>
      <c r="D884" s="88" t="s">
        <v>1371</v>
      </c>
      <c r="E884" s="88" t="s">
        <v>771</v>
      </c>
      <c r="F884" s="88" t="s">
        <v>1403</v>
      </c>
      <c r="G884" s="88" t="s">
        <v>1402</v>
      </c>
      <c r="H884" s="88">
        <v>302065549700003</v>
      </c>
      <c r="I884" s="88"/>
      <c r="J884" s="49">
        <v>1</v>
      </c>
      <c r="K884" s="49">
        <v>550</v>
      </c>
      <c r="L884" s="169">
        <f t="shared" si="59"/>
        <v>550</v>
      </c>
      <c r="M884" s="169">
        <f t="shared" si="45"/>
        <v>1</v>
      </c>
      <c r="N884" s="169">
        <f t="shared" si="56"/>
        <v>82.5</v>
      </c>
      <c r="O884" s="169">
        <f t="shared" si="60"/>
        <v>632.5</v>
      </c>
      <c r="Z884" s="20"/>
      <c r="AA884" s="20"/>
    </row>
    <row r="885" spans="1:27" x14ac:dyDescent="0.3">
      <c r="A885" s="88">
        <v>859</v>
      </c>
      <c r="B885" s="173">
        <v>654</v>
      </c>
      <c r="C885" s="159"/>
      <c r="D885" s="88" t="s">
        <v>1371</v>
      </c>
      <c r="E885" s="88" t="s">
        <v>771</v>
      </c>
      <c r="F885" s="88" t="s">
        <v>1320</v>
      </c>
      <c r="G885" s="88" t="s">
        <v>1404</v>
      </c>
      <c r="H885" s="88"/>
      <c r="I885" s="88"/>
      <c r="J885" s="49">
        <v>1</v>
      </c>
      <c r="K885" s="49">
        <v>690</v>
      </c>
      <c r="L885" s="169">
        <f t="shared" si="59"/>
        <v>690</v>
      </c>
      <c r="M885" s="169">
        <f t="shared" si="45"/>
        <v>0</v>
      </c>
      <c r="N885" s="169">
        <f t="shared" si="56"/>
        <v>0</v>
      </c>
      <c r="O885" s="169">
        <f t="shared" si="60"/>
        <v>690</v>
      </c>
      <c r="Z885" s="20"/>
      <c r="AA885" s="20"/>
    </row>
    <row r="886" spans="1:27" x14ac:dyDescent="0.3">
      <c r="A886" s="88">
        <v>859</v>
      </c>
      <c r="B886" s="173">
        <v>655</v>
      </c>
      <c r="C886" s="159"/>
      <c r="D886" s="88" t="s">
        <v>1371</v>
      </c>
      <c r="E886" s="88" t="s">
        <v>771</v>
      </c>
      <c r="F886" s="88" t="s">
        <v>1406</v>
      </c>
      <c r="G886" s="88" t="s">
        <v>1405</v>
      </c>
      <c r="H886" s="88">
        <v>310838979200003</v>
      </c>
      <c r="I886" s="88"/>
      <c r="J886" s="49">
        <v>1</v>
      </c>
      <c r="K886" s="49">
        <v>600</v>
      </c>
      <c r="L886" s="169">
        <f t="shared" si="59"/>
        <v>600</v>
      </c>
      <c r="M886" s="169">
        <f t="shared" si="45"/>
        <v>1</v>
      </c>
      <c r="N886" s="169">
        <f t="shared" si="56"/>
        <v>90</v>
      </c>
      <c r="O886" s="169">
        <f t="shared" si="60"/>
        <v>690</v>
      </c>
      <c r="Z886" s="20"/>
      <c r="AA886" s="20"/>
    </row>
    <row r="887" spans="1:27" x14ac:dyDescent="0.3">
      <c r="A887" s="88">
        <v>859</v>
      </c>
      <c r="B887" s="173">
        <v>656</v>
      </c>
      <c r="C887" s="159"/>
      <c r="D887" s="88" t="s">
        <v>512</v>
      </c>
      <c r="E887" s="88" t="s">
        <v>740</v>
      </c>
      <c r="F887" s="88" t="s">
        <v>1270</v>
      </c>
      <c r="G887" s="88" t="s">
        <v>1275</v>
      </c>
      <c r="H887" s="88">
        <v>300498479600003</v>
      </c>
      <c r="I887" s="88"/>
      <c r="J887" s="49">
        <v>5</v>
      </c>
      <c r="K887" s="49">
        <v>1</v>
      </c>
      <c r="L887" s="169">
        <f t="shared" si="59"/>
        <v>5</v>
      </c>
      <c r="M887" s="169">
        <f t="shared" si="45"/>
        <v>1</v>
      </c>
      <c r="N887" s="169">
        <f t="shared" si="56"/>
        <v>0.75</v>
      </c>
      <c r="O887" s="169">
        <f t="shared" si="60"/>
        <v>5.75</v>
      </c>
      <c r="Z887" s="20"/>
      <c r="AA887" s="20"/>
    </row>
    <row r="888" spans="1:27" x14ac:dyDescent="0.3">
      <c r="A888" s="88">
        <v>859</v>
      </c>
      <c r="B888" s="173">
        <v>657</v>
      </c>
      <c r="C888" s="159"/>
      <c r="D888" s="88" t="s">
        <v>512</v>
      </c>
      <c r="E888" s="88" t="s">
        <v>740</v>
      </c>
      <c r="F888" s="88" t="s">
        <v>1270</v>
      </c>
      <c r="G888" s="88" t="s">
        <v>1275</v>
      </c>
      <c r="H888" s="88">
        <v>300498479600003</v>
      </c>
      <c r="I888" s="88"/>
      <c r="J888" s="49">
        <v>6</v>
      </c>
      <c r="K888" s="49">
        <v>1</v>
      </c>
      <c r="L888" s="169">
        <f t="shared" si="59"/>
        <v>6</v>
      </c>
      <c r="M888" s="169">
        <f t="shared" si="45"/>
        <v>1</v>
      </c>
      <c r="N888" s="169">
        <f t="shared" si="56"/>
        <v>0.89999999999999991</v>
      </c>
      <c r="O888" s="169">
        <f t="shared" si="60"/>
        <v>6.9</v>
      </c>
      <c r="Z888" s="20"/>
      <c r="AA888" s="20"/>
    </row>
    <row r="889" spans="1:27" x14ac:dyDescent="0.3">
      <c r="A889" s="88">
        <v>859</v>
      </c>
      <c r="B889" s="173">
        <v>658</v>
      </c>
      <c r="C889" s="159"/>
      <c r="D889" s="88" t="s">
        <v>512</v>
      </c>
      <c r="E889" s="88" t="s">
        <v>740</v>
      </c>
      <c r="F889" s="88" t="s">
        <v>1270</v>
      </c>
      <c r="G889" s="88" t="s">
        <v>1275</v>
      </c>
      <c r="H889" s="88">
        <v>300498479600003</v>
      </c>
      <c r="I889" s="88"/>
      <c r="J889" s="49">
        <v>6</v>
      </c>
      <c r="K889" s="49">
        <v>1</v>
      </c>
      <c r="L889" s="169">
        <f t="shared" si="59"/>
        <v>6</v>
      </c>
      <c r="M889" s="169">
        <f t="shared" si="45"/>
        <v>1</v>
      </c>
      <c r="N889" s="169">
        <f t="shared" si="56"/>
        <v>0.89999999999999991</v>
      </c>
      <c r="O889" s="169">
        <f t="shared" si="60"/>
        <v>6.9</v>
      </c>
      <c r="Z889" s="20"/>
      <c r="AA889" s="20"/>
    </row>
    <row r="890" spans="1:27" x14ac:dyDescent="0.3">
      <c r="A890" s="88">
        <v>859</v>
      </c>
      <c r="B890" s="173">
        <v>659</v>
      </c>
      <c r="C890" s="159"/>
      <c r="D890" s="88" t="s">
        <v>512</v>
      </c>
      <c r="E890" s="88" t="s">
        <v>740</v>
      </c>
      <c r="F890" s="88" t="s">
        <v>1270</v>
      </c>
      <c r="G890" s="88" t="s">
        <v>1275</v>
      </c>
      <c r="H890" s="88">
        <v>300498479600003</v>
      </c>
      <c r="I890" s="88"/>
      <c r="J890" s="49">
        <v>7</v>
      </c>
      <c r="K890" s="49">
        <v>1</v>
      </c>
      <c r="L890" s="169">
        <f t="shared" si="59"/>
        <v>7</v>
      </c>
      <c r="M890" s="169">
        <f t="shared" si="45"/>
        <v>1</v>
      </c>
      <c r="N890" s="169">
        <f t="shared" si="56"/>
        <v>1.05</v>
      </c>
      <c r="O890" s="169">
        <f t="shared" si="60"/>
        <v>8.0500000000000007</v>
      </c>
      <c r="Z890" s="20"/>
      <c r="AA890" s="20"/>
    </row>
    <row r="891" spans="1:27" x14ac:dyDescent="0.3">
      <c r="A891" s="88">
        <v>859</v>
      </c>
      <c r="B891" s="173">
        <v>660</v>
      </c>
      <c r="C891" s="159"/>
      <c r="D891" s="88" t="s">
        <v>512</v>
      </c>
      <c r="E891" s="88" t="s">
        <v>740</v>
      </c>
      <c r="F891" s="88" t="s">
        <v>1270</v>
      </c>
      <c r="G891" s="88" t="s">
        <v>1275</v>
      </c>
      <c r="H891" s="88">
        <v>300498479600003</v>
      </c>
      <c r="I891" s="88"/>
      <c r="J891" s="49">
        <v>6</v>
      </c>
      <c r="K891" s="49">
        <v>1</v>
      </c>
      <c r="L891" s="169">
        <f t="shared" si="59"/>
        <v>6</v>
      </c>
      <c r="M891" s="169">
        <f t="shared" si="45"/>
        <v>1</v>
      </c>
      <c r="N891" s="169">
        <f t="shared" si="56"/>
        <v>0.89999999999999991</v>
      </c>
      <c r="O891" s="169">
        <f t="shared" ref="O891:O905" si="61">N891+L891</f>
        <v>6.9</v>
      </c>
      <c r="Z891" s="20"/>
      <c r="AA891" s="20"/>
    </row>
    <row r="892" spans="1:27" x14ac:dyDescent="0.3">
      <c r="A892" s="88">
        <v>859</v>
      </c>
      <c r="B892" s="173">
        <v>661</v>
      </c>
      <c r="C892" s="159"/>
      <c r="D892" s="88" t="s">
        <v>512</v>
      </c>
      <c r="E892" s="88" t="s">
        <v>740</v>
      </c>
      <c r="F892" s="88" t="s">
        <v>1270</v>
      </c>
      <c r="G892" s="88" t="s">
        <v>1275</v>
      </c>
      <c r="H892" s="88">
        <v>300498479600003</v>
      </c>
      <c r="I892" s="88"/>
      <c r="J892" s="49">
        <v>3</v>
      </c>
      <c r="K892" s="49">
        <v>1</v>
      </c>
      <c r="L892" s="169">
        <f t="shared" si="59"/>
        <v>3</v>
      </c>
      <c r="M892" s="169">
        <f t="shared" si="45"/>
        <v>1</v>
      </c>
      <c r="N892" s="169">
        <f t="shared" si="56"/>
        <v>0.44999999999999996</v>
      </c>
      <c r="O892" s="169">
        <f t="shared" si="61"/>
        <v>3.45</v>
      </c>
      <c r="Z892" s="20"/>
      <c r="AA892" s="20"/>
    </row>
    <row r="893" spans="1:27" x14ac:dyDescent="0.3">
      <c r="A893" s="88">
        <v>859</v>
      </c>
      <c r="B893" s="173">
        <v>662</v>
      </c>
      <c r="C893" s="159"/>
      <c r="D893" s="88" t="s">
        <v>512</v>
      </c>
      <c r="E893" s="88" t="s">
        <v>740</v>
      </c>
      <c r="F893" s="88" t="s">
        <v>1270</v>
      </c>
      <c r="G893" s="88" t="s">
        <v>1275</v>
      </c>
      <c r="H893" s="88">
        <v>300498479600003</v>
      </c>
      <c r="I893" s="88"/>
      <c r="J893" s="49">
        <v>5</v>
      </c>
      <c r="K893" s="49">
        <v>1</v>
      </c>
      <c r="L893" s="169">
        <f t="shared" si="59"/>
        <v>5</v>
      </c>
      <c r="M893" s="169">
        <f t="shared" si="45"/>
        <v>1</v>
      </c>
      <c r="N893" s="169">
        <f t="shared" si="56"/>
        <v>0.75</v>
      </c>
      <c r="O893" s="169">
        <f t="shared" si="61"/>
        <v>5.75</v>
      </c>
      <c r="Z893" s="20"/>
      <c r="AA893" s="20"/>
    </row>
    <row r="894" spans="1:27" x14ac:dyDescent="0.3">
      <c r="A894" s="88">
        <v>859</v>
      </c>
      <c r="B894" s="173">
        <v>663</v>
      </c>
      <c r="C894" s="159"/>
      <c r="D894" s="88" t="s">
        <v>512</v>
      </c>
      <c r="E894" s="88" t="s">
        <v>740</v>
      </c>
      <c r="F894" s="88" t="s">
        <v>1270</v>
      </c>
      <c r="G894" s="88" t="s">
        <v>1275</v>
      </c>
      <c r="H894" s="88">
        <v>300498479600003</v>
      </c>
      <c r="I894" s="88"/>
      <c r="J894" s="49">
        <v>6</v>
      </c>
      <c r="K894" s="49">
        <v>1</v>
      </c>
      <c r="L894" s="169">
        <f t="shared" si="59"/>
        <v>6</v>
      </c>
      <c r="M894" s="169">
        <f t="shared" si="45"/>
        <v>1</v>
      </c>
      <c r="N894" s="169">
        <f t="shared" si="56"/>
        <v>0.89999999999999991</v>
      </c>
      <c r="O894" s="169">
        <f t="shared" si="61"/>
        <v>6.9</v>
      </c>
      <c r="Z894" s="20"/>
      <c r="AA894" s="20"/>
    </row>
    <row r="895" spans="1:27" x14ac:dyDescent="0.3">
      <c r="A895" s="88">
        <v>859</v>
      </c>
      <c r="B895" s="173">
        <v>664</v>
      </c>
      <c r="C895" s="159"/>
      <c r="D895" s="88" t="s">
        <v>512</v>
      </c>
      <c r="E895" s="88" t="s">
        <v>740</v>
      </c>
      <c r="F895" s="88" t="s">
        <v>1270</v>
      </c>
      <c r="G895" s="88" t="s">
        <v>1275</v>
      </c>
      <c r="H895" s="88">
        <v>300498479600003</v>
      </c>
      <c r="I895" s="88"/>
      <c r="J895" s="49">
        <v>5</v>
      </c>
      <c r="K895" s="49">
        <v>1</v>
      </c>
      <c r="L895" s="169">
        <f t="shared" si="59"/>
        <v>5</v>
      </c>
      <c r="M895" s="169">
        <f t="shared" si="45"/>
        <v>1</v>
      </c>
      <c r="N895" s="169">
        <f t="shared" si="56"/>
        <v>0.75</v>
      </c>
      <c r="O895" s="169">
        <f t="shared" si="61"/>
        <v>5.75</v>
      </c>
      <c r="Z895" s="20"/>
      <c r="AA895" s="20"/>
    </row>
    <row r="896" spans="1:27" x14ac:dyDescent="0.3">
      <c r="A896" s="88">
        <v>859</v>
      </c>
      <c r="B896" s="173">
        <v>665</v>
      </c>
      <c r="C896" s="159"/>
      <c r="D896" s="88" t="s">
        <v>512</v>
      </c>
      <c r="E896" s="88" t="s">
        <v>740</v>
      </c>
      <c r="F896" s="88" t="s">
        <v>1270</v>
      </c>
      <c r="G896" s="88" t="s">
        <v>1275</v>
      </c>
      <c r="H896" s="88">
        <v>300498479600003</v>
      </c>
      <c r="I896" s="88"/>
      <c r="J896" s="49">
        <v>6</v>
      </c>
      <c r="K896" s="49">
        <v>1</v>
      </c>
      <c r="L896" s="169">
        <f t="shared" si="59"/>
        <v>6</v>
      </c>
      <c r="M896" s="169">
        <f t="shared" si="45"/>
        <v>1</v>
      </c>
      <c r="N896" s="169">
        <f t="shared" si="56"/>
        <v>0.89999999999999991</v>
      </c>
      <c r="O896" s="169">
        <f t="shared" si="61"/>
        <v>6.9</v>
      </c>
      <c r="Z896" s="20"/>
      <c r="AA896" s="20"/>
    </row>
    <row r="897" spans="1:27" x14ac:dyDescent="0.3">
      <c r="A897" s="88">
        <v>859</v>
      </c>
      <c r="B897" s="173">
        <v>666</v>
      </c>
      <c r="C897" s="159"/>
      <c r="D897" s="88" t="s">
        <v>512</v>
      </c>
      <c r="E897" s="88" t="s">
        <v>740</v>
      </c>
      <c r="F897" s="88" t="s">
        <v>1270</v>
      </c>
      <c r="G897" s="88" t="s">
        <v>1275</v>
      </c>
      <c r="H897" s="88">
        <v>300498479600003</v>
      </c>
      <c r="I897" s="88"/>
      <c r="J897" s="49">
        <v>6</v>
      </c>
      <c r="K897" s="49">
        <v>1</v>
      </c>
      <c r="L897" s="169">
        <f t="shared" si="59"/>
        <v>6</v>
      </c>
      <c r="M897" s="169">
        <f t="shared" si="45"/>
        <v>1</v>
      </c>
      <c r="N897" s="169">
        <f t="shared" si="56"/>
        <v>0.89999999999999991</v>
      </c>
      <c r="O897" s="169">
        <f t="shared" si="61"/>
        <v>6.9</v>
      </c>
      <c r="Z897" s="20"/>
      <c r="AA897" s="20"/>
    </row>
    <row r="898" spans="1:27" x14ac:dyDescent="0.3">
      <c r="A898" s="88">
        <v>859</v>
      </c>
      <c r="B898" s="173">
        <v>667</v>
      </c>
      <c r="C898" s="159"/>
      <c r="D898" s="88" t="s">
        <v>512</v>
      </c>
      <c r="E898" s="88" t="s">
        <v>740</v>
      </c>
      <c r="F898" s="88" t="s">
        <v>1270</v>
      </c>
      <c r="G898" s="88" t="s">
        <v>1275</v>
      </c>
      <c r="H898" s="88">
        <v>300498479600003</v>
      </c>
      <c r="I898" s="88"/>
      <c r="J898" s="49">
        <v>7</v>
      </c>
      <c r="K898" s="49">
        <v>1</v>
      </c>
      <c r="L898" s="169">
        <f t="shared" si="59"/>
        <v>7</v>
      </c>
      <c r="M898" s="169">
        <f t="shared" si="45"/>
        <v>1</v>
      </c>
      <c r="N898" s="169">
        <f t="shared" si="56"/>
        <v>1.05</v>
      </c>
      <c r="O898" s="169">
        <f t="shared" si="61"/>
        <v>8.0500000000000007</v>
      </c>
      <c r="Z898" s="20"/>
      <c r="AA898" s="20"/>
    </row>
    <row r="899" spans="1:27" x14ac:dyDescent="0.3">
      <c r="A899" s="88">
        <v>859</v>
      </c>
      <c r="B899" s="173">
        <v>668</v>
      </c>
      <c r="C899" s="159"/>
      <c r="D899" s="88" t="s">
        <v>512</v>
      </c>
      <c r="E899" s="88" t="s">
        <v>740</v>
      </c>
      <c r="F899" s="88" t="s">
        <v>1270</v>
      </c>
      <c r="G899" s="88" t="s">
        <v>1275</v>
      </c>
      <c r="H899" s="88">
        <v>300498479600003</v>
      </c>
      <c r="I899" s="88"/>
      <c r="J899" s="49">
        <v>7</v>
      </c>
      <c r="K899" s="49">
        <v>1</v>
      </c>
      <c r="L899" s="169">
        <f t="shared" si="59"/>
        <v>7</v>
      </c>
      <c r="M899" s="169">
        <f t="shared" si="45"/>
        <v>1</v>
      </c>
      <c r="N899" s="169">
        <f t="shared" si="56"/>
        <v>1.05</v>
      </c>
      <c r="O899" s="169">
        <f t="shared" si="61"/>
        <v>8.0500000000000007</v>
      </c>
      <c r="Z899" s="20"/>
      <c r="AA899" s="20"/>
    </row>
    <row r="900" spans="1:27" x14ac:dyDescent="0.3">
      <c r="A900" s="88">
        <v>859</v>
      </c>
      <c r="B900" s="173">
        <v>669</v>
      </c>
      <c r="C900" s="159"/>
      <c r="D900" s="88" t="s">
        <v>512</v>
      </c>
      <c r="E900" s="88" t="s">
        <v>740</v>
      </c>
      <c r="F900" s="88" t="s">
        <v>1270</v>
      </c>
      <c r="G900" s="88" t="s">
        <v>1275</v>
      </c>
      <c r="H900" s="88">
        <v>300498479600003</v>
      </c>
      <c r="I900" s="88"/>
      <c r="J900" s="49">
        <v>5</v>
      </c>
      <c r="K900" s="49">
        <v>1</v>
      </c>
      <c r="L900" s="169">
        <f t="shared" si="59"/>
        <v>5</v>
      </c>
      <c r="M900" s="169">
        <f t="shared" si="45"/>
        <v>1</v>
      </c>
      <c r="N900" s="169">
        <f t="shared" si="56"/>
        <v>0.75</v>
      </c>
      <c r="O900" s="169">
        <f t="shared" si="61"/>
        <v>5.75</v>
      </c>
      <c r="Z900" s="20"/>
      <c r="AA900" s="20"/>
    </row>
    <row r="901" spans="1:27" x14ac:dyDescent="0.3">
      <c r="A901" s="88">
        <v>859</v>
      </c>
      <c r="B901" s="173">
        <v>670</v>
      </c>
      <c r="C901" s="159"/>
      <c r="D901" s="88" t="s">
        <v>512</v>
      </c>
      <c r="E901" s="88" t="s">
        <v>740</v>
      </c>
      <c r="F901" s="88" t="s">
        <v>1270</v>
      </c>
      <c r="G901" s="88" t="s">
        <v>1275</v>
      </c>
      <c r="H901" s="88">
        <v>300498479600003</v>
      </c>
      <c r="I901" s="88"/>
      <c r="J901" s="49">
        <v>4</v>
      </c>
      <c r="K901" s="49">
        <v>1</v>
      </c>
      <c r="L901" s="169">
        <f t="shared" si="59"/>
        <v>4</v>
      </c>
      <c r="M901" s="169">
        <f t="shared" si="45"/>
        <v>1</v>
      </c>
      <c r="N901" s="169">
        <f t="shared" si="56"/>
        <v>0.6</v>
      </c>
      <c r="O901" s="169">
        <f t="shared" si="61"/>
        <v>4.5999999999999996</v>
      </c>
      <c r="Z901" s="20"/>
      <c r="AA901" s="20"/>
    </row>
    <row r="902" spans="1:27" x14ac:dyDescent="0.3">
      <c r="A902" s="88">
        <v>859</v>
      </c>
      <c r="B902" s="173">
        <v>671</v>
      </c>
      <c r="C902" s="159"/>
      <c r="D902" s="88" t="s">
        <v>512</v>
      </c>
      <c r="E902" s="88" t="s">
        <v>740</v>
      </c>
      <c r="F902" s="88" t="s">
        <v>1270</v>
      </c>
      <c r="G902" s="88" t="s">
        <v>1275</v>
      </c>
      <c r="H902" s="88">
        <v>300498479600003</v>
      </c>
      <c r="I902" s="88"/>
      <c r="J902" s="49">
        <v>4</v>
      </c>
      <c r="K902" s="49">
        <v>1</v>
      </c>
      <c r="L902" s="169">
        <f t="shared" si="59"/>
        <v>4</v>
      </c>
      <c r="M902" s="169">
        <f t="shared" si="45"/>
        <v>1</v>
      </c>
      <c r="N902" s="169">
        <f t="shared" si="56"/>
        <v>0.6</v>
      </c>
      <c r="O902" s="169">
        <f t="shared" si="61"/>
        <v>4.5999999999999996</v>
      </c>
      <c r="Z902" s="20"/>
      <c r="AA902" s="20"/>
    </row>
    <row r="903" spans="1:27" x14ac:dyDescent="0.3">
      <c r="A903" s="88">
        <v>859</v>
      </c>
      <c r="B903" s="173">
        <v>672</v>
      </c>
      <c r="C903" s="159"/>
      <c r="D903" s="88" t="s">
        <v>512</v>
      </c>
      <c r="E903" s="88" t="s">
        <v>740</v>
      </c>
      <c r="F903" s="88" t="s">
        <v>1270</v>
      </c>
      <c r="G903" s="88" t="s">
        <v>1275</v>
      </c>
      <c r="H903" s="88">
        <v>300498479600003</v>
      </c>
      <c r="I903" s="88"/>
      <c r="J903" s="49">
        <v>3</v>
      </c>
      <c r="K903" s="49">
        <v>1.3</v>
      </c>
      <c r="L903" s="169">
        <f t="shared" si="59"/>
        <v>3.9000000000000004</v>
      </c>
      <c r="M903" s="169">
        <f t="shared" si="45"/>
        <v>1</v>
      </c>
      <c r="N903" s="169">
        <f t="shared" si="56"/>
        <v>0.58500000000000008</v>
      </c>
      <c r="O903" s="169">
        <f t="shared" si="61"/>
        <v>4.4850000000000003</v>
      </c>
      <c r="Z903" s="20"/>
      <c r="AA903" s="20"/>
    </row>
    <row r="904" spans="1:27" x14ac:dyDescent="0.3">
      <c r="A904" s="88">
        <v>859</v>
      </c>
      <c r="B904" s="173">
        <v>673</v>
      </c>
      <c r="C904" s="159"/>
      <c r="D904" s="88" t="s">
        <v>512</v>
      </c>
      <c r="E904" s="88" t="s">
        <v>740</v>
      </c>
      <c r="F904" s="88" t="s">
        <v>1270</v>
      </c>
      <c r="G904" s="88" t="s">
        <v>1275</v>
      </c>
      <c r="H904" s="88">
        <v>300498479600003</v>
      </c>
      <c r="I904" s="88"/>
      <c r="J904" s="49">
        <v>2</v>
      </c>
      <c r="K904" s="49">
        <v>1.3</v>
      </c>
      <c r="L904" s="169">
        <f t="shared" si="59"/>
        <v>2.6</v>
      </c>
      <c r="M904" s="169">
        <f t="shared" si="45"/>
        <v>1</v>
      </c>
      <c r="N904" s="169">
        <f t="shared" si="56"/>
        <v>0.39</v>
      </c>
      <c r="O904" s="169">
        <f t="shared" si="61"/>
        <v>2.99</v>
      </c>
      <c r="Z904" s="20"/>
      <c r="AA904" s="20"/>
    </row>
    <row r="905" spans="1:27" x14ac:dyDescent="0.3">
      <c r="A905" s="88">
        <v>859</v>
      </c>
      <c r="B905" s="173">
        <v>674</v>
      </c>
      <c r="C905" s="159"/>
      <c r="D905" s="88" t="s">
        <v>512</v>
      </c>
      <c r="E905" s="88" t="s">
        <v>740</v>
      </c>
      <c r="F905" s="88" t="s">
        <v>1270</v>
      </c>
      <c r="G905" s="88" t="s">
        <v>1275</v>
      </c>
      <c r="H905" s="88">
        <v>300498479600003</v>
      </c>
      <c r="I905" s="88"/>
      <c r="J905" s="49">
        <v>3</v>
      </c>
      <c r="K905" s="49">
        <v>1.3</v>
      </c>
      <c r="L905" s="169">
        <f t="shared" si="59"/>
        <v>3.9000000000000004</v>
      </c>
      <c r="M905" s="169">
        <f t="shared" si="45"/>
        <v>1</v>
      </c>
      <c r="N905" s="169">
        <f t="shared" si="56"/>
        <v>0.58500000000000008</v>
      </c>
      <c r="O905" s="169">
        <f t="shared" si="61"/>
        <v>4.4850000000000003</v>
      </c>
      <c r="Z905" s="20"/>
      <c r="AA905" s="20"/>
    </row>
    <row r="906" spans="1:27" x14ac:dyDescent="0.3">
      <c r="A906" s="88">
        <v>859</v>
      </c>
      <c r="B906" s="173">
        <v>675</v>
      </c>
      <c r="C906" s="159"/>
      <c r="D906" s="88" t="s">
        <v>512</v>
      </c>
      <c r="E906" s="88" t="s">
        <v>740</v>
      </c>
      <c r="F906" s="88" t="s">
        <v>1270</v>
      </c>
      <c r="G906" s="88" t="s">
        <v>1275</v>
      </c>
      <c r="H906" s="88">
        <v>300498479600003</v>
      </c>
      <c r="I906" s="88"/>
      <c r="J906" s="49">
        <v>3</v>
      </c>
      <c r="K906" s="49">
        <v>1.3</v>
      </c>
      <c r="L906" s="169">
        <f t="shared" si="59"/>
        <v>3.9000000000000004</v>
      </c>
      <c r="M906" s="169">
        <f t="shared" si="45"/>
        <v>1</v>
      </c>
      <c r="N906" s="169">
        <f t="shared" si="56"/>
        <v>0.58500000000000008</v>
      </c>
      <c r="O906" s="169">
        <f t="shared" si="60"/>
        <v>4.4850000000000003</v>
      </c>
      <c r="Z906" s="20"/>
      <c r="AA906" s="20"/>
    </row>
    <row r="907" spans="1:27" x14ac:dyDescent="0.3">
      <c r="A907" s="88">
        <v>859</v>
      </c>
      <c r="B907" s="173">
        <v>676</v>
      </c>
      <c r="C907" s="159"/>
      <c r="D907" s="88" t="s">
        <v>512</v>
      </c>
      <c r="E907" s="88" t="s">
        <v>715</v>
      </c>
      <c r="F907" s="88" t="s">
        <v>1279</v>
      </c>
      <c r="G907" s="88" t="s">
        <v>1326</v>
      </c>
      <c r="H907" s="88">
        <v>311172172500003</v>
      </c>
      <c r="I907" s="88"/>
      <c r="J907" s="49">
        <v>1</v>
      </c>
      <c r="K907" s="49">
        <v>5.22</v>
      </c>
      <c r="L907" s="169">
        <f t="shared" si="59"/>
        <v>5.22</v>
      </c>
      <c r="M907" s="169">
        <f t="shared" si="45"/>
        <v>1</v>
      </c>
      <c r="N907" s="169">
        <f t="shared" si="56"/>
        <v>0.78299999999999992</v>
      </c>
      <c r="O907" s="169">
        <f t="shared" si="60"/>
        <v>6.0030000000000001</v>
      </c>
      <c r="Z907" s="20"/>
      <c r="AA907" s="20"/>
    </row>
    <row r="908" spans="1:27" x14ac:dyDescent="0.3">
      <c r="A908" s="88">
        <v>859</v>
      </c>
      <c r="B908" s="173">
        <v>677</v>
      </c>
      <c r="C908" s="159"/>
      <c r="D908" s="88" t="s">
        <v>512</v>
      </c>
      <c r="E908" s="88" t="s">
        <v>715</v>
      </c>
      <c r="F908" s="88" t="s">
        <v>1279</v>
      </c>
      <c r="G908" s="88" t="s">
        <v>1326</v>
      </c>
      <c r="H908" s="88">
        <v>311172172500003</v>
      </c>
      <c r="I908" s="88"/>
      <c r="J908" s="49">
        <v>1</v>
      </c>
      <c r="K908" s="49">
        <v>5.22</v>
      </c>
      <c r="L908" s="169">
        <f t="shared" si="59"/>
        <v>5.22</v>
      </c>
      <c r="M908" s="169">
        <f t="shared" si="45"/>
        <v>1</v>
      </c>
      <c r="N908" s="169">
        <f t="shared" si="56"/>
        <v>0.78299999999999992</v>
      </c>
      <c r="O908" s="169">
        <f t="shared" si="60"/>
        <v>6.0030000000000001</v>
      </c>
      <c r="Z908" s="20"/>
      <c r="AA908" s="20"/>
    </row>
    <row r="909" spans="1:27" x14ac:dyDescent="0.3">
      <c r="A909" s="88">
        <v>859</v>
      </c>
      <c r="B909" s="173">
        <v>678</v>
      </c>
      <c r="C909" s="159"/>
      <c r="D909" s="88" t="s">
        <v>512</v>
      </c>
      <c r="E909" s="88" t="s">
        <v>715</v>
      </c>
      <c r="F909" s="88" t="s">
        <v>1279</v>
      </c>
      <c r="G909" s="88" t="s">
        <v>1326</v>
      </c>
      <c r="H909" s="88">
        <v>311172172500003</v>
      </c>
      <c r="I909" s="88"/>
      <c r="J909" s="49">
        <v>1</v>
      </c>
      <c r="K909" s="49">
        <v>5.22</v>
      </c>
      <c r="L909" s="169">
        <f t="shared" si="59"/>
        <v>5.22</v>
      </c>
      <c r="M909" s="169">
        <f t="shared" si="45"/>
        <v>1</v>
      </c>
      <c r="N909" s="169">
        <f t="shared" si="56"/>
        <v>0.78299999999999992</v>
      </c>
      <c r="O909" s="169">
        <f t="shared" si="60"/>
        <v>6.0030000000000001</v>
      </c>
      <c r="Z909" s="20"/>
      <c r="AA909" s="20"/>
    </row>
    <row r="910" spans="1:27" x14ac:dyDescent="0.3">
      <c r="A910" s="88">
        <v>859</v>
      </c>
      <c r="B910" s="173">
        <v>679</v>
      </c>
      <c r="C910" s="159"/>
      <c r="D910" s="88" t="s">
        <v>512</v>
      </c>
      <c r="E910" s="88" t="s">
        <v>715</v>
      </c>
      <c r="F910" s="88" t="s">
        <v>1279</v>
      </c>
      <c r="G910" s="88" t="s">
        <v>1326</v>
      </c>
      <c r="H910" s="88">
        <v>311172172500003</v>
      </c>
      <c r="I910" s="88"/>
      <c r="J910" s="49">
        <v>1</v>
      </c>
      <c r="K910" s="49">
        <v>5.22</v>
      </c>
      <c r="L910" s="169">
        <f t="shared" si="59"/>
        <v>5.22</v>
      </c>
      <c r="M910" s="169">
        <f t="shared" si="45"/>
        <v>1</v>
      </c>
      <c r="N910" s="169">
        <f t="shared" si="56"/>
        <v>0.78299999999999992</v>
      </c>
      <c r="O910" s="169">
        <f t="shared" si="60"/>
        <v>6.0030000000000001</v>
      </c>
      <c r="Z910" s="20"/>
      <c r="AA910" s="20"/>
    </row>
    <row r="911" spans="1:27" x14ac:dyDescent="0.3">
      <c r="A911" s="88">
        <v>859</v>
      </c>
      <c r="B911" s="173">
        <v>680</v>
      </c>
      <c r="C911" s="159"/>
      <c r="D911" s="88" t="s">
        <v>512</v>
      </c>
      <c r="E911" s="88" t="s">
        <v>715</v>
      </c>
      <c r="F911" s="88" t="s">
        <v>1279</v>
      </c>
      <c r="G911" s="88" t="s">
        <v>1326</v>
      </c>
      <c r="H911" s="88">
        <v>311172172500003</v>
      </c>
      <c r="I911" s="88"/>
      <c r="J911" s="49">
        <v>1</v>
      </c>
      <c r="K911" s="49">
        <v>5.22</v>
      </c>
      <c r="L911" s="169">
        <f t="shared" si="59"/>
        <v>5.22</v>
      </c>
      <c r="M911" s="169">
        <f t="shared" si="45"/>
        <v>1</v>
      </c>
      <c r="N911" s="169">
        <f t="shared" si="56"/>
        <v>0.78299999999999992</v>
      </c>
      <c r="O911" s="169">
        <f t="shared" si="60"/>
        <v>6.0030000000000001</v>
      </c>
      <c r="Z911" s="20"/>
      <c r="AA911" s="20"/>
    </row>
    <row r="912" spans="1:27" x14ac:dyDescent="0.3">
      <c r="A912" s="88">
        <v>859</v>
      </c>
      <c r="B912" s="173">
        <v>681</v>
      </c>
      <c r="C912" s="159"/>
      <c r="D912" s="88" t="s">
        <v>512</v>
      </c>
      <c r="E912" s="88" t="s">
        <v>715</v>
      </c>
      <c r="F912" s="88" t="s">
        <v>1279</v>
      </c>
      <c r="G912" s="88" t="s">
        <v>1326</v>
      </c>
      <c r="H912" s="88">
        <v>311172172500003</v>
      </c>
      <c r="I912" s="88"/>
      <c r="J912" s="49">
        <v>1</v>
      </c>
      <c r="K912" s="49">
        <v>5.22</v>
      </c>
      <c r="L912" s="169">
        <f t="shared" si="59"/>
        <v>5.22</v>
      </c>
      <c r="M912" s="169">
        <f t="shared" si="45"/>
        <v>1</v>
      </c>
      <c r="N912" s="169">
        <f t="shared" si="56"/>
        <v>0.78299999999999992</v>
      </c>
      <c r="O912" s="169">
        <f t="shared" si="60"/>
        <v>6.0030000000000001</v>
      </c>
      <c r="Z912" s="20"/>
      <c r="AA912" s="20"/>
    </row>
    <row r="913" spans="1:27" x14ac:dyDescent="0.3">
      <c r="A913" s="88">
        <v>859</v>
      </c>
      <c r="B913" s="173">
        <v>682</v>
      </c>
      <c r="C913" s="159"/>
      <c r="D913" s="88" t="s">
        <v>512</v>
      </c>
      <c r="E913" s="88" t="s">
        <v>715</v>
      </c>
      <c r="F913" s="88" t="s">
        <v>1279</v>
      </c>
      <c r="G913" s="88" t="s">
        <v>1326</v>
      </c>
      <c r="H913" s="88">
        <v>311172172500003</v>
      </c>
      <c r="I913" s="88"/>
      <c r="J913" s="49">
        <v>1</v>
      </c>
      <c r="K913" s="49">
        <v>5.22</v>
      </c>
      <c r="L913" s="169">
        <f t="shared" si="59"/>
        <v>5.22</v>
      </c>
      <c r="M913" s="169">
        <f t="shared" si="45"/>
        <v>1</v>
      </c>
      <c r="N913" s="169">
        <f t="shared" si="56"/>
        <v>0.78299999999999992</v>
      </c>
      <c r="O913" s="169">
        <f t="shared" si="60"/>
        <v>6.0030000000000001</v>
      </c>
      <c r="Z913" s="20"/>
      <c r="AA913" s="20"/>
    </row>
    <row r="914" spans="1:27" x14ac:dyDescent="0.3">
      <c r="A914" s="88">
        <v>859</v>
      </c>
      <c r="B914" s="173">
        <v>683</v>
      </c>
      <c r="C914" s="159"/>
      <c r="D914" s="88" t="s">
        <v>512</v>
      </c>
      <c r="E914" s="88" t="s">
        <v>715</v>
      </c>
      <c r="F914" s="88" t="s">
        <v>1279</v>
      </c>
      <c r="G914" s="88" t="s">
        <v>1326</v>
      </c>
      <c r="H914" s="88">
        <v>311172172500003</v>
      </c>
      <c r="I914" s="88"/>
      <c r="J914" s="49">
        <v>1</v>
      </c>
      <c r="K914" s="49">
        <v>5.22</v>
      </c>
      <c r="L914" s="169">
        <f t="shared" si="59"/>
        <v>5.22</v>
      </c>
      <c r="M914" s="169">
        <f t="shared" si="45"/>
        <v>1</v>
      </c>
      <c r="N914" s="169">
        <f t="shared" si="56"/>
        <v>0.78299999999999992</v>
      </c>
      <c r="O914" s="169">
        <f t="shared" si="60"/>
        <v>6.0030000000000001</v>
      </c>
      <c r="Z914" s="20"/>
      <c r="AA914" s="20"/>
    </row>
    <row r="915" spans="1:27" x14ac:dyDescent="0.3">
      <c r="A915" s="88">
        <v>859</v>
      </c>
      <c r="B915" s="173">
        <v>684</v>
      </c>
      <c r="C915" s="159"/>
      <c r="D915" s="88" t="s">
        <v>512</v>
      </c>
      <c r="E915" s="88" t="s">
        <v>715</v>
      </c>
      <c r="F915" s="88" t="s">
        <v>1279</v>
      </c>
      <c r="G915" s="88" t="s">
        <v>1280</v>
      </c>
      <c r="H915" s="88">
        <v>300844969700003</v>
      </c>
      <c r="I915" s="88"/>
      <c r="J915" s="49">
        <v>1</v>
      </c>
      <c r="K915" s="49">
        <v>5.22</v>
      </c>
      <c r="L915" s="169">
        <f t="shared" si="59"/>
        <v>5.22</v>
      </c>
      <c r="M915" s="169">
        <f t="shared" si="45"/>
        <v>1</v>
      </c>
      <c r="N915" s="169">
        <f t="shared" si="56"/>
        <v>0.78299999999999992</v>
      </c>
      <c r="O915" s="169">
        <f t="shared" si="60"/>
        <v>6.0030000000000001</v>
      </c>
      <c r="Z915" s="20"/>
      <c r="AA915" s="20"/>
    </row>
    <row r="916" spans="1:27" x14ac:dyDescent="0.3">
      <c r="A916" s="88">
        <v>859</v>
      </c>
      <c r="B916" s="173">
        <v>685</v>
      </c>
      <c r="C916" s="159"/>
      <c r="D916" s="88" t="s">
        <v>512</v>
      </c>
      <c r="E916" s="88" t="s">
        <v>715</v>
      </c>
      <c r="F916" s="88" t="s">
        <v>1279</v>
      </c>
      <c r="G916" s="88" t="s">
        <v>1280</v>
      </c>
      <c r="H916" s="88">
        <v>300844969700003</v>
      </c>
      <c r="I916" s="88"/>
      <c r="J916" s="49">
        <v>1</v>
      </c>
      <c r="K916" s="49">
        <v>5.22</v>
      </c>
      <c r="L916" s="169">
        <f t="shared" si="59"/>
        <v>5.22</v>
      </c>
      <c r="M916" s="169">
        <f t="shared" si="45"/>
        <v>1</v>
      </c>
      <c r="N916" s="169">
        <f t="shared" si="56"/>
        <v>0.78299999999999992</v>
      </c>
      <c r="O916" s="169">
        <f t="shared" si="60"/>
        <v>6.0030000000000001</v>
      </c>
      <c r="Z916" s="20"/>
      <c r="AA916" s="20"/>
    </row>
    <row r="917" spans="1:27" x14ac:dyDescent="0.3">
      <c r="A917" s="88">
        <v>859</v>
      </c>
      <c r="B917" s="173">
        <v>686</v>
      </c>
      <c r="C917" s="159"/>
      <c r="D917" s="88" t="s">
        <v>512</v>
      </c>
      <c r="E917" s="88" t="s">
        <v>715</v>
      </c>
      <c r="F917" s="88" t="s">
        <v>1279</v>
      </c>
      <c r="G917" s="88" t="s">
        <v>1280</v>
      </c>
      <c r="H917" s="88">
        <v>300844969700003</v>
      </c>
      <c r="I917" s="88"/>
      <c r="J917" s="49">
        <v>1</v>
      </c>
      <c r="K917" s="49">
        <v>5.22</v>
      </c>
      <c r="L917" s="169">
        <f t="shared" si="59"/>
        <v>5.22</v>
      </c>
      <c r="M917" s="169">
        <f t="shared" si="45"/>
        <v>1</v>
      </c>
      <c r="N917" s="169">
        <f t="shared" si="56"/>
        <v>0.78299999999999992</v>
      </c>
      <c r="O917" s="169">
        <f t="shared" si="60"/>
        <v>6.0030000000000001</v>
      </c>
      <c r="Z917" s="20"/>
      <c r="AA917" s="20"/>
    </row>
    <row r="918" spans="1:27" x14ac:dyDescent="0.3">
      <c r="A918" s="88">
        <v>859</v>
      </c>
      <c r="B918" s="173">
        <v>687</v>
      </c>
      <c r="C918" s="159"/>
      <c r="D918" s="88" t="s">
        <v>512</v>
      </c>
      <c r="E918" s="88" t="s">
        <v>715</v>
      </c>
      <c r="F918" s="88" t="s">
        <v>1279</v>
      </c>
      <c r="G918" s="88" t="s">
        <v>1280</v>
      </c>
      <c r="H918" s="88">
        <v>300844969700003</v>
      </c>
      <c r="I918" s="88"/>
      <c r="J918" s="49">
        <v>1</v>
      </c>
      <c r="K918" s="49">
        <v>5.22</v>
      </c>
      <c r="L918" s="169">
        <f t="shared" si="59"/>
        <v>5.22</v>
      </c>
      <c r="M918" s="169">
        <f t="shared" si="45"/>
        <v>1</v>
      </c>
      <c r="N918" s="169">
        <f t="shared" si="56"/>
        <v>0.78299999999999992</v>
      </c>
      <c r="O918" s="169">
        <f t="shared" si="60"/>
        <v>6.0030000000000001</v>
      </c>
      <c r="Z918" s="20"/>
      <c r="AA918" s="20"/>
    </row>
    <row r="919" spans="1:27" x14ac:dyDescent="0.3">
      <c r="A919" s="88">
        <v>859</v>
      </c>
      <c r="B919" s="173">
        <v>688</v>
      </c>
      <c r="C919" s="159"/>
      <c r="D919" s="88" t="s">
        <v>512</v>
      </c>
      <c r="E919" s="88" t="s">
        <v>714</v>
      </c>
      <c r="F919" s="88" t="s">
        <v>1407</v>
      </c>
      <c r="G919" s="88" t="s">
        <v>1280</v>
      </c>
      <c r="H919" s="88">
        <v>300844969700003</v>
      </c>
      <c r="I919" s="88"/>
      <c r="J919" s="49">
        <v>1</v>
      </c>
      <c r="K919" s="49">
        <v>24.35</v>
      </c>
      <c r="L919" s="169">
        <f t="shared" si="59"/>
        <v>24.35</v>
      </c>
      <c r="M919" s="169">
        <f t="shared" si="45"/>
        <v>1</v>
      </c>
      <c r="N919" s="169">
        <f t="shared" si="56"/>
        <v>3.6524999999999999</v>
      </c>
      <c r="O919" s="169">
        <f t="shared" si="60"/>
        <v>28.002500000000001</v>
      </c>
      <c r="Z919" s="20"/>
      <c r="AA919" s="20"/>
    </row>
    <row r="920" spans="1:27" x14ac:dyDescent="0.3">
      <c r="A920" s="88">
        <v>859</v>
      </c>
      <c r="B920" s="173">
        <v>689</v>
      </c>
      <c r="C920" s="159"/>
      <c r="D920" s="88" t="s">
        <v>512</v>
      </c>
      <c r="E920" s="88" t="s">
        <v>715</v>
      </c>
      <c r="F920" s="88" t="s">
        <v>1279</v>
      </c>
      <c r="G920" s="88" t="s">
        <v>1280</v>
      </c>
      <c r="H920" s="88">
        <v>300844969700003</v>
      </c>
      <c r="I920" s="88"/>
      <c r="J920" s="49">
        <v>1</v>
      </c>
      <c r="K920" s="49">
        <v>5.22</v>
      </c>
      <c r="L920" s="169">
        <f t="shared" si="59"/>
        <v>5.22</v>
      </c>
      <c r="M920" s="169">
        <f t="shared" si="45"/>
        <v>1</v>
      </c>
      <c r="N920" s="169">
        <f t="shared" si="56"/>
        <v>0.78299999999999992</v>
      </c>
      <c r="O920" s="169">
        <f t="shared" si="60"/>
        <v>6.0030000000000001</v>
      </c>
      <c r="Z920" s="20"/>
      <c r="AA920" s="20"/>
    </row>
    <row r="921" spans="1:27" x14ac:dyDescent="0.3">
      <c r="A921" s="88">
        <v>859</v>
      </c>
      <c r="B921" s="173">
        <v>690</v>
      </c>
      <c r="C921" s="159"/>
      <c r="D921" s="88" t="s">
        <v>512</v>
      </c>
      <c r="E921" s="88" t="s">
        <v>1090</v>
      </c>
      <c r="F921" s="88" t="s">
        <v>1328</v>
      </c>
      <c r="G921" s="88" t="s">
        <v>1280</v>
      </c>
      <c r="H921" s="88">
        <v>300844969700003</v>
      </c>
      <c r="I921" s="88"/>
      <c r="J921" s="49">
        <v>1</v>
      </c>
      <c r="K921" s="49">
        <v>6.52</v>
      </c>
      <c r="L921" s="169">
        <f t="shared" si="59"/>
        <v>6.52</v>
      </c>
      <c r="M921" s="169">
        <f t="shared" si="45"/>
        <v>1</v>
      </c>
      <c r="N921" s="169">
        <f t="shared" si="56"/>
        <v>0.97799999999999987</v>
      </c>
      <c r="O921" s="169">
        <f t="shared" si="60"/>
        <v>7.4979999999999993</v>
      </c>
      <c r="Z921" s="20"/>
      <c r="AA921" s="20"/>
    </row>
    <row r="922" spans="1:27" x14ac:dyDescent="0.3">
      <c r="A922" s="88">
        <v>859</v>
      </c>
      <c r="B922" s="173">
        <v>691</v>
      </c>
      <c r="C922" s="159"/>
      <c r="D922" s="88" t="s">
        <v>512</v>
      </c>
      <c r="E922" s="88" t="s">
        <v>715</v>
      </c>
      <c r="F922" s="88" t="s">
        <v>1279</v>
      </c>
      <c r="G922" s="88" t="s">
        <v>1280</v>
      </c>
      <c r="H922" s="88">
        <v>300844969700003</v>
      </c>
      <c r="I922" s="88"/>
      <c r="J922" s="49">
        <v>1</v>
      </c>
      <c r="K922" s="49">
        <v>5.22</v>
      </c>
      <c r="L922" s="169">
        <f t="shared" si="59"/>
        <v>5.22</v>
      </c>
      <c r="M922" s="169">
        <f t="shared" si="45"/>
        <v>1</v>
      </c>
      <c r="N922" s="169">
        <f t="shared" si="56"/>
        <v>0.78299999999999992</v>
      </c>
      <c r="O922" s="169">
        <f t="shared" si="60"/>
        <v>6.0030000000000001</v>
      </c>
      <c r="Z922" s="20"/>
      <c r="AA922" s="20"/>
    </row>
    <row r="923" spans="1:27" x14ac:dyDescent="0.3">
      <c r="A923" s="88">
        <v>859</v>
      </c>
      <c r="B923" s="173">
        <v>692</v>
      </c>
      <c r="C923" s="159"/>
      <c r="D923" s="88" t="s">
        <v>512</v>
      </c>
      <c r="E923" s="88" t="s">
        <v>709</v>
      </c>
      <c r="F923" s="88" t="s">
        <v>577</v>
      </c>
      <c r="G923" s="88" t="s">
        <v>1373</v>
      </c>
      <c r="H923" s="88">
        <v>300060864110003</v>
      </c>
      <c r="I923" s="88"/>
      <c r="J923" s="49">
        <v>1</v>
      </c>
      <c r="K923" s="49">
        <v>118.93</v>
      </c>
      <c r="L923" s="169">
        <v>103.41</v>
      </c>
      <c r="M923" s="169">
        <f t="shared" si="45"/>
        <v>1</v>
      </c>
      <c r="N923" s="169">
        <f t="shared" si="56"/>
        <v>15.511499999999998</v>
      </c>
      <c r="O923" s="169">
        <f t="shared" si="60"/>
        <v>118.92149999999999</v>
      </c>
      <c r="Z923" s="20"/>
      <c r="AA923" s="20"/>
    </row>
    <row r="924" spans="1:27" x14ac:dyDescent="0.3">
      <c r="A924" s="88">
        <v>859</v>
      </c>
      <c r="B924" s="173">
        <v>693</v>
      </c>
      <c r="C924" s="159"/>
      <c r="D924" s="88" t="s">
        <v>512</v>
      </c>
      <c r="E924" s="88" t="s">
        <v>715</v>
      </c>
      <c r="F924" s="88" t="s">
        <v>1323</v>
      </c>
      <c r="G924" s="88" t="s">
        <v>1408</v>
      </c>
      <c r="H924" s="88">
        <v>300172057910003</v>
      </c>
      <c r="I924" s="88"/>
      <c r="J924" s="49">
        <v>1</v>
      </c>
      <c r="K924" s="49">
        <v>25.303999999999998</v>
      </c>
      <c r="L924" s="169">
        <f t="shared" si="59"/>
        <v>25.303999999999998</v>
      </c>
      <c r="M924" s="169">
        <f t="shared" si="45"/>
        <v>1</v>
      </c>
      <c r="N924" s="169">
        <f t="shared" si="56"/>
        <v>3.7955999999999994</v>
      </c>
      <c r="O924" s="169">
        <f t="shared" si="60"/>
        <v>29.099599999999999</v>
      </c>
      <c r="Z924" s="20"/>
      <c r="AA924" s="20"/>
    </row>
    <row r="925" spans="1:27" x14ac:dyDescent="0.3">
      <c r="A925" s="88">
        <v>859</v>
      </c>
      <c r="B925" s="173">
        <v>694</v>
      </c>
      <c r="C925" s="159"/>
      <c r="D925" s="88" t="s">
        <v>512</v>
      </c>
      <c r="E925" s="88" t="s">
        <v>1090</v>
      </c>
      <c r="F925" s="88" t="s">
        <v>1409</v>
      </c>
      <c r="G925" s="88" t="s">
        <v>1389</v>
      </c>
      <c r="H925" s="88">
        <v>300048584400003</v>
      </c>
      <c r="I925" s="88"/>
      <c r="J925" s="49">
        <v>1</v>
      </c>
      <c r="K925" s="49">
        <v>64.347999999999999</v>
      </c>
      <c r="L925" s="169">
        <f t="shared" si="59"/>
        <v>64.347999999999999</v>
      </c>
      <c r="M925" s="169">
        <f t="shared" si="45"/>
        <v>1</v>
      </c>
      <c r="N925" s="169">
        <f t="shared" si="56"/>
        <v>9.6521999999999988</v>
      </c>
      <c r="O925" s="169">
        <f t="shared" si="60"/>
        <v>74.000199999999992</v>
      </c>
      <c r="Z925" s="20"/>
      <c r="AA925" s="20"/>
    </row>
    <row r="926" spans="1:27" x14ac:dyDescent="0.3">
      <c r="A926" s="88">
        <v>859</v>
      </c>
      <c r="B926" s="173">
        <v>695</v>
      </c>
      <c r="C926" s="159"/>
      <c r="D926" s="88" t="s">
        <v>512</v>
      </c>
      <c r="E926" s="88" t="s">
        <v>1090</v>
      </c>
      <c r="F926" s="88" t="s">
        <v>1377</v>
      </c>
      <c r="G926" s="88" t="s">
        <v>1376</v>
      </c>
      <c r="H926" s="88">
        <v>310761710200003</v>
      </c>
      <c r="I926" s="88"/>
      <c r="J926" s="49">
        <v>2</v>
      </c>
      <c r="K926" s="49">
        <v>14.782999999999999</v>
      </c>
      <c r="L926" s="169">
        <f t="shared" si="59"/>
        <v>29.565999999999999</v>
      </c>
      <c r="M926" s="169">
        <f t="shared" si="45"/>
        <v>1</v>
      </c>
      <c r="N926" s="169">
        <f t="shared" si="56"/>
        <v>4.4348999999999998</v>
      </c>
      <c r="O926" s="169">
        <f t="shared" si="60"/>
        <v>34.000900000000001</v>
      </c>
      <c r="Z926" s="20"/>
      <c r="AA926" s="20"/>
    </row>
    <row r="927" spans="1:27" x14ac:dyDescent="0.3">
      <c r="A927" s="88">
        <v>859</v>
      </c>
      <c r="B927" s="173">
        <v>696</v>
      </c>
      <c r="C927" s="159"/>
      <c r="D927" s="88" t="s">
        <v>512</v>
      </c>
      <c r="E927" s="88" t="s">
        <v>757</v>
      </c>
      <c r="F927" s="88" t="s">
        <v>1410</v>
      </c>
      <c r="G927" s="88" t="s">
        <v>1274</v>
      </c>
      <c r="H927" s="88">
        <v>300272021500003</v>
      </c>
      <c r="I927" s="88"/>
      <c r="J927" s="49">
        <v>1</v>
      </c>
      <c r="K927" s="49">
        <v>21.739000000000001</v>
      </c>
      <c r="L927" s="169">
        <f t="shared" si="59"/>
        <v>21.739000000000001</v>
      </c>
      <c r="M927" s="169">
        <f t="shared" si="45"/>
        <v>1</v>
      </c>
      <c r="N927" s="169">
        <f t="shared" si="56"/>
        <v>3.26085</v>
      </c>
      <c r="O927" s="169">
        <f t="shared" si="60"/>
        <v>24.999850000000002</v>
      </c>
      <c r="Z927" s="20"/>
      <c r="AA927" s="20"/>
    </row>
    <row r="928" spans="1:27" x14ac:dyDescent="0.3">
      <c r="A928" s="88">
        <v>859</v>
      </c>
      <c r="B928" s="173">
        <v>697</v>
      </c>
      <c r="C928" s="159"/>
      <c r="D928" s="88" t="s">
        <v>512</v>
      </c>
      <c r="E928" s="88" t="s">
        <v>715</v>
      </c>
      <c r="F928" s="88" t="s">
        <v>1323</v>
      </c>
      <c r="G928" s="88" t="s">
        <v>1411</v>
      </c>
      <c r="H928" s="88">
        <v>300784816410003</v>
      </c>
      <c r="I928" s="88"/>
      <c r="J928" s="49">
        <v>1</v>
      </c>
      <c r="K928" s="49">
        <v>6.9560000000000004</v>
      </c>
      <c r="L928" s="169">
        <f t="shared" ref="L928:L991" si="62">K928*J928</f>
        <v>6.9560000000000004</v>
      </c>
      <c r="M928" s="169">
        <f t="shared" si="45"/>
        <v>1</v>
      </c>
      <c r="N928" s="169">
        <f t="shared" si="56"/>
        <v>1.0434000000000001</v>
      </c>
      <c r="O928" s="169">
        <f t="shared" ref="O928:O991" si="63">N928+L928</f>
        <v>7.9994000000000005</v>
      </c>
      <c r="Z928" s="20"/>
      <c r="AA928" s="20"/>
    </row>
    <row r="929" spans="1:27" x14ac:dyDescent="0.3">
      <c r="A929" s="88">
        <v>859</v>
      </c>
      <c r="B929" s="173">
        <v>698</v>
      </c>
      <c r="C929" s="159"/>
      <c r="D929" s="88" t="s">
        <v>512</v>
      </c>
      <c r="E929" s="88" t="s">
        <v>715</v>
      </c>
      <c r="F929" s="88" t="s">
        <v>1323</v>
      </c>
      <c r="G929" s="88" t="s">
        <v>1412</v>
      </c>
      <c r="H929" s="88"/>
      <c r="I929" s="88"/>
      <c r="J929" s="49">
        <v>1</v>
      </c>
      <c r="K929" s="49">
        <v>84.85</v>
      </c>
      <c r="L929" s="169">
        <f t="shared" si="62"/>
        <v>84.85</v>
      </c>
      <c r="M929" s="169">
        <f t="shared" si="45"/>
        <v>0</v>
      </c>
      <c r="N929" s="169">
        <f t="shared" si="56"/>
        <v>0</v>
      </c>
      <c r="O929" s="169">
        <f t="shared" si="63"/>
        <v>84.85</v>
      </c>
      <c r="Z929" s="20"/>
      <c r="AA929" s="20"/>
    </row>
    <row r="930" spans="1:27" x14ac:dyDescent="0.3">
      <c r="A930" s="88">
        <v>859</v>
      </c>
      <c r="B930" s="173">
        <v>699</v>
      </c>
      <c r="C930" s="159"/>
      <c r="D930" s="88" t="s">
        <v>512</v>
      </c>
      <c r="E930" s="88" t="s">
        <v>708</v>
      </c>
      <c r="F930" s="88" t="s">
        <v>129</v>
      </c>
      <c r="G930" s="88" t="s">
        <v>1248</v>
      </c>
      <c r="H930" s="88"/>
      <c r="I930" s="88"/>
      <c r="J930" s="49">
        <v>1</v>
      </c>
      <c r="K930" s="49">
        <v>29</v>
      </c>
      <c r="L930" s="169">
        <f t="shared" si="62"/>
        <v>29</v>
      </c>
      <c r="M930" s="169">
        <f t="shared" si="45"/>
        <v>0</v>
      </c>
      <c r="N930" s="169">
        <f t="shared" si="56"/>
        <v>0</v>
      </c>
      <c r="O930" s="169">
        <f t="shared" si="63"/>
        <v>29</v>
      </c>
      <c r="Z930" s="20"/>
      <c r="AA930" s="20"/>
    </row>
    <row r="931" spans="1:27" x14ac:dyDescent="0.3">
      <c r="A931" s="88">
        <v>859</v>
      </c>
      <c r="B931" s="173">
        <v>700</v>
      </c>
      <c r="C931" s="159"/>
      <c r="D931" s="88" t="s">
        <v>512</v>
      </c>
      <c r="E931" s="88" t="s">
        <v>710</v>
      </c>
      <c r="F931" s="88" t="s">
        <v>1387</v>
      </c>
      <c r="G931" s="88" t="s">
        <v>1413</v>
      </c>
      <c r="H931" s="88">
        <v>310054985100003</v>
      </c>
      <c r="I931" s="88"/>
      <c r="J931" s="49">
        <v>22.934999999999999</v>
      </c>
      <c r="K931" s="49">
        <v>1.8956999999999999</v>
      </c>
      <c r="L931" s="169">
        <f t="shared" si="62"/>
        <v>43.477879499999993</v>
      </c>
      <c r="M931" s="169">
        <f t="shared" si="45"/>
        <v>1</v>
      </c>
      <c r="N931" s="169">
        <f t="shared" si="56"/>
        <v>6.5216819249999984</v>
      </c>
      <c r="O931" s="169">
        <f t="shared" si="63"/>
        <v>49.999561424999989</v>
      </c>
      <c r="Z931" s="20"/>
      <c r="AA931" s="20"/>
    </row>
    <row r="932" spans="1:27" x14ac:dyDescent="0.3">
      <c r="A932" s="88">
        <v>859</v>
      </c>
      <c r="B932" s="173">
        <v>701</v>
      </c>
      <c r="C932" s="159"/>
      <c r="D932" s="88" t="s">
        <v>512</v>
      </c>
      <c r="E932" s="88" t="s">
        <v>708</v>
      </c>
      <c r="F932" s="88" t="s">
        <v>1414</v>
      </c>
      <c r="G932" s="88" t="s">
        <v>1248</v>
      </c>
      <c r="H932" s="88">
        <v>311473639600003</v>
      </c>
      <c r="I932" s="88"/>
      <c r="J932" s="49">
        <v>1</v>
      </c>
      <c r="K932" s="49">
        <v>6.09</v>
      </c>
      <c r="L932" s="169">
        <f t="shared" si="62"/>
        <v>6.09</v>
      </c>
      <c r="M932" s="169">
        <f t="shared" si="45"/>
        <v>1</v>
      </c>
      <c r="N932" s="169">
        <f t="shared" si="56"/>
        <v>0.91349999999999998</v>
      </c>
      <c r="O932" s="169">
        <f t="shared" si="63"/>
        <v>7.0034999999999998</v>
      </c>
      <c r="Z932" s="20"/>
      <c r="AA932" s="20"/>
    </row>
    <row r="933" spans="1:27" x14ac:dyDescent="0.3">
      <c r="A933" s="88">
        <v>859</v>
      </c>
      <c r="B933" s="173">
        <v>702</v>
      </c>
      <c r="C933" s="159"/>
      <c r="D933" s="88" t="s">
        <v>512</v>
      </c>
      <c r="E933" s="88" t="s">
        <v>714</v>
      </c>
      <c r="F933" s="88" t="s">
        <v>1381</v>
      </c>
      <c r="G933" s="88" t="s">
        <v>1415</v>
      </c>
      <c r="H933" s="88">
        <v>300508296700003</v>
      </c>
      <c r="I933" s="88"/>
      <c r="J933" s="49">
        <v>2</v>
      </c>
      <c r="K933" s="49">
        <v>18.695</v>
      </c>
      <c r="L933" s="169">
        <f t="shared" si="62"/>
        <v>37.39</v>
      </c>
      <c r="M933" s="169">
        <f t="shared" si="45"/>
        <v>1</v>
      </c>
      <c r="N933" s="169">
        <f t="shared" si="56"/>
        <v>5.6085000000000003</v>
      </c>
      <c r="O933" s="169">
        <f t="shared" si="63"/>
        <v>42.9985</v>
      </c>
      <c r="Z933" s="20"/>
      <c r="AA933" s="20"/>
    </row>
    <row r="934" spans="1:27" x14ac:dyDescent="0.3">
      <c r="A934" s="88">
        <v>859</v>
      </c>
      <c r="B934" s="173">
        <v>703</v>
      </c>
      <c r="C934" s="159"/>
      <c r="D934" s="88" t="s">
        <v>512</v>
      </c>
      <c r="E934" s="88" t="s">
        <v>763</v>
      </c>
      <c r="F934" s="88" t="s">
        <v>1263</v>
      </c>
      <c r="G934" s="88" t="s">
        <v>1366</v>
      </c>
      <c r="H934" s="88">
        <v>310933804300003</v>
      </c>
      <c r="I934" s="88"/>
      <c r="J934" s="49">
        <v>10</v>
      </c>
      <c r="K934" s="49">
        <v>78.262</v>
      </c>
      <c r="L934" s="169">
        <f>K934*J934</f>
        <v>782.62</v>
      </c>
      <c r="M934" s="169">
        <f t="shared" si="45"/>
        <v>1</v>
      </c>
      <c r="N934" s="169">
        <f t="shared" si="56"/>
        <v>117.393</v>
      </c>
      <c r="O934" s="169">
        <f>N934+L934</f>
        <v>900.01300000000003</v>
      </c>
      <c r="Z934" s="20"/>
      <c r="AA934" s="20"/>
    </row>
    <row r="935" spans="1:27" x14ac:dyDescent="0.3">
      <c r="A935" s="88">
        <v>859</v>
      </c>
      <c r="B935" s="173">
        <v>704</v>
      </c>
      <c r="C935" s="159"/>
      <c r="D935" s="88" t="s">
        <v>512</v>
      </c>
      <c r="E935" s="88" t="s">
        <v>1017</v>
      </c>
      <c r="F935" s="88" t="s">
        <v>1416</v>
      </c>
      <c r="G935" s="88" t="s">
        <v>1312</v>
      </c>
      <c r="H935" s="88">
        <v>311372934300003</v>
      </c>
      <c r="I935" s="88"/>
      <c r="J935" s="49">
        <v>1</v>
      </c>
      <c r="K935" s="49">
        <v>247.83</v>
      </c>
      <c r="L935" s="169">
        <f>K935*J935</f>
        <v>247.83</v>
      </c>
      <c r="M935" s="169">
        <f t="shared" si="45"/>
        <v>1</v>
      </c>
      <c r="N935" s="169">
        <f t="shared" si="56"/>
        <v>37.174500000000002</v>
      </c>
      <c r="O935" s="169">
        <f>N935+L935</f>
        <v>285.00450000000001</v>
      </c>
      <c r="Z935" s="20"/>
      <c r="AA935" s="20"/>
    </row>
    <row r="936" spans="1:27" x14ac:dyDescent="0.3">
      <c r="A936" s="88">
        <v>859</v>
      </c>
      <c r="B936" s="173">
        <v>705</v>
      </c>
      <c r="C936" s="159"/>
      <c r="D936" s="88" t="s">
        <v>512</v>
      </c>
      <c r="E936" s="88" t="s">
        <v>763</v>
      </c>
      <c r="F936" s="88" t="s">
        <v>1263</v>
      </c>
      <c r="G936" s="88" t="s">
        <v>1366</v>
      </c>
      <c r="H936" s="88">
        <v>310933804300003</v>
      </c>
      <c r="I936" s="88"/>
      <c r="J936" s="49">
        <v>10</v>
      </c>
      <c r="K936" s="49">
        <v>78.262</v>
      </c>
      <c r="L936" s="169">
        <f t="shared" si="62"/>
        <v>782.62</v>
      </c>
      <c r="M936" s="169">
        <f t="shared" si="45"/>
        <v>1</v>
      </c>
      <c r="N936" s="169">
        <f t="shared" si="56"/>
        <v>117.393</v>
      </c>
      <c r="O936" s="169">
        <f t="shared" si="63"/>
        <v>900.01300000000003</v>
      </c>
      <c r="Z936" s="20"/>
      <c r="AA936" s="20"/>
    </row>
    <row r="937" spans="1:27" x14ac:dyDescent="0.3">
      <c r="A937" s="88">
        <v>859</v>
      </c>
      <c r="B937" s="173">
        <v>706</v>
      </c>
      <c r="C937" s="159"/>
      <c r="D937" s="88" t="s">
        <v>512</v>
      </c>
      <c r="E937" s="88" t="s">
        <v>715</v>
      </c>
      <c r="F937" s="88" t="s">
        <v>1323</v>
      </c>
      <c r="G937" s="88" t="s">
        <v>1412</v>
      </c>
      <c r="H937" s="88">
        <v>300595168300003</v>
      </c>
      <c r="I937" s="88"/>
      <c r="J937" s="49">
        <v>1</v>
      </c>
      <c r="K937" s="49">
        <v>30</v>
      </c>
      <c r="L937" s="169">
        <f t="shared" si="62"/>
        <v>30</v>
      </c>
      <c r="M937" s="169">
        <f t="shared" si="45"/>
        <v>1</v>
      </c>
      <c r="N937" s="169">
        <f t="shared" si="56"/>
        <v>4.5</v>
      </c>
      <c r="O937" s="169">
        <f t="shared" si="63"/>
        <v>34.5</v>
      </c>
      <c r="Z937" s="20"/>
      <c r="AA937" s="20"/>
    </row>
    <row r="938" spans="1:27" x14ac:dyDescent="0.3">
      <c r="A938" s="88">
        <v>859</v>
      </c>
      <c r="B938" s="173">
        <v>707</v>
      </c>
      <c r="C938" s="159"/>
      <c r="D938" s="88" t="s">
        <v>512</v>
      </c>
      <c r="E938" s="88" t="s">
        <v>715</v>
      </c>
      <c r="F938" s="88" t="s">
        <v>1323</v>
      </c>
      <c r="G938" s="88" t="s">
        <v>1412</v>
      </c>
      <c r="H938" s="88">
        <v>300595168300003</v>
      </c>
      <c r="I938" s="88"/>
      <c r="J938" s="49">
        <v>1</v>
      </c>
      <c r="K938" s="49">
        <v>35</v>
      </c>
      <c r="L938" s="169">
        <f t="shared" si="62"/>
        <v>35</v>
      </c>
      <c r="M938" s="169">
        <f t="shared" si="45"/>
        <v>1</v>
      </c>
      <c r="N938" s="169">
        <f t="shared" si="56"/>
        <v>5.25</v>
      </c>
      <c r="O938" s="169">
        <f t="shared" si="63"/>
        <v>40.25</v>
      </c>
      <c r="Z938" s="20"/>
      <c r="AA938" s="20"/>
    </row>
    <row r="939" spans="1:27" x14ac:dyDescent="0.3">
      <c r="A939" s="88">
        <v>859</v>
      </c>
      <c r="B939" s="173">
        <v>708</v>
      </c>
      <c r="C939" s="159"/>
      <c r="D939" s="88" t="s">
        <v>512</v>
      </c>
      <c r="E939" s="88" t="s">
        <v>763</v>
      </c>
      <c r="F939" s="88" t="s">
        <v>1263</v>
      </c>
      <c r="G939" s="88" t="s">
        <v>1366</v>
      </c>
      <c r="H939" s="88">
        <v>310933804300003</v>
      </c>
      <c r="I939" s="88"/>
      <c r="J939" s="49">
        <v>10</v>
      </c>
      <c r="K939" s="49">
        <v>78.262</v>
      </c>
      <c r="L939" s="169">
        <f t="shared" si="62"/>
        <v>782.62</v>
      </c>
      <c r="M939" s="169">
        <f t="shared" si="45"/>
        <v>1</v>
      </c>
      <c r="N939" s="169">
        <f t="shared" si="56"/>
        <v>117.393</v>
      </c>
      <c r="O939" s="169">
        <f t="shared" si="63"/>
        <v>900.01300000000003</v>
      </c>
      <c r="Z939" s="20"/>
      <c r="AA939" s="20"/>
    </row>
    <row r="940" spans="1:27" x14ac:dyDescent="0.3">
      <c r="A940" s="88">
        <v>859</v>
      </c>
      <c r="B940" s="173">
        <v>709</v>
      </c>
      <c r="C940" s="159"/>
      <c r="D940" s="88" t="s">
        <v>512</v>
      </c>
      <c r="E940" s="88" t="s">
        <v>715</v>
      </c>
      <c r="F940" s="88" t="s">
        <v>1346</v>
      </c>
      <c r="G940" s="88" t="s">
        <v>1417</v>
      </c>
      <c r="H940" s="88"/>
      <c r="I940" s="88"/>
      <c r="J940" s="49">
        <v>1</v>
      </c>
      <c r="K940" s="49">
        <v>35</v>
      </c>
      <c r="L940" s="169">
        <f t="shared" si="62"/>
        <v>35</v>
      </c>
      <c r="M940" s="169">
        <f t="shared" si="45"/>
        <v>0</v>
      </c>
      <c r="N940" s="169">
        <f t="shared" si="56"/>
        <v>0</v>
      </c>
      <c r="O940" s="169">
        <f t="shared" si="63"/>
        <v>35</v>
      </c>
      <c r="Z940" s="20"/>
      <c r="AA940" s="20"/>
    </row>
    <row r="941" spans="1:27" x14ac:dyDescent="0.3">
      <c r="A941" s="88">
        <v>859</v>
      </c>
      <c r="B941" s="173">
        <v>710</v>
      </c>
      <c r="C941" s="159"/>
      <c r="D941" s="88" t="s">
        <v>512</v>
      </c>
      <c r="E941" s="88" t="s">
        <v>715</v>
      </c>
      <c r="F941" s="88" t="s">
        <v>1346</v>
      </c>
      <c r="G941" s="88" t="s">
        <v>1418</v>
      </c>
      <c r="H941" s="88"/>
      <c r="I941" s="88"/>
      <c r="J941" s="49">
        <v>1</v>
      </c>
      <c r="K941" s="49">
        <v>35</v>
      </c>
      <c r="L941" s="169">
        <f t="shared" si="62"/>
        <v>35</v>
      </c>
      <c r="M941" s="169">
        <f t="shared" si="45"/>
        <v>0</v>
      </c>
      <c r="N941" s="169">
        <f t="shared" si="56"/>
        <v>0</v>
      </c>
      <c r="O941" s="169">
        <f t="shared" si="63"/>
        <v>35</v>
      </c>
      <c r="Z941" s="20"/>
      <c r="AA941" s="20"/>
    </row>
    <row r="942" spans="1:27" x14ac:dyDescent="0.3">
      <c r="A942" s="88">
        <v>859</v>
      </c>
      <c r="B942" s="173">
        <v>711</v>
      </c>
      <c r="C942" s="159"/>
      <c r="D942" s="88" t="s">
        <v>512</v>
      </c>
      <c r="E942" s="88" t="s">
        <v>715</v>
      </c>
      <c r="F942" s="88" t="s">
        <v>1346</v>
      </c>
      <c r="G942" s="88" t="s">
        <v>1419</v>
      </c>
      <c r="H942" s="88"/>
      <c r="I942" s="88"/>
      <c r="J942" s="49">
        <v>1</v>
      </c>
      <c r="K942" s="49">
        <v>35</v>
      </c>
      <c r="L942" s="169">
        <f t="shared" si="62"/>
        <v>35</v>
      </c>
      <c r="M942" s="169">
        <f t="shared" si="45"/>
        <v>0</v>
      </c>
      <c r="N942" s="169">
        <f t="shared" si="56"/>
        <v>0</v>
      </c>
      <c r="O942" s="169">
        <f t="shared" si="63"/>
        <v>35</v>
      </c>
      <c r="Z942" s="20"/>
      <c r="AA942" s="20"/>
    </row>
    <row r="943" spans="1:27" x14ac:dyDescent="0.3">
      <c r="A943" s="88">
        <v>859</v>
      </c>
      <c r="B943" s="173">
        <v>712</v>
      </c>
      <c r="C943" s="159"/>
      <c r="D943" s="88" t="s">
        <v>512</v>
      </c>
      <c r="E943" s="88" t="s">
        <v>715</v>
      </c>
      <c r="F943" s="88" t="s">
        <v>1346</v>
      </c>
      <c r="G943" s="88" t="s">
        <v>1420</v>
      </c>
      <c r="H943" s="88">
        <v>300402472600003</v>
      </c>
      <c r="I943" s="88"/>
      <c r="J943" s="49">
        <v>1</v>
      </c>
      <c r="K943" s="49">
        <v>35.950000000000003</v>
      </c>
      <c r="L943" s="169">
        <f t="shared" si="62"/>
        <v>35.950000000000003</v>
      </c>
      <c r="M943" s="169">
        <f t="shared" si="45"/>
        <v>1</v>
      </c>
      <c r="N943" s="169">
        <f t="shared" si="56"/>
        <v>5.3925000000000001</v>
      </c>
      <c r="O943" s="169">
        <f t="shared" si="63"/>
        <v>41.342500000000001</v>
      </c>
      <c r="Z943" s="20"/>
      <c r="AA943" s="20"/>
    </row>
    <row r="944" spans="1:27" x14ac:dyDescent="0.3">
      <c r="A944" s="88">
        <v>859</v>
      </c>
      <c r="B944" s="173">
        <v>713</v>
      </c>
      <c r="C944" s="159"/>
      <c r="D944" s="88" t="s">
        <v>512</v>
      </c>
      <c r="E944" s="88" t="s">
        <v>715</v>
      </c>
      <c r="F944" s="88" t="s">
        <v>1346</v>
      </c>
      <c r="G944" s="88" t="s">
        <v>1421</v>
      </c>
      <c r="H944" s="88"/>
      <c r="I944" s="88"/>
      <c r="J944" s="49">
        <v>1</v>
      </c>
      <c r="K944" s="49">
        <v>35</v>
      </c>
      <c r="L944" s="169">
        <f t="shared" si="62"/>
        <v>35</v>
      </c>
      <c r="M944" s="169">
        <f t="shared" si="45"/>
        <v>0</v>
      </c>
      <c r="N944" s="169">
        <f t="shared" si="56"/>
        <v>0</v>
      </c>
      <c r="O944" s="169">
        <f t="shared" si="63"/>
        <v>35</v>
      </c>
      <c r="Z944" s="20"/>
      <c r="AA944" s="20"/>
    </row>
    <row r="945" spans="1:27" x14ac:dyDescent="0.3">
      <c r="A945" s="88">
        <v>859</v>
      </c>
      <c r="B945" s="173">
        <v>714</v>
      </c>
      <c r="C945" s="159"/>
      <c r="D945" s="88" t="s">
        <v>512</v>
      </c>
      <c r="E945" s="88" t="s">
        <v>715</v>
      </c>
      <c r="F945" s="88" t="s">
        <v>1346</v>
      </c>
      <c r="G945" s="88" t="s">
        <v>1422</v>
      </c>
      <c r="H945" s="88"/>
      <c r="I945" s="88"/>
      <c r="J945" s="49">
        <v>1</v>
      </c>
      <c r="K945" s="49">
        <v>35</v>
      </c>
      <c r="L945" s="169">
        <f t="shared" si="62"/>
        <v>35</v>
      </c>
      <c r="M945" s="169">
        <f t="shared" si="45"/>
        <v>0</v>
      </c>
      <c r="N945" s="169">
        <f t="shared" si="56"/>
        <v>0</v>
      </c>
      <c r="O945" s="169">
        <f t="shared" si="63"/>
        <v>35</v>
      </c>
      <c r="Z945" s="20"/>
      <c r="AA945" s="20"/>
    </row>
    <row r="946" spans="1:27" x14ac:dyDescent="0.3">
      <c r="A946" s="88">
        <v>859</v>
      </c>
      <c r="B946" s="173">
        <v>715</v>
      </c>
      <c r="C946" s="159"/>
      <c r="D946" s="88" t="s">
        <v>512</v>
      </c>
      <c r="E946" s="88" t="s">
        <v>736</v>
      </c>
      <c r="F946" s="88" t="s">
        <v>608</v>
      </c>
      <c r="G946" s="88" t="s">
        <v>1343</v>
      </c>
      <c r="H946" s="88"/>
      <c r="I946" s="88"/>
      <c r="J946" s="49">
        <v>1</v>
      </c>
      <c r="K946" s="49">
        <v>20</v>
      </c>
      <c r="L946" s="169">
        <f t="shared" si="62"/>
        <v>20</v>
      </c>
      <c r="M946" s="169">
        <f t="shared" si="45"/>
        <v>0</v>
      </c>
      <c r="N946" s="169">
        <f t="shared" si="56"/>
        <v>0</v>
      </c>
      <c r="O946" s="169">
        <f t="shared" si="63"/>
        <v>20</v>
      </c>
      <c r="Z946" s="20"/>
      <c r="AA946" s="20"/>
    </row>
    <row r="947" spans="1:27" x14ac:dyDescent="0.3">
      <c r="A947" s="88">
        <v>859</v>
      </c>
      <c r="B947" s="173">
        <v>716</v>
      </c>
      <c r="C947" s="159"/>
      <c r="D947" s="88" t="s">
        <v>512</v>
      </c>
      <c r="E947" s="88" t="s">
        <v>715</v>
      </c>
      <c r="F947" s="88" t="s">
        <v>1346</v>
      </c>
      <c r="G947" s="88" t="s">
        <v>1423</v>
      </c>
      <c r="H947" s="88"/>
      <c r="I947" s="88"/>
      <c r="J947" s="49">
        <v>1</v>
      </c>
      <c r="K947" s="49">
        <v>35</v>
      </c>
      <c r="L947" s="169">
        <f t="shared" si="62"/>
        <v>35</v>
      </c>
      <c r="M947" s="169">
        <f t="shared" si="45"/>
        <v>0</v>
      </c>
      <c r="N947" s="169">
        <f t="shared" si="56"/>
        <v>0</v>
      </c>
      <c r="O947" s="169">
        <f t="shared" si="63"/>
        <v>35</v>
      </c>
      <c r="Z947" s="20"/>
      <c r="AA947" s="20"/>
    </row>
    <row r="948" spans="1:27" x14ac:dyDescent="0.3">
      <c r="A948" s="88">
        <v>859</v>
      </c>
      <c r="B948" s="173">
        <v>717</v>
      </c>
      <c r="C948" s="159"/>
      <c r="D948" s="88" t="s">
        <v>512</v>
      </c>
      <c r="E948" s="88" t="s">
        <v>760</v>
      </c>
      <c r="F948" s="88" t="s">
        <v>1424</v>
      </c>
      <c r="G948" s="88" t="s">
        <v>1424</v>
      </c>
      <c r="H948" s="88"/>
      <c r="I948" s="88"/>
      <c r="J948" s="49">
        <v>1</v>
      </c>
      <c r="K948" s="49">
        <v>20</v>
      </c>
      <c r="L948" s="169">
        <f t="shared" si="62"/>
        <v>20</v>
      </c>
      <c r="M948" s="169">
        <f t="shared" si="45"/>
        <v>0</v>
      </c>
      <c r="N948" s="169">
        <f t="shared" si="56"/>
        <v>0</v>
      </c>
      <c r="O948" s="169">
        <f t="shared" si="63"/>
        <v>20</v>
      </c>
      <c r="Z948" s="20"/>
      <c r="AA948" s="20"/>
    </row>
    <row r="949" spans="1:27" x14ac:dyDescent="0.3">
      <c r="A949" s="88">
        <v>859</v>
      </c>
      <c r="B949" s="173">
        <v>718</v>
      </c>
      <c r="C949" s="159"/>
      <c r="D949" s="88" t="s">
        <v>512</v>
      </c>
      <c r="E949" s="88" t="s">
        <v>715</v>
      </c>
      <c r="F949" s="88" t="s">
        <v>1323</v>
      </c>
      <c r="G949" s="88" t="s">
        <v>1324</v>
      </c>
      <c r="H949" s="88">
        <v>300026972900003</v>
      </c>
      <c r="I949" s="88"/>
      <c r="J949" s="49">
        <v>1</v>
      </c>
      <c r="K949" s="49">
        <v>65</v>
      </c>
      <c r="L949" s="169">
        <f t="shared" si="62"/>
        <v>65</v>
      </c>
      <c r="M949" s="169">
        <f t="shared" si="45"/>
        <v>1</v>
      </c>
      <c r="N949" s="169">
        <f t="shared" si="56"/>
        <v>9.75</v>
      </c>
      <c r="O949" s="169">
        <f t="shared" si="63"/>
        <v>74.75</v>
      </c>
      <c r="Z949" s="20"/>
      <c r="AA949" s="20"/>
    </row>
    <row r="950" spans="1:27" x14ac:dyDescent="0.3">
      <c r="A950" s="88">
        <v>859</v>
      </c>
      <c r="B950" s="173">
        <v>719</v>
      </c>
      <c r="C950" s="159"/>
      <c r="D950" s="88" t="s">
        <v>512</v>
      </c>
      <c r="E950" s="88" t="s">
        <v>736</v>
      </c>
      <c r="F950" s="88" t="s">
        <v>608</v>
      </c>
      <c r="G950" s="88" t="s">
        <v>1343</v>
      </c>
      <c r="H950" s="88"/>
      <c r="I950" s="88"/>
      <c r="J950" s="49">
        <v>1</v>
      </c>
      <c r="K950" s="49">
        <v>21</v>
      </c>
      <c r="L950" s="169">
        <f t="shared" si="62"/>
        <v>21</v>
      </c>
      <c r="M950" s="169">
        <f t="shared" si="45"/>
        <v>0</v>
      </c>
      <c r="N950" s="169">
        <f t="shared" si="56"/>
        <v>0</v>
      </c>
      <c r="O950" s="169">
        <f t="shared" si="63"/>
        <v>21</v>
      </c>
      <c r="Z950" s="20"/>
      <c r="AA950" s="20"/>
    </row>
    <row r="951" spans="1:27" x14ac:dyDescent="0.3">
      <c r="A951" s="88">
        <v>859</v>
      </c>
      <c r="B951" s="173">
        <v>720</v>
      </c>
      <c r="C951" s="159"/>
      <c r="D951" s="88" t="s">
        <v>512</v>
      </c>
      <c r="E951" s="88" t="s">
        <v>715</v>
      </c>
      <c r="F951" s="88" t="s">
        <v>1346</v>
      </c>
      <c r="G951" s="88" t="s">
        <v>1425</v>
      </c>
      <c r="H951" s="88"/>
      <c r="I951" s="88"/>
      <c r="J951" s="49">
        <v>1</v>
      </c>
      <c r="K951" s="49">
        <v>35</v>
      </c>
      <c r="L951" s="169">
        <f t="shared" si="62"/>
        <v>35</v>
      </c>
      <c r="M951" s="169">
        <f t="shared" si="45"/>
        <v>0</v>
      </c>
      <c r="N951" s="169">
        <f t="shared" si="56"/>
        <v>0</v>
      </c>
      <c r="O951" s="169">
        <f t="shared" si="63"/>
        <v>35</v>
      </c>
      <c r="Z951" s="20"/>
      <c r="AA951" s="20"/>
    </row>
    <row r="952" spans="1:27" x14ac:dyDescent="0.3">
      <c r="A952" s="88">
        <v>859</v>
      </c>
      <c r="B952" s="173">
        <v>721</v>
      </c>
      <c r="C952" s="159"/>
      <c r="D952" s="88" t="s">
        <v>512</v>
      </c>
      <c r="E952" s="88" t="s">
        <v>715</v>
      </c>
      <c r="F952" s="88" t="s">
        <v>1346</v>
      </c>
      <c r="G952" s="88" t="s">
        <v>1419</v>
      </c>
      <c r="H952" s="88"/>
      <c r="I952" s="88"/>
      <c r="J952" s="49">
        <v>1</v>
      </c>
      <c r="K952" s="49">
        <v>35</v>
      </c>
      <c r="L952" s="169">
        <f t="shared" si="62"/>
        <v>35</v>
      </c>
      <c r="M952" s="169">
        <f t="shared" si="45"/>
        <v>0</v>
      </c>
      <c r="N952" s="169">
        <f t="shared" si="56"/>
        <v>0</v>
      </c>
      <c r="O952" s="169">
        <f t="shared" si="63"/>
        <v>35</v>
      </c>
      <c r="Z952" s="20"/>
      <c r="AA952" s="20"/>
    </row>
    <row r="953" spans="1:27" x14ac:dyDescent="0.3">
      <c r="A953" s="88">
        <v>859</v>
      </c>
      <c r="B953" s="173">
        <v>722</v>
      </c>
      <c r="C953" s="159"/>
      <c r="D953" s="88" t="s">
        <v>512</v>
      </c>
      <c r="E953" s="88" t="s">
        <v>715</v>
      </c>
      <c r="F953" s="88" t="s">
        <v>1346</v>
      </c>
      <c r="G953" s="88" t="s">
        <v>1346</v>
      </c>
      <c r="H953" s="88"/>
      <c r="I953" s="88"/>
      <c r="J953" s="49">
        <v>1</v>
      </c>
      <c r="K953" s="49">
        <v>40</v>
      </c>
      <c r="L953" s="169">
        <f t="shared" si="62"/>
        <v>40</v>
      </c>
      <c r="M953" s="169">
        <f t="shared" si="45"/>
        <v>0</v>
      </c>
      <c r="N953" s="169">
        <f t="shared" si="56"/>
        <v>0</v>
      </c>
      <c r="O953" s="169">
        <f t="shared" si="63"/>
        <v>40</v>
      </c>
      <c r="Z953" s="20"/>
      <c r="AA953" s="20"/>
    </row>
    <row r="954" spans="1:27" x14ac:dyDescent="0.3">
      <c r="A954" s="88">
        <v>859</v>
      </c>
      <c r="B954" s="173">
        <v>723</v>
      </c>
      <c r="C954" s="159"/>
      <c r="D954" s="88" t="s">
        <v>512</v>
      </c>
      <c r="E954" s="88" t="s">
        <v>757</v>
      </c>
      <c r="F954" s="88" t="s">
        <v>757</v>
      </c>
      <c r="G954" s="88" t="s">
        <v>1426</v>
      </c>
      <c r="H954" s="88"/>
      <c r="I954" s="88"/>
      <c r="J954" s="49">
        <v>1</v>
      </c>
      <c r="K954" s="49">
        <v>25</v>
      </c>
      <c r="L954" s="169">
        <f t="shared" si="62"/>
        <v>25</v>
      </c>
      <c r="M954" s="169">
        <f t="shared" si="45"/>
        <v>0</v>
      </c>
      <c r="N954" s="169">
        <f t="shared" si="56"/>
        <v>0</v>
      </c>
      <c r="O954" s="169">
        <f t="shared" si="63"/>
        <v>25</v>
      </c>
      <c r="Z954" s="20"/>
      <c r="AA954" s="20"/>
    </row>
    <row r="955" spans="1:27" x14ac:dyDescent="0.3">
      <c r="A955" s="88">
        <v>859</v>
      </c>
      <c r="B955" s="173">
        <v>724</v>
      </c>
      <c r="C955" s="159"/>
      <c r="D955" s="88" t="s">
        <v>512</v>
      </c>
      <c r="E955" s="88" t="s">
        <v>710</v>
      </c>
      <c r="F955" s="88" t="s">
        <v>1427</v>
      </c>
      <c r="G955" s="88" t="s">
        <v>1428</v>
      </c>
      <c r="H955" s="88"/>
      <c r="I955" s="88"/>
      <c r="J955" s="49">
        <v>1</v>
      </c>
      <c r="K955" s="49">
        <v>20</v>
      </c>
      <c r="L955" s="169">
        <f t="shared" si="62"/>
        <v>20</v>
      </c>
      <c r="M955" s="169">
        <f t="shared" si="45"/>
        <v>0</v>
      </c>
      <c r="N955" s="169">
        <f t="shared" si="56"/>
        <v>0</v>
      </c>
      <c r="O955" s="169">
        <f t="shared" si="63"/>
        <v>20</v>
      </c>
      <c r="Z955" s="20"/>
      <c r="AA955" s="20"/>
    </row>
    <row r="956" spans="1:27" x14ac:dyDescent="0.3">
      <c r="A956" s="88">
        <v>859</v>
      </c>
      <c r="B956" s="173">
        <v>725</v>
      </c>
      <c r="C956" s="159"/>
      <c r="D956" s="88" t="s">
        <v>512</v>
      </c>
      <c r="E956" s="88" t="s">
        <v>715</v>
      </c>
      <c r="F956" s="88" t="s">
        <v>1346</v>
      </c>
      <c r="G956" s="88" t="s">
        <v>1429</v>
      </c>
      <c r="H956" s="88"/>
      <c r="I956" s="88"/>
      <c r="J956" s="49">
        <v>1</v>
      </c>
      <c r="K956" s="49">
        <v>40</v>
      </c>
      <c r="L956" s="169">
        <f t="shared" si="62"/>
        <v>40</v>
      </c>
      <c r="M956" s="169">
        <f t="shared" si="45"/>
        <v>0</v>
      </c>
      <c r="N956" s="169">
        <f t="shared" si="56"/>
        <v>0</v>
      </c>
      <c r="O956" s="169">
        <f t="shared" si="63"/>
        <v>40</v>
      </c>
      <c r="Z956" s="20"/>
      <c r="AA956" s="20"/>
    </row>
    <row r="957" spans="1:27" x14ac:dyDescent="0.3">
      <c r="A957" s="88">
        <v>859</v>
      </c>
      <c r="B957" s="173"/>
      <c r="C957" s="159"/>
      <c r="D957" s="88" t="s">
        <v>512</v>
      </c>
      <c r="E957" s="88" t="s">
        <v>715</v>
      </c>
      <c r="F957" s="88" t="s">
        <v>1346</v>
      </c>
      <c r="G957" s="88" t="s">
        <v>1430</v>
      </c>
      <c r="H957" s="88"/>
      <c r="I957" s="88"/>
      <c r="J957" s="49">
        <v>1</v>
      </c>
      <c r="K957" s="49">
        <v>40</v>
      </c>
      <c r="L957" s="169">
        <f t="shared" si="62"/>
        <v>40</v>
      </c>
      <c r="M957" s="169">
        <f t="shared" ref="M957:M1020" si="64">IF(H957="",0,1)</f>
        <v>0</v>
      </c>
      <c r="N957" s="169">
        <f t="shared" si="56"/>
        <v>0</v>
      </c>
      <c r="O957" s="169">
        <f t="shared" si="63"/>
        <v>40</v>
      </c>
      <c r="Z957" s="20"/>
      <c r="AA957" s="20"/>
    </row>
    <row r="958" spans="1:27" x14ac:dyDescent="0.3">
      <c r="A958" s="88">
        <v>859</v>
      </c>
      <c r="B958" s="173"/>
      <c r="C958" s="159"/>
      <c r="D958" s="88" t="s">
        <v>512</v>
      </c>
      <c r="E958" s="88" t="s">
        <v>715</v>
      </c>
      <c r="F958" s="88" t="s">
        <v>1346</v>
      </c>
      <c r="G958" s="88" t="s">
        <v>1431</v>
      </c>
      <c r="H958" s="88"/>
      <c r="I958" s="88"/>
      <c r="J958" s="49">
        <v>1</v>
      </c>
      <c r="K958" s="49">
        <v>35</v>
      </c>
      <c r="L958" s="169">
        <f t="shared" si="62"/>
        <v>35</v>
      </c>
      <c r="M958" s="169">
        <f t="shared" si="64"/>
        <v>0</v>
      </c>
      <c r="N958" s="169">
        <f t="shared" si="56"/>
        <v>0</v>
      </c>
      <c r="O958" s="169">
        <f t="shared" si="63"/>
        <v>35</v>
      </c>
      <c r="Z958" s="20"/>
      <c r="AA958" s="20"/>
    </row>
    <row r="959" spans="1:27" x14ac:dyDescent="0.3">
      <c r="A959" s="88">
        <v>859</v>
      </c>
      <c r="B959" s="173"/>
      <c r="C959" s="159"/>
      <c r="D959" s="88" t="s">
        <v>512</v>
      </c>
      <c r="E959" s="88" t="s">
        <v>736</v>
      </c>
      <c r="F959" s="88" t="s">
        <v>608</v>
      </c>
      <c r="G959" s="88" t="s">
        <v>1343</v>
      </c>
      <c r="H959" s="88"/>
      <c r="I959" s="88"/>
      <c r="J959" s="49">
        <v>1</v>
      </c>
      <c r="K959" s="49">
        <v>20</v>
      </c>
      <c r="L959" s="169">
        <f t="shared" si="62"/>
        <v>20</v>
      </c>
      <c r="M959" s="169">
        <f t="shared" si="64"/>
        <v>0</v>
      </c>
      <c r="N959" s="169">
        <f t="shared" si="56"/>
        <v>0</v>
      </c>
      <c r="O959" s="169">
        <f t="shared" si="63"/>
        <v>20</v>
      </c>
      <c r="Z959" s="20"/>
      <c r="AA959" s="20"/>
    </row>
    <row r="960" spans="1:27" x14ac:dyDescent="0.3">
      <c r="A960" s="88">
        <v>859</v>
      </c>
      <c r="B960" s="173"/>
      <c r="C960" s="159"/>
      <c r="D960" s="88" t="s">
        <v>512</v>
      </c>
      <c r="E960" s="88" t="s">
        <v>736</v>
      </c>
      <c r="F960" s="88" t="s">
        <v>608</v>
      </c>
      <c r="G960" s="88" t="s">
        <v>1343</v>
      </c>
      <c r="H960" s="88"/>
      <c r="I960" s="88"/>
      <c r="J960" s="49">
        <v>1</v>
      </c>
      <c r="K960" s="49">
        <v>20</v>
      </c>
      <c r="L960" s="169">
        <f t="shared" si="62"/>
        <v>20</v>
      </c>
      <c r="M960" s="169">
        <f t="shared" si="64"/>
        <v>0</v>
      </c>
      <c r="N960" s="169">
        <f t="shared" si="56"/>
        <v>0</v>
      </c>
      <c r="O960" s="169">
        <f t="shared" si="63"/>
        <v>20</v>
      </c>
      <c r="Z960" s="20"/>
      <c r="AA960" s="20"/>
    </row>
    <row r="961" spans="1:27" x14ac:dyDescent="0.3">
      <c r="A961" s="88">
        <v>859</v>
      </c>
      <c r="B961" s="173"/>
      <c r="C961" s="159"/>
      <c r="D961" s="88" t="s">
        <v>512</v>
      </c>
      <c r="E961" s="88" t="s">
        <v>736</v>
      </c>
      <c r="F961" s="88" t="s">
        <v>608</v>
      </c>
      <c r="G961" s="88" t="s">
        <v>1343</v>
      </c>
      <c r="H961" s="88"/>
      <c r="I961" s="88"/>
      <c r="J961" s="49">
        <v>1</v>
      </c>
      <c r="K961" s="49">
        <v>20</v>
      </c>
      <c r="L961" s="169">
        <f t="shared" si="62"/>
        <v>20</v>
      </c>
      <c r="M961" s="169">
        <f t="shared" si="64"/>
        <v>0</v>
      </c>
      <c r="N961" s="169">
        <f t="shared" si="56"/>
        <v>0</v>
      </c>
      <c r="O961" s="169">
        <f t="shared" si="63"/>
        <v>20</v>
      </c>
      <c r="Z961" s="20"/>
      <c r="AA961" s="20"/>
    </row>
    <row r="962" spans="1:27" x14ac:dyDescent="0.3">
      <c r="A962" s="88">
        <v>859</v>
      </c>
      <c r="B962" s="173"/>
      <c r="C962" s="159"/>
      <c r="D962" s="88" t="s">
        <v>512</v>
      </c>
      <c r="E962" s="88" t="s">
        <v>736</v>
      </c>
      <c r="F962" s="88" t="s">
        <v>608</v>
      </c>
      <c r="G962" s="88" t="s">
        <v>1343</v>
      </c>
      <c r="H962" s="88"/>
      <c r="I962" s="88"/>
      <c r="J962" s="49">
        <v>1</v>
      </c>
      <c r="K962" s="49">
        <v>20</v>
      </c>
      <c r="L962" s="169">
        <f t="shared" si="62"/>
        <v>20</v>
      </c>
      <c r="M962" s="169">
        <f t="shared" si="64"/>
        <v>0</v>
      </c>
      <c r="N962" s="169">
        <f t="shared" si="56"/>
        <v>0</v>
      </c>
      <c r="O962" s="169">
        <f t="shared" si="63"/>
        <v>20</v>
      </c>
      <c r="Z962" s="20"/>
      <c r="AA962" s="20"/>
    </row>
    <row r="963" spans="1:27" x14ac:dyDescent="0.3">
      <c r="A963" s="88">
        <v>859</v>
      </c>
      <c r="B963" s="173"/>
      <c r="C963" s="159"/>
      <c r="D963" s="88" t="s">
        <v>512</v>
      </c>
      <c r="E963" s="88" t="s">
        <v>736</v>
      </c>
      <c r="F963" s="88" t="s">
        <v>608</v>
      </c>
      <c r="G963" s="88" t="s">
        <v>1343</v>
      </c>
      <c r="H963" s="88"/>
      <c r="I963" s="88"/>
      <c r="J963" s="49">
        <v>1</v>
      </c>
      <c r="K963" s="49">
        <v>20</v>
      </c>
      <c r="L963" s="169">
        <f t="shared" si="62"/>
        <v>20</v>
      </c>
      <c r="M963" s="169">
        <f t="shared" si="64"/>
        <v>0</v>
      </c>
      <c r="N963" s="169">
        <f t="shared" si="56"/>
        <v>0</v>
      </c>
      <c r="O963" s="169">
        <f t="shared" si="63"/>
        <v>20</v>
      </c>
      <c r="Z963" s="20"/>
      <c r="AA963" s="20"/>
    </row>
    <row r="964" spans="1:27" x14ac:dyDescent="0.3">
      <c r="A964" s="88">
        <v>859</v>
      </c>
      <c r="B964" s="173"/>
      <c r="C964" s="159"/>
      <c r="D964" s="88" t="s">
        <v>512</v>
      </c>
      <c r="E964" s="88" t="s">
        <v>715</v>
      </c>
      <c r="F964" s="88" t="s">
        <v>1346</v>
      </c>
      <c r="G964" s="88" t="s">
        <v>1346</v>
      </c>
      <c r="H964" s="88"/>
      <c r="I964" s="88"/>
      <c r="J964" s="49">
        <v>1</v>
      </c>
      <c r="K964" s="49">
        <v>20</v>
      </c>
      <c r="L964" s="169">
        <f t="shared" si="62"/>
        <v>20</v>
      </c>
      <c r="M964" s="169">
        <f t="shared" si="64"/>
        <v>0</v>
      </c>
      <c r="N964" s="169">
        <f t="shared" si="56"/>
        <v>0</v>
      </c>
      <c r="O964" s="169">
        <f t="shared" si="63"/>
        <v>20</v>
      </c>
      <c r="Z964" s="20"/>
      <c r="AA964" s="20"/>
    </row>
    <row r="965" spans="1:27" x14ac:dyDescent="0.3">
      <c r="A965" s="88">
        <v>859</v>
      </c>
      <c r="B965" s="173"/>
      <c r="C965" s="159"/>
      <c r="D965" s="88" t="s">
        <v>512</v>
      </c>
      <c r="E965" s="88" t="s">
        <v>757</v>
      </c>
      <c r="F965" s="88" t="s">
        <v>757</v>
      </c>
      <c r="G965" s="88" t="s">
        <v>757</v>
      </c>
      <c r="H965" s="88"/>
      <c r="I965" s="88"/>
      <c r="J965" s="49">
        <v>1</v>
      </c>
      <c r="K965" s="49">
        <v>40</v>
      </c>
      <c r="L965" s="169">
        <f t="shared" si="62"/>
        <v>40</v>
      </c>
      <c r="M965" s="169">
        <f t="shared" si="64"/>
        <v>0</v>
      </c>
      <c r="N965" s="169">
        <f t="shared" si="56"/>
        <v>0</v>
      </c>
      <c r="O965" s="169">
        <f t="shared" si="63"/>
        <v>40</v>
      </c>
      <c r="Z965" s="20"/>
      <c r="AA965" s="20"/>
    </row>
    <row r="966" spans="1:27" x14ac:dyDescent="0.3">
      <c r="A966" s="88">
        <v>859</v>
      </c>
      <c r="B966" s="173"/>
      <c r="C966" s="159"/>
      <c r="D966" s="88" t="s">
        <v>512</v>
      </c>
      <c r="E966" s="88" t="s">
        <v>820</v>
      </c>
      <c r="F966" s="88" t="s">
        <v>821</v>
      </c>
      <c r="G966" s="88" t="s">
        <v>971</v>
      </c>
      <c r="H966" s="88"/>
      <c r="I966" s="88"/>
      <c r="J966" s="49">
        <v>1</v>
      </c>
      <c r="K966" s="49">
        <v>158</v>
      </c>
      <c r="L966" s="169">
        <f t="shared" si="62"/>
        <v>158</v>
      </c>
      <c r="M966" s="169">
        <f t="shared" si="64"/>
        <v>0</v>
      </c>
      <c r="N966" s="169">
        <f t="shared" si="56"/>
        <v>0</v>
      </c>
      <c r="O966" s="169">
        <f t="shared" si="63"/>
        <v>158</v>
      </c>
      <c r="Z966" s="20"/>
      <c r="AA966" s="20"/>
    </row>
    <row r="967" spans="1:27" x14ac:dyDescent="0.3">
      <c r="A967" s="88">
        <v>859</v>
      </c>
      <c r="B967" s="173"/>
      <c r="C967" s="159"/>
      <c r="D967" s="88" t="s">
        <v>512</v>
      </c>
      <c r="E967" s="88" t="s">
        <v>763</v>
      </c>
      <c r="F967" s="88" t="s">
        <v>1433</v>
      </c>
      <c r="G967" s="88" t="s">
        <v>1432</v>
      </c>
      <c r="H967" s="88"/>
      <c r="I967" s="88"/>
      <c r="J967" s="49">
        <v>1</v>
      </c>
      <c r="K967" s="49">
        <v>800</v>
      </c>
      <c r="L967" s="169">
        <f t="shared" si="62"/>
        <v>800</v>
      </c>
      <c r="M967" s="169">
        <f t="shared" si="64"/>
        <v>0</v>
      </c>
      <c r="N967" s="169">
        <f t="shared" si="56"/>
        <v>0</v>
      </c>
      <c r="O967" s="169">
        <f t="shared" si="63"/>
        <v>800</v>
      </c>
      <c r="Z967" s="20"/>
      <c r="AA967" s="20"/>
    </row>
    <row r="968" spans="1:27" x14ac:dyDescent="0.3">
      <c r="A968" s="88">
        <v>859</v>
      </c>
      <c r="B968" s="173"/>
      <c r="C968" s="159"/>
      <c r="D968" s="88" t="s">
        <v>512</v>
      </c>
      <c r="E968" s="88"/>
      <c r="F968" s="88"/>
      <c r="G968" s="88"/>
      <c r="H968" s="88"/>
      <c r="I968" s="88"/>
      <c r="J968" s="49">
        <v>1</v>
      </c>
      <c r="K968" s="49">
        <v>1</v>
      </c>
      <c r="L968" s="169">
        <f t="shared" si="62"/>
        <v>1</v>
      </c>
      <c r="M968" s="169">
        <f t="shared" si="64"/>
        <v>0</v>
      </c>
      <c r="N968" s="169">
        <f t="shared" si="56"/>
        <v>0</v>
      </c>
      <c r="O968" s="169">
        <f t="shared" si="63"/>
        <v>1</v>
      </c>
      <c r="Z968" s="20"/>
      <c r="AA968" s="20"/>
    </row>
    <row r="969" spans="1:27" x14ac:dyDescent="0.3">
      <c r="A969" s="88">
        <v>859</v>
      </c>
      <c r="B969" s="173"/>
      <c r="C969" s="159"/>
      <c r="D969" s="88" t="s">
        <v>512</v>
      </c>
      <c r="E969" s="88"/>
      <c r="F969" s="88"/>
      <c r="G969" s="88"/>
      <c r="H969" s="88"/>
      <c r="I969" s="88"/>
      <c r="J969" s="49">
        <v>1</v>
      </c>
      <c r="K969" s="49">
        <v>1</v>
      </c>
      <c r="L969" s="169">
        <f t="shared" si="62"/>
        <v>1</v>
      </c>
      <c r="M969" s="169">
        <f t="shared" si="64"/>
        <v>0</v>
      </c>
      <c r="N969" s="169">
        <f t="shared" si="56"/>
        <v>0</v>
      </c>
      <c r="O969" s="169">
        <f t="shared" si="63"/>
        <v>1</v>
      </c>
      <c r="Z969" s="20"/>
      <c r="AA969" s="20"/>
    </row>
    <row r="970" spans="1:27" x14ac:dyDescent="0.3">
      <c r="A970" s="88">
        <v>859</v>
      </c>
      <c r="B970" s="173"/>
      <c r="C970" s="159"/>
      <c r="D970" s="88" t="s">
        <v>512</v>
      </c>
      <c r="E970" s="88"/>
      <c r="F970" s="88"/>
      <c r="G970" s="88"/>
      <c r="H970" s="88"/>
      <c r="I970" s="88"/>
      <c r="J970" s="49">
        <v>1</v>
      </c>
      <c r="K970" s="49">
        <v>1</v>
      </c>
      <c r="L970" s="169">
        <f t="shared" si="62"/>
        <v>1</v>
      </c>
      <c r="M970" s="169">
        <f t="shared" si="64"/>
        <v>0</v>
      </c>
      <c r="N970" s="169">
        <f t="shared" si="56"/>
        <v>0</v>
      </c>
      <c r="O970" s="169">
        <f t="shared" si="63"/>
        <v>1</v>
      </c>
      <c r="Z970" s="20"/>
      <c r="AA970" s="20"/>
    </row>
    <row r="971" spans="1:27" x14ac:dyDescent="0.3">
      <c r="A971" s="88">
        <v>859</v>
      </c>
      <c r="B971" s="173"/>
      <c r="C971" s="159"/>
      <c r="D971" s="88"/>
      <c r="E971" s="88"/>
      <c r="F971" s="88"/>
      <c r="G971" s="88"/>
      <c r="H971" s="88"/>
      <c r="I971" s="88"/>
      <c r="J971" s="49">
        <v>1</v>
      </c>
      <c r="K971" s="49">
        <v>1</v>
      </c>
      <c r="L971" s="169">
        <f t="shared" si="62"/>
        <v>1</v>
      </c>
      <c r="M971" s="169">
        <f t="shared" si="64"/>
        <v>0</v>
      </c>
      <c r="N971" s="169">
        <f t="shared" si="56"/>
        <v>0</v>
      </c>
      <c r="O971" s="169">
        <f t="shared" si="63"/>
        <v>1</v>
      </c>
      <c r="Z971" s="20"/>
      <c r="AA971" s="20"/>
    </row>
    <row r="972" spans="1:27" x14ac:dyDescent="0.3">
      <c r="A972" s="88">
        <v>859</v>
      </c>
      <c r="B972" s="173"/>
      <c r="C972" s="159"/>
      <c r="D972" s="88"/>
      <c r="E972" s="88"/>
      <c r="F972" s="88"/>
      <c r="G972" s="88"/>
      <c r="H972" s="88"/>
      <c r="I972" s="88"/>
      <c r="J972" s="49">
        <v>1</v>
      </c>
      <c r="K972" s="49">
        <v>1</v>
      </c>
      <c r="L972" s="169">
        <f t="shared" si="62"/>
        <v>1</v>
      </c>
      <c r="M972" s="169">
        <f t="shared" si="64"/>
        <v>0</v>
      </c>
      <c r="N972" s="169">
        <f t="shared" si="56"/>
        <v>0</v>
      </c>
      <c r="O972" s="169">
        <f t="shared" si="63"/>
        <v>1</v>
      </c>
      <c r="Z972" s="20"/>
      <c r="AA972" s="20"/>
    </row>
    <row r="973" spans="1:27" x14ac:dyDescent="0.3">
      <c r="A973" s="88">
        <v>859</v>
      </c>
      <c r="B973" s="173"/>
      <c r="C973" s="159"/>
      <c r="D973" s="88"/>
      <c r="E973" s="88"/>
      <c r="F973" s="88"/>
      <c r="G973" s="88"/>
      <c r="H973" s="88"/>
      <c r="I973" s="88"/>
      <c r="J973" s="49">
        <v>1</v>
      </c>
      <c r="K973" s="49">
        <v>1</v>
      </c>
      <c r="L973" s="169">
        <f t="shared" si="62"/>
        <v>1</v>
      </c>
      <c r="M973" s="169">
        <f t="shared" si="64"/>
        <v>0</v>
      </c>
      <c r="N973" s="169">
        <f t="shared" si="56"/>
        <v>0</v>
      </c>
      <c r="O973" s="169">
        <f t="shared" si="63"/>
        <v>1</v>
      </c>
      <c r="Z973" s="20"/>
      <c r="AA973" s="20"/>
    </row>
    <row r="974" spans="1:27" x14ac:dyDescent="0.3">
      <c r="A974" s="88">
        <v>859</v>
      </c>
      <c r="B974" s="173"/>
      <c r="C974" s="159"/>
      <c r="D974" s="88"/>
      <c r="E974" s="88"/>
      <c r="F974" s="88"/>
      <c r="G974" s="88"/>
      <c r="H974" s="88"/>
      <c r="I974" s="88"/>
      <c r="J974" s="49">
        <v>1</v>
      </c>
      <c r="K974" s="49">
        <v>1</v>
      </c>
      <c r="L974" s="169">
        <f t="shared" si="62"/>
        <v>1</v>
      </c>
      <c r="M974" s="169">
        <f t="shared" si="64"/>
        <v>0</v>
      </c>
      <c r="N974" s="169">
        <f t="shared" si="56"/>
        <v>0</v>
      </c>
      <c r="O974" s="169">
        <f t="shared" si="63"/>
        <v>1</v>
      </c>
      <c r="Z974" s="20"/>
      <c r="AA974" s="20"/>
    </row>
    <row r="975" spans="1:27" x14ac:dyDescent="0.3">
      <c r="A975" s="88">
        <v>859</v>
      </c>
      <c r="B975" s="173"/>
      <c r="C975" s="159"/>
      <c r="D975" s="88"/>
      <c r="E975" s="88"/>
      <c r="F975" s="88"/>
      <c r="G975" s="88"/>
      <c r="H975" s="88"/>
      <c r="I975" s="88"/>
      <c r="J975" s="49">
        <v>1</v>
      </c>
      <c r="K975" s="49">
        <v>1</v>
      </c>
      <c r="L975" s="169">
        <f t="shared" si="62"/>
        <v>1</v>
      </c>
      <c r="M975" s="169">
        <f t="shared" si="64"/>
        <v>0</v>
      </c>
      <c r="N975" s="169">
        <f t="shared" si="56"/>
        <v>0</v>
      </c>
      <c r="O975" s="169">
        <f t="shared" si="63"/>
        <v>1</v>
      </c>
      <c r="Z975" s="20"/>
      <c r="AA975" s="20"/>
    </row>
    <row r="976" spans="1:27" x14ac:dyDescent="0.3">
      <c r="A976" s="88">
        <v>859</v>
      </c>
      <c r="B976" s="173"/>
      <c r="C976" s="159"/>
      <c r="D976" s="88"/>
      <c r="E976" s="88"/>
      <c r="F976" s="88"/>
      <c r="G976" s="88"/>
      <c r="H976" s="88"/>
      <c r="I976" s="88"/>
      <c r="J976" s="49">
        <v>1</v>
      </c>
      <c r="K976" s="49">
        <v>1</v>
      </c>
      <c r="L976" s="169">
        <f t="shared" si="62"/>
        <v>1</v>
      </c>
      <c r="M976" s="169">
        <f t="shared" si="64"/>
        <v>0</v>
      </c>
      <c r="N976" s="169">
        <f t="shared" si="56"/>
        <v>0</v>
      </c>
      <c r="O976" s="169">
        <f t="shared" si="63"/>
        <v>1</v>
      </c>
      <c r="Z976" s="20"/>
      <c r="AA976" s="20"/>
    </row>
    <row r="977" spans="1:27" x14ac:dyDescent="0.3">
      <c r="A977" s="88">
        <v>859</v>
      </c>
      <c r="B977" s="173"/>
      <c r="C977" s="159"/>
      <c r="D977" s="88"/>
      <c r="E977" s="88"/>
      <c r="F977" s="88"/>
      <c r="G977" s="88"/>
      <c r="H977" s="88"/>
      <c r="I977" s="88"/>
      <c r="J977" s="49">
        <v>1</v>
      </c>
      <c r="K977" s="49">
        <v>1</v>
      </c>
      <c r="L977" s="169">
        <f t="shared" si="62"/>
        <v>1</v>
      </c>
      <c r="M977" s="169">
        <f t="shared" si="64"/>
        <v>0</v>
      </c>
      <c r="N977" s="169">
        <f t="shared" si="56"/>
        <v>0</v>
      </c>
      <c r="O977" s="169">
        <f t="shared" si="63"/>
        <v>1</v>
      </c>
      <c r="Z977" s="20"/>
      <c r="AA977" s="20"/>
    </row>
    <row r="978" spans="1:27" x14ac:dyDescent="0.3">
      <c r="A978" s="88">
        <v>859</v>
      </c>
      <c r="B978" s="173"/>
      <c r="C978" s="159"/>
      <c r="D978" s="88"/>
      <c r="E978" s="88"/>
      <c r="F978" s="88"/>
      <c r="G978" s="88"/>
      <c r="H978" s="88"/>
      <c r="I978" s="88"/>
      <c r="J978" s="49">
        <v>1</v>
      </c>
      <c r="K978" s="49">
        <v>1</v>
      </c>
      <c r="L978" s="169">
        <f t="shared" si="62"/>
        <v>1</v>
      </c>
      <c r="M978" s="169">
        <f t="shared" si="64"/>
        <v>0</v>
      </c>
      <c r="N978" s="169">
        <f t="shared" si="56"/>
        <v>0</v>
      </c>
      <c r="O978" s="169">
        <f t="shared" si="63"/>
        <v>1</v>
      </c>
      <c r="Z978" s="20"/>
      <c r="AA978" s="20"/>
    </row>
    <row r="979" spans="1:27" x14ac:dyDescent="0.3">
      <c r="A979" s="88">
        <v>859</v>
      </c>
      <c r="B979" s="173"/>
      <c r="C979" s="159"/>
      <c r="D979" s="88"/>
      <c r="E979" s="88"/>
      <c r="F979" s="88"/>
      <c r="G979" s="88"/>
      <c r="H979" s="88"/>
      <c r="I979" s="88"/>
      <c r="J979" s="49">
        <v>1</v>
      </c>
      <c r="K979" s="49">
        <v>1</v>
      </c>
      <c r="L979" s="169">
        <f t="shared" si="62"/>
        <v>1</v>
      </c>
      <c r="M979" s="169">
        <f t="shared" si="64"/>
        <v>0</v>
      </c>
      <c r="N979" s="169">
        <f t="shared" si="56"/>
        <v>0</v>
      </c>
      <c r="O979" s="169">
        <f t="shared" si="63"/>
        <v>1</v>
      </c>
      <c r="Z979" s="20"/>
      <c r="AA979" s="20"/>
    </row>
    <row r="980" spans="1:27" x14ac:dyDescent="0.3">
      <c r="A980" s="88">
        <v>859</v>
      </c>
      <c r="B980" s="173"/>
      <c r="C980" s="159"/>
      <c r="D980" s="88"/>
      <c r="E980" s="88"/>
      <c r="F980" s="88"/>
      <c r="G980" s="88"/>
      <c r="H980" s="88"/>
      <c r="I980" s="88"/>
      <c r="J980" s="49">
        <v>1</v>
      </c>
      <c r="K980" s="49">
        <v>1</v>
      </c>
      <c r="L980" s="169">
        <f t="shared" si="62"/>
        <v>1</v>
      </c>
      <c r="M980" s="169">
        <f t="shared" si="64"/>
        <v>0</v>
      </c>
      <c r="N980" s="169">
        <f t="shared" si="56"/>
        <v>0</v>
      </c>
      <c r="O980" s="169">
        <f t="shared" si="63"/>
        <v>1</v>
      </c>
      <c r="Z980" s="20"/>
      <c r="AA980" s="20"/>
    </row>
    <row r="981" spans="1:27" x14ac:dyDescent="0.3">
      <c r="A981" s="88">
        <v>859</v>
      </c>
      <c r="B981" s="173"/>
      <c r="C981" s="159"/>
      <c r="D981" s="88"/>
      <c r="E981" s="88"/>
      <c r="F981" s="88"/>
      <c r="G981" s="88"/>
      <c r="H981" s="88"/>
      <c r="I981" s="88"/>
      <c r="J981" s="49">
        <v>1</v>
      </c>
      <c r="K981" s="49">
        <v>1</v>
      </c>
      <c r="L981" s="169">
        <f t="shared" si="62"/>
        <v>1</v>
      </c>
      <c r="M981" s="169">
        <f t="shared" si="64"/>
        <v>0</v>
      </c>
      <c r="N981" s="169">
        <f t="shared" si="56"/>
        <v>0</v>
      </c>
      <c r="O981" s="169">
        <f t="shared" si="63"/>
        <v>1</v>
      </c>
      <c r="Z981" s="20"/>
      <c r="AA981" s="20"/>
    </row>
    <row r="982" spans="1:27" x14ac:dyDescent="0.3">
      <c r="A982" s="88">
        <v>859</v>
      </c>
      <c r="B982" s="173"/>
      <c r="C982" s="159"/>
      <c r="D982" s="88"/>
      <c r="E982" s="88"/>
      <c r="F982" s="88"/>
      <c r="G982" s="88"/>
      <c r="H982" s="88"/>
      <c r="I982" s="88"/>
      <c r="J982" s="49">
        <v>1</v>
      </c>
      <c r="K982" s="49">
        <v>1</v>
      </c>
      <c r="L982" s="169">
        <f t="shared" si="62"/>
        <v>1</v>
      </c>
      <c r="M982" s="169">
        <f t="shared" si="64"/>
        <v>0</v>
      </c>
      <c r="N982" s="169">
        <f t="shared" si="56"/>
        <v>0</v>
      </c>
      <c r="O982" s="169">
        <f t="shared" si="63"/>
        <v>1</v>
      </c>
      <c r="Z982" s="20"/>
      <c r="AA982" s="20"/>
    </row>
    <row r="983" spans="1:27" x14ac:dyDescent="0.3">
      <c r="A983" s="88">
        <v>859</v>
      </c>
      <c r="B983" s="173"/>
      <c r="C983" s="159"/>
      <c r="D983" s="88"/>
      <c r="E983" s="88"/>
      <c r="F983" s="88"/>
      <c r="G983" s="88"/>
      <c r="H983" s="88"/>
      <c r="I983" s="88"/>
      <c r="J983" s="49">
        <v>1</v>
      </c>
      <c r="K983" s="49">
        <v>1</v>
      </c>
      <c r="L983" s="169">
        <f t="shared" si="62"/>
        <v>1</v>
      </c>
      <c r="M983" s="169">
        <f t="shared" si="64"/>
        <v>0</v>
      </c>
      <c r="N983" s="169">
        <f t="shared" si="56"/>
        <v>0</v>
      </c>
      <c r="O983" s="169">
        <f t="shared" si="63"/>
        <v>1</v>
      </c>
      <c r="Z983" s="20"/>
      <c r="AA983" s="20"/>
    </row>
    <row r="984" spans="1:27" x14ac:dyDescent="0.3">
      <c r="A984" s="88">
        <v>859</v>
      </c>
      <c r="B984" s="173"/>
      <c r="C984" s="159"/>
      <c r="D984" s="88"/>
      <c r="E984" s="88"/>
      <c r="F984" s="88"/>
      <c r="G984" s="88"/>
      <c r="H984" s="88"/>
      <c r="I984" s="88"/>
      <c r="J984" s="49">
        <v>1</v>
      </c>
      <c r="K984" s="49">
        <v>1</v>
      </c>
      <c r="L984" s="169">
        <f t="shared" si="62"/>
        <v>1</v>
      </c>
      <c r="M984" s="169">
        <f t="shared" si="64"/>
        <v>0</v>
      </c>
      <c r="N984" s="169">
        <f t="shared" si="56"/>
        <v>0</v>
      </c>
      <c r="O984" s="169">
        <f t="shared" si="63"/>
        <v>1</v>
      </c>
      <c r="Z984" s="20"/>
      <c r="AA984" s="20"/>
    </row>
    <row r="985" spans="1:27" x14ac:dyDescent="0.3">
      <c r="A985" s="88">
        <v>859</v>
      </c>
      <c r="B985" s="173"/>
      <c r="C985" s="159"/>
      <c r="D985" s="88"/>
      <c r="E985" s="88"/>
      <c r="F985" s="88"/>
      <c r="G985" s="88"/>
      <c r="H985" s="88"/>
      <c r="I985" s="88"/>
      <c r="J985" s="49">
        <v>1</v>
      </c>
      <c r="K985" s="49">
        <v>1</v>
      </c>
      <c r="L985" s="169">
        <f t="shared" si="62"/>
        <v>1</v>
      </c>
      <c r="M985" s="169">
        <f t="shared" si="64"/>
        <v>0</v>
      </c>
      <c r="N985" s="169">
        <f t="shared" si="56"/>
        <v>0</v>
      </c>
      <c r="O985" s="169">
        <f t="shared" si="63"/>
        <v>1</v>
      </c>
      <c r="Z985" s="20"/>
      <c r="AA985" s="20"/>
    </row>
    <row r="986" spans="1:27" x14ac:dyDescent="0.3">
      <c r="A986" s="88">
        <v>859</v>
      </c>
      <c r="B986" s="173"/>
      <c r="C986" s="159"/>
      <c r="D986" s="88"/>
      <c r="E986" s="88"/>
      <c r="F986" s="88"/>
      <c r="G986" s="88"/>
      <c r="H986" s="88"/>
      <c r="I986" s="88"/>
      <c r="J986" s="49">
        <v>1</v>
      </c>
      <c r="K986" s="49">
        <v>1</v>
      </c>
      <c r="L986" s="169">
        <f t="shared" si="62"/>
        <v>1</v>
      </c>
      <c r="M986" s="169">
        <f t="shared" si="64"/>
        <v>0</v>
      </c>
      <c r="N986" s="169">
        <f t="shared" si="56"/>
        <v>0</v>
      </c>
      <c r="O986" s="169">
        <f t="shared" si="63"/>
        <v>1</v>
      </c>
      <c r="Z986" s="20"/>
      <c r="AA986" s="20"/>
    </row>
    <row r="987" spans="1:27" x14ac:dyDescent="0.3">
      <c r="A987" s="88">
        <v>859</v>
      </c>
      <c r="B987" s="173"/>
      <c r="C987" s="159"/>
      <c r="D987" s="88"/>
      <c r="E987" s="88"/>
      <c r="F987" s="88"/>
      <c r="G987" s="88"/>
      <c r="H987" s="88"/>
      <c r="I987" s="88"/>
      <c r="J987" s="49">
        <v>1</v>
      </c>
      <c r="K987" s="49">
        <v>1</v>
      </c>
      <c r="L987" s="169">
        <f t="shared" si="62"/>
        <v>1</v>
      </c>
      <c r="M987" s="169">
        <f t="shared" si="64"/>
        <v>0</v>
      </c>
      <c r="N987" s="169">
        <f t="shared" si="56"/>
        <v>0</v>
      </c>
      <c r="O987" s="169">
        <f t="shared" si="63"/>
        <v>1</v>
      </c>
      <c r="Z987" s="20"/>
      <c r="AA987" s="20"/>
    </row>
    <row r="988" spans="1:27" x14ac:dyDescent="0.3">
      <c r="A988" s="88">
        <v>859</v>
      </c>
      <c r="B988" s="173"/>
      <c r="C988" s="159"/>
      <c r="D988" s="88"/>
      <c r="E988" s="88"/>
      <c r="F988" s="88"/>
      <c r="G988" s="88"/>
      <c r="H988" s="88"/>
      <c r="I988" s="88"/>
      <c r="J988" s="49">
        <v>1</v>
      </c>
      <c r="K988" s="49">
        <v>1</v>
      </c>
      <c r="L988" s="169">
        <f t="shared" si="62"/>
        <v>1</v>
      </c>
      <c r="M988" s="169">
        <f t="shared" si="64"/>
        <v>0</v>
      </c>
      <c r="N988" s="169">
        <f t="shared" si="56"/>
        <v>0</v>
      </c>
      <c r="O988" s="169">
        <f t="shared" si="63"/>
        <v>1</v>
      </c>
      <c r="Z988" s="20"/>
      <c r="AA988" s="20"/>
    </row>
    <row r="989" spans="1:27" x14ac:dyDescent="0.3">
      <c r="A989" s="88">
        <v>859</v>
      </c>
      <c r="B989" s="173"/>
      <c r="C989" s="159"/>
      <c r="D989" s="88"/>
      <c r="E989" s="88"/>
      <c r="F989" s="88"/>
      <c r="G989" s="88"/>
      <c r="H989" s="88"/>
      <c r="I989" s="88"/>
      <c r="J989" s="49">
        <v>1</v>
      </c>
      <c r="K989" s="49">
        <v>1</v>
      </c>
      <c r="L989" s="169">
        <f t="shared" si="62"/>
        <v>1</v>
      </c>
      <c r="M989" s="169">
        <f t="shared" si="64"/>
        <v>0</v>
      </c>
      <c r="N989" s="169">
        <f t="shared" si="56"/>
        <v>0</v>
      </c>
      <c r="O989" s="169">
        <f t="shared" si="63"/>
        <v>1</v>
      </c>
      <c r="Z989" s="20"/>
      <c r="AA989" s="20"/>
    </row>
    <row r="990" spans="1:27" x14ac:dyDescent="0.3">
      <c r="A990" s="88">
        <v>859</v>
      </c>
      <c r="B990" s="173"/>
      <c r="C990" s="159"/>
      <c r="D990" s="88"/>
      <c r="E990" s="88"/>
      <c r="F990" s="88"/>
      <c r="G990" s="88"/>
      <c r="H990" s="88"/>
      <c r="I990" s="88"/>
      <c r="J990" s="49">
        <v>1</v>
      </c>
      <c r="K990" s="49">
        <v>1</v>
      </c>
      <c r="L990" s="169">
        <f t="shared" si="62"/>
        <v>1</v>
      </c>
      <c r="M990" s="169">
        <f t="shared" si="64"/>
        <v>0</v>
      </c>
      <c r="N990" s="169">
        <f t="shared" si="56"/>
        <v>0</v>
      </c>
      <c r="O990" s="169">
        <f t="shared" si="63"/>
        <v>1</v>
      </c>
      <c r="Z990" s="20"/>
      <c r="AA990" s="20"/>
    </row>
    <row r="991" spans="1:27" x14ac:dyDescent="0.3">
      <c r="A991" s="88">
        <v>859</v>
      </c>
      <c r="B991" s="173"/>
      <c r="C991" s="159"/>
      <c r="D991" s="88"/>
      <c r="E991" s="88"/>
      <c r="F991" s="88"/>
      <c r="G991" s="88"/>
      <c r="H991" s="88"/>
      <c r="I991" s="88"/>
      <c r="J991" s="49">
        <v>1</v>
      </c>
      <c r="K991" s="49">
        <v>1</v>
      </c>
      <c r="L991" s="169">
        <f t="shared" si="62"/>
        <v>1</v>
      </c>
      <c r="M991" s="169">
        <f t="shared" si="64"/>
        <v>0</v>
      </c>
      <c r="N991" s="169">
        <f t="shared" si="56"/>
        <v>0</v>
      </c>
      <c r="O991" s="169">
        <f t="shared" si="63"/>
        <v>1</v>
      </c>
      <c r="Z991" s="20"/>
      <c r="AA991" s="20"/>
    </row>
    <row r="992" spans="1:27" x14ac:dyDescent="0.3">
      <c r="A992" s="88">
        <v>859</v>
      </c>
      <c r="B992" s="173"/>
      <c r="C992" s="159"/>
      <c r="D992" s="88"/>
      <c r="E992" s="88"/>
      <c r="F992" s="88"/>
      <c r="G992" s="88"/>
      <c r="H992" s="88"/>
      <c r="I992" s="88"/>
      <c r="J992" s="49">
        <v>1</v>
      </c>
      <c r="K992" s="49">
        <v>1</v>
      </c>
      <c r="L992" s="169">
        <f t="shared" ref="L992:L1030" si="65">K992*J992</f>
        <v>1</v>
      </c>
      <c r="M992" s="169">
        <f t="shared" si="64"/>
        <v>0</v>
      </c>
      <c r="N992" s="169">
        <f t="shared" si="56"/>
        <v>0</v>
      </c>
      <c r="O992" s="169">
        <f t="shared" ref="O992:O1030" si="66">N992+L992</f>
        <v>1</v>
      </c>
      <c r="Z992" s="20"/>
      <c r="AA992" s="20"/>
    </row>
    <row r="993" spans="1:27" x14ac:dyDescent="0.3">
      <c r="A993" s="88">
        <v>859</v>
      </c>
      <c r="B993" s="173"/>
      <c r="C993" s="159"/>
      <c r="D993" s="88"/>
      <c r="E993" s="88"/>
      <c r="F993" s="88"/>
      <c r="G993" s="88"/>
      <c r="H993" s="88"/>
      <c r="I993" s="88"/>
      <c r="J993" s="49">
        <v>1</v>
      </c>
      <c r="K993" s="49">
        <v>1</v>
      </c>
      <c r="L993" s="169">
        <f t="shared" si="65"/>
        <v>1</v>
      </c>
      <c r="M993" s="169">
        <f t="shared" si="64"/>
        <v>0</v>
      </c>
      <c r="N993" s="169">
        <f t="shared" si="56"/>
        <v>0</v>
      </c>
      <c r="O993" s="169">
        <f t="shared" si="66"/>
        <v>1</v>
      </c>
      <c r="Z993" s="20"/>
      <c r="AA993" s="20"/>
    </row>
    <row r="994" spans="1:27" x14ac:dyDescent="0.3">
      <c r="A994" s="88">
        <v>859</v>
      </c>
      <c r="B994" s="173"/>
      <c r="C994" s="159"/>
      <c r="D994" s="88"/>
      <c r="E994" s="88"/>
      <c r="F994" s="88"/>
      <c r="G994" s="88"/>
      <c r="H994" s="88"/>
      <c r="I994" s="88"/>
      <c r="J994" s="49">
        <v>1</v>
      </c>
      <c r="K994" s="49">
        <v>1</v>
      </c>
      <c r="L994" s="169">
        <f t="shared" si="65"/>
        <v>1</v>
      </c>
      <c r="M994" s="169">
        <f t="shared" si="64"/>
        <v>0</v>
      </c>
      <c r="N994" s="169">
        <f t="shared" si="56"/>
        <v>0</v>
      </c>
      <c r="O994" s="169">
        <f t="shared" si="66"/>
        <v>1</v>
      </c>
      <c r="Z994" s="20"/>
      <c r="AA994" s="20"/>
    </row>
    <row r="995" spans="1:27" x14ac:dyDescent="0.3">
      <c r="A995" s="88">
        <v>859</v>
      </c>
      <c r="B995" s="173"/>
      <c r="C995" s="159"/>
      <c r="D995" s="88"/>
      <c r="E995" s="88"/>
      <c r="F995" s="88"/>
      <c r="G995" s="88"/>
      <c r="H995" s="88"/>
      <c r="I995" s="88"/>
      <c r="J995" s="49">
        <v>1</v>
      </c>
      <c r="K995" s="49">
        <v>1</v>
      </c>
      <c r="L995" s="169">
        <f t="shared" si="65"/>
        <v>1</v>
      </c>
      <c r="M995" s="169">
        <f t="shared" si="64"/>
        <v>0</v>
      </c>
      <c r="N995" s="169">
        <f t="shared" si="56"/>
        <v>0</v>
      </c>
      <c r="O995" s="169">
        <f t="shared" si="66"/>
        <v>1</v>
      </c>
      <c r="Z995" s="20"/>
      <c r="AA995" s="20"/>
    </row>
    <row r="996" spans="1:27" x14ac:dyDescent="0.3">
      <c r="A996" s="88">
        <v>859</v>
      </c>
      <c r="B996" s="173"/>
      <c r="C996" s="159"/>
      <c r="D996" s="88"/>
      <c r="E996" s="88"/>
      <c r="F996" s="88"/>
      <c r="G996" s="88"/>
      <c r="H996" s="88"/>
      <c r="I996" s="88"/>
      <c r="J996" s="49">
        <v>1</v>
      </c>
      <c r="K996" s="49">
        <v>1</v>
      </c>
      <c r="L996" s="169">
        <f t="shared" si="65"/>
        <v>1</v>
      </c>
      <c r="M996" s="169">
        <f t="shared" si="64"/>
        <v>0</v>
      </c>
      <c r="N996" s="169">
        <f t="shared" si="56"/>
        <v>0</v>
      </c>
      <c r="O996" s="169">
        <f t="shared" si="66"/>
        <v>1</v>
      </c>
      <c r="Z996" s="20"/>
      <c r="AA996" s="20"/>
    </row>
    <row r="997" spans="1:27" x14ac:dyDescent="0.3">
      <c r="A997" s="88">
        <v>859</v>
      </c>
      <c r="B997" s="173"/>
      <c r="C997" s="159"/>
      <c r="D997" s="88"/>
      <c r="E997" s="88"/>
      <c r="F997" s="88"/>
      <c r="G997" s="88"/>
      <c r="H997" s="88"/>
      <c r="I997" s="88"/>
      <c r="J997" s="49">
        <v>1</v>
      </c>
      <c r="K997" s="49">
        <v>1</v>
      </c>
      <c r="L997" s="169">
        <f t="shared" si="65"/>
        <v>1</v>
      </c>
      <c r="M997" s="169">
        <f t="shared" si="64"/>
        <v>0</v>
      </c>
      <c r="N997" s="169">
        <f t="shared" si="56"/>
        <v>0</v>
      </c>
      <c r="O997" s="169">
        <f t="shared" si="66"/>
        <v>1</v>
      </c>
      <c r="Z997" s="20"/>
      <c r="AA997" s="20"/>
    </row>
    <row r="998" spans="1:27" x14ac:dyDescent="0.3">
      <c r="A998" s="88">
        <v>859</v>
      </c>
      <c r="B998" s="173"/>
      <c r="C998" s="159"/>
      <c r="D998" s="88"/>
      <c r="E998" s="88"/>
      <c r="F998" s="88"/>
      <c r="G998" s="88"/>
      <c r="H998" s="88"/>
      <c r="I998" s="88"/>
      <c r="J998" s="49">
        <v>1</v>
      </c>
      <c r="K998" s="49">
        <v>1</v>
      </c>
      <c r="L998" s="169">
        <f t="shared" si="65"/>
        <v>1</v>
      </c>
      <c r="M998" s="169">
        <f t="shared" si="64"/>
        <v>0</v>
      </c>
      <c r="N998" s="169">
        <f t="shared" si="56"/>
        <v>0</v>
      </c>
      <c r="O998" s="169">
        <f t="shared" si="66"/>
        <v>1</v>
      </c>
      <c r="Z998" s="20"/>
      <c r="AA998" s="20"/>
    </row>
    <row r="999" spans="1:27" x14ac:dyDescent="0.3">
      <c r="A999" s="88">
        <v>859</v>
      </c>
      <c r="B999" s="173"/>
      <c r="C999" s="159"/>
      <c r="D999" s="88"/>
      <c r="E999" s="88"/>
      <c r="F999" s="88"/>
      <c r="G999" s="88"/>
      <c r="H999" s="88"/>
      <c r="I999" s="88"/>
      <c r="J999" s="49">
        <v>1</v>
      </c>
      <c r="K999" s="49">
        <v>1</v>
      </c>
      <c r="L999" s="169">
        <f t="shared" si="65"/>
        <v>1</v>
      </c>
      <c r="M999" s="169">
        <f t="shared" si="64"/>
        <v>0</v>
      </c>
      <c r="N999" s="169">
        <f t="shared" si="56"/>
        <v>0</v>
      </c>
      <c r="O999" s="169">
        <f t="shared" si="66"/>
        <v>1</v>
      </c>
      <c r="Z999" s="20"/>
      <c r="AA999" s="20"/>
    </row>
    <row r="1000" spans="1:27" x14ac:dyDescent="0.3">
      <c r="A1000" s="88">
        <v>859</v>
      </c>
      <c r="B1000" s="173"/>
      <c r="C1000" s="159"/>
      <c r="D1000" s="88"/>
      <c r="E1000" s="88"/>
      <c r="F1000" s="88"/>
      <c r="G1000" s="88"/>
      <c r="H1000" s="88"/>
      <c r="I1000" s="88"/>
      <c r="J1000" s="49">
        <v>1</v>
      </c>
      <c r="K1000" s="49">
        <v>1</v>
      </c>
      <c r="L1000" s="169">
        <f t="shared" si="65"/>
        <v>1</v>
      </c>
      <c r="M1000" s="169">
        <f t="shared" si="64"/>
        <v>0</v>
      </c>
      <c r="N1000" s="169">
        <f t="shared" si="56"/>
        <v>0</v>
      </c>
      <c r="O1000" s="169">
        <f t="shared" si="66"/>
        <v>1</v>
      </c>
      <c r="Z1000" s="20"/>
      <c r="AA1000" s="20"/>
    </row>
    <row r="1001" spans="1:27" x14ac:dyDescent="0.3">
      <c r="A1001" s="88">
        <v>859</v>
      </c>
      <c r="B1001" s="173"/>
      <c r="C1001" s="159"/>
      <c r="D1001" s="88"/>
      <c r="E1001" s="88"/>
      <c r="F1001" s="88"/>
      <c r="G1001" s="88"/>
      <c r="H1001" s="88"/>
      <c r="I1001" s="88"/>
      <c r="J1001" s="49">
        <v>1</v>
      </c>
      <c r="K1001" s="49">
        <v>1</v>
      </c>
      <c r="L1001" s="169">
        <f t="shared" si="65"/>
        <v>1</v>
      </c>
      <c r="M1001" s="169">
        <f t="shared" si="64"/>
        <v>0</v>
      </c>
      <c r="N1001" s="169">
        <f t="shared" si="56"/>
        <v>0</v>
      </c>
      <c r="O1001" s="169">
        <f t="shared" si="66"/>
        <v>1</v>
      </c>
      <c r="Z1001" s="20"/>
      <c r="AA1001" s="20"/>
    </row>
    <row r="1002" spans="1:27" x14ac:dyDescent="0.3">
      <c r="A1002" s="88">
        <v>859</v>
      </c>
      <c r="B1002" s="173"/>
      <c r="C1002" s="159"/>
      <c r="D1002" s="88"/>
      <c r="E1002" s="88"/>
      <c r="F1002" s="88"/>
      <c r="G1002" s="88"/>
      <c r="H1002" s="88"/>
      <c r="I1002" s="88"/>
      <c r="J1002" s="49">
        <v>1</v>
      </c>
      <c r="K1002" s="49">
        <v>1</v>
      </c>
      <c r="L1002" s="169">
        <f t="shared" si="65"/>
        <v>1</v>
      </c>
      <c r="M1002" s="169">
        <f t="shared" si="64"/>
        <v>0</v>
      </c>
      <c r="N1002" s="169">
        <f t="shared" si="56"/>
        <v>0</v>
      </c>
      <c r="O1002" s="169">
        <f t="shared" si="66"/>
        <v>1</v>
      </c>
      <c r="Z1002" s="20"/>
      <c r="AA1002" s="20"/>
    </row>
    <row r="1003" spans="1:27" x14ac:dyDescent="0.3">
      <c r="A1003" s="88">
        <v>859</v>
      </c>
      <c r="B1003" s="173"/>
      <c r="C1003" s="159"/>
      <c r="D1003" s="88"/>
      <c r="E1003" s="88"/>
      <c r="F1003" s="88"/>
      <c r="G1003" s="88"/>
      <c r="H1003" s="88"/>
      <c r="I1003" s="88"/>
      <c r="J1003" s="49">
        <v>1</v>
      </c>
      <c r="K1003" s="49">
        <v>1</v>
      </c>
      <c r="L1003" s="169">
        <f t="shared" si="65"/>
        <v>1</v>
      </c>
      <c r="M1003" s="169">
        <f t="shared" si="64"/>
        <v>0</v>
      </c>
      <c r="N1003" s="169">
        <f t="shared" si="56"/>
        <v>0</v>
      </c>
      <c r="O1003" s="169">
        <f t="shared" si="66"/>
        <v>1</v>
      </c>
      <c r="Z1003" s="20"/>
      <c r="AA1003" s="20"/>
    </row>
    <row r="1004" spans="1:27" x14ac:dyDescent="0.3">
      <c r="A1004" s="88">
        <v>859</v>
      </c>
      <c r="B1004" s="173"/>
      <c r="C1004" s="159"/>
      <c r="D1004" s="88"/>
      <c r="E1004" s="88"/>
      <c r="F1004" s="88"/>
      <c r="G1004" s="88"/>
      <c r="H1004" s="88"/>
      <c r="I1004" s="88"/>
      <c r="J1004" s="49">
        <v>1</v>
      </c>
      <c r="K1004" s="49">
        <v>1</v>
      </c>
      <c r="L1004" s="169">
        <f t="shared" si="65"/>
        <v>1</v>
      </c>
      <c r="M1004" s="169">
        <f t="shared" si="64"/>
        <v>0</v>
      </c>
      <c r="N1004" s="169">
        <f t="shared" si="56"/>
        <v>0</v>
      </c>
      <c r="O1004" s="169">
        <f t="shared" si="66"/>
        <v>1</v>
      </c>
      <c r="Z1004" s="20"/>
      <c r="AA1004" s="20"/>
    </row>
    <row r="1005" spans="1:27" x14ac:dyDescent="0.3">
      <c r="A1005" s="88">
        <v>859</v>
      </c>
      <c r="B1005" s="173"/>
      <c r="C1005" s="159"/>
      <c r="D1005" s="88"/>
      <c r="E1005" s="88"/>
      <c r="F1005" s="88"/>
      <c r="G1005" s="88"/>
      <c r="H1005" s="88"/>
      <c r="I1005" s="88"/>
      <c r="J1005" s="49">
        <v>1</v>
      </c>
      <c r="K1005" s="49">
        <v>1</v>
      </c>
      <c r="L1005" s="169">
        <f t="shared" si="65"/>
        <v>1</v>
      </c>
      <c r="M1005" s="169">
        <f t="shared" si="64"/>
        <v>0</v>
      </c>
      <c r="N1005" s="169">
        <f t="shared" si="56"/>
        <v>0</v>
      </c>
      <c r="O1005" s="169">
        <f t="shared" si="66"/>
        <v>1</v>
      </c>
      <c r="Z1005" s="20"/>
      <c r="AA1005" s="20"/>
    </row>
    <row r="1006" spans="1:27" x14ac:dyDescent="0.3">
      <c r="A1006" s="88">
        <v>859</v>
      </c>
      <c r="B1006" s="173"/>
      <c r="C1006" s="159"/>
      <c r="D1006" s="88"/>
      <c r="E1006" s="88"/>
      <c r="F1006" s="88"/>
      <c r="G1006" s="88"/>
      <c r="H1006" s="88"/>
      <c r="I1006" s="88"/>
      <c r="J1006" s="49">
        <v>1</v>
      </c>
      <c r="K1006" s="49">
        <v>1</v>
      </c>
      <c r="L1006" s="169">
        <f t="shared" si="65"/>
        <v>1</v>
      </c>
      <c r="M1006" s="169">
        <f t="shared" si="64"/>
        <v>0</v>
      </c>
      <c r="N1006" s="169">
        <f t="shared" si="56"/>
        <v>0</v>
      </c>
      <c r="O1006" s="169">
        <f t="shared" si="66"/>
        <v>1</v>
      </c>
      <c r="Z1006" s="20"/>
      <c r="AA1006" s="20"/>
    </row>
    <row r="1007" spans="1:27" x14ac:dyDescent="0.3">
      <c r="A1007" s="88">
        <v>859</v>
      </c>
      <c r="B1007" s="173"/>
      <c r="C1007" s="159"/>
      <c r="D1007" s="88"/>
      <c r="E1007" s="88"/>
      <c r="F1007" s="88"/>
      <c r="G1007" s="88"/>
      <c r="H1007" s="88"/>
      <c r="I1007" s="88"/>
      <c r="J1007" s="49">
        <v>1</v>
      </c>
      <c r="K1007" s="49">
        <v>1</v>
      </c>
      <c r="L1007" s="169">
        <f t="shared" si="65"/>
        <v>1</v>
      </c>
      <c r="M1007" s="169">
        <f t="shared" si="64"/>
        <v>0</v>
      </c>
      <c r="N1007" s="169">
        <f t="shared" si="56"/>
        <v>0</v>
      </c>
      <c r="O1007" s="169">
        <f t="shared" si="66"/>
        <v>1</v>
      </c>
      <c r="Z1007" s="20"/>
      <c r="AA1007" s="20"/>
    </row>
    <row r="1008" spans="1:27" x14ac:dyDescent="0.3">
      <c r="A1008" s="88">
        <v>859</v>
      </c>
      <c r="B1008" s="173"/>
      <c r="C1008" s="159"/>
      <c r="D1008" s="88"/>
      <c r="E1008" s="88"/>
      <c r="F1008" s="88"/>
      <c r="G1008" s="88"/>
      <c r="H1008" s="88"/>
      <c r="I1008" s="88"/>
      <c r="J1008" s="49">
        <v>1</v>
      </c>
      <c r="K1008" s="49">
        <v>1</v>
      </c>
      <c r="L1008" s="169">
        <f t="shared" si="65"/>
        <v>1</v>
      </c>
      <c r="M1008" s="169">
        <f t="shared" si="64"/>
        <v>0</v>
      </c>
      <c r="N1008" s="169">
        <f t="shared" si="56"/>
        <v>0</v>
      </c>
      <c r="O1008" s="169">
        <f t="shared" si="66"/>
        <v>1</v>
      </c>
      <c r="Z1008" s="20"/>
      <c r="AA1008" s="20"/>
    </row>
    <row r="1009" spans="1:27" x14ac:dyDescent="0.3">
      <c r="A1009" s="88">
        <v>859</v>
      </c>
      <c r="B1009" s="173"/>
      <c r="C1009" s="159"/>
      <c r="D1009" s="88"/>
      <c r="E1009" s="88"/>
      <c r="F1009" s="88"/>
      <c r="G1009" s="88"/>
      <c r="H1009" s="88"/>
      <c r="I1009" s="88"/>
      <c r="J1009" s="49">
        <v>1</v>
      </c>
      <c r="K1009" s="49">
        <v>1</v>
      </c>
      <c r="L1009" s="169">
        <f t="shared" si="65"/>
        <v>1</v>
      </c>
      <c r="M1009" s="169">
        <f t="shared" si="64"/>
        <v>0</v>
      </c>
      <c r="N1009" s="169">
        <f t="shared" si="56"/>
        <v>0</v>
      </c>
      <c r="O1009" s="169">
        <f t="shared" si="66"/>
        <v>1</v>
      </c>
      <c r="Z1009" s="20"/>
      <c r="AA1009" s="20"/>
    </row>
    <row r="1010" spans="1:27" x14ac:dyDescent="0.3">
      <c r="A1010" s="88">
        <v>859</v>
      </c>
      <c r="B1010" s="173"/>
      <c r="C1010" s="159"/>
      <c r="D1010" s="88"/>
      <c r="E1010" s="88"/>
      <c r="F1010" s="88"/>
      <c r="G1010" s="88"/>
      <c r="H1010" s="88"/>
      <c r="I1010" s="88"/>
      <c r="J1010" s="49">
        <v>1</v>
      </c>
      <c r="K1010" s="49">
        <v>1</v>
      </c>
      <c r="L1010" s="169">
        <f t="shared" si="65"/>
        <v>1</v>
      </c>
      <c r="M1010" s="169">
        <f t="shared" si="64"/>
        <v>0</v>
      </c>
      <c r="N1010" s="169">
        <f t="shared" si="56"/>
        <v>0</v>
      </c>
      <c r="O1010" s="169">
        <f t="shared" si="66"/>
        <v>1</v>
      </c>
      <c r="Z1010" s="20"/>
      <c r="AA1010" s="20"/>
    </row>
    <row r="1011" spans="1:27" x14ac:dyDescent="0.3">
      <c r="A1011" s="88">
        <v>859</v>
      </c>
      <c r="B1011" s="173"/>
      <c r="C1011" s="159"/>
      <c r="D1011" s="88"/>
      <c r="E1011" s="88"/>
      <c r="F1011" s="88"/>
      <c r="G1011" s="88"/>
      <c r="H1011" s="88"/>
      <c r="I1011" s="88"/>
      <c r="J1011" s="49">
        <v>1</v>
      </c>
      <c r="K1011" s="49">
        <v>1</v>
      </c>
      <c r="L1011" s="169">
        <f t="shared" si="65"/>
        <v>1</v>
      </c>
      <c r="M1011" s="169">
        <f t="shared" si="64"/>
        <v>0</v>
      </c>
      <c r="N1011" s="169">
        <f t="shared" si="56"/>
        <v>0</v>
      </c>
      <c r="O1011" s="169">
        <f t="shared" si="66"/>
        <v>1</v>
      </c>
      <c r="Z1011" s="20"/>
      <c r="AA1011" s="20"/>
    </row>
    <row r="1012" spans="1:27" x14ac:dyDescent="0.3">
      <c r="A1012" s="88">
        <v>859</v>
      </c>
      <c r="B1012" s="173"/>
      <c r="C1012" s="159"/>
      <c r="D1012" s="88"/>
      <c r="E1012" s="88"/>
      <c r="F1012" s="88"/>
      <c r="G1012" s="88"/>
      <c r="H1012" s="88"/>
      <c r="I1012" s="88"/>
      <c r="J1012" s="49">
        <v>1</v>
      </c>
      <c r="K1012" s="49">
        <v>1</v>
      </c>
      <c r="L1012" s="169">
        <f t="shared" si="65"/>
        <v>1</v>
      </c>
      <c r="M1012" s="169">
        <f t="shared" si="64"/>
        <v>0</v>
      </c>
      <c r="N1012" s="169">
        <f t="shared" si="56"/>
        <v>0</v>
      </c>
      <c r="O1012" s="169">
        <f t="shared" si="66"/>
        <v>1</v>
      </c>
      <c r="Z1012" s="20"/>
      <c r="AA1012" s="20"/>
    </row>
    <row r="1013" spans="1:27" x14ac:dyDescent="0.3">
      <c r="A1013" s="88">
        <v>859</v>
      </c>
      <c r="B1013" s="173"/>
      <c r="C1013" s="159"/>
      <c r="D1013" s="88"/>
      <c r="E1013" s="88"/>
      <c r="F1013" s="88"/>
      <c r="G1013" s="88"/>
      <c r="H1013" s="88"/>
      <c r="I1013" s="88"/>
      <c r="J1013" s="49">
        <v>1</v>
      </c>
      <c r="K1013" s="49">
        <v>1</v>
      </c>
      <c r="L1013" s="169">
        <f t="shared" si="65"/>
        <v>1</v>
      </c>
      <c r="M1013" s="169">
        <f t="shared" si="64"/>
        <v>0</v>
      </c>
      <c r="N1013" s="169">
        <f t="shared" si="56"/>
        <v>0</v>
      </c>
      <c r="O1013" s="169">
        <f t="shared" si="66"/>
        <v>1</v>
      </c>
      <c r="Z1013" s="20"/>
      <c r="AA1013" s="20"/>
    </row>
    <row r="1014" spans="1:27" x14ac:dyDescent="0.3">
      <c r="A1014" s="88">
        <v>859</v>
      </c>
      <c r="B1014" s="173"/>
      <c r="C1014" s="159"/>
      <c r="D1014" s="88"/>
      <c r="E1014" s="88"/>
      <c r="F1014" s="88"/>
      <c r="G1014" s="88"/>
      <c r="H1014" s="88"/>
      <c r="I1014" s="88"/>
      <c r="J1014" s="49">
        <v>1</v>
      </c>
      <c r="K1014" s="49">
        <v>1</v>
      </c>
      <c r="L1014" s="169">
        <f t="shared" si="65"/>
        <v>1</v>
      </c>
      <c r="M1014" s="169">
        <f t="shared" si="64"/>
        <v>0</v>
      </c>
      <c r="N1014" s="169">
        <f t="shared" si="56"/>
        <v>0</v>
      </c>
      <c r="O1014" s="169">
        <f t="shared" si="66"/>
        <v>1</v>
      </c>
      <c r="Z1014" s="20"/>
      <c r="AA1014" s="20"/>
    </row>
    <row r="1015" spans="1:27" x14ac:dyDescent="0.3">
      <c r="A1015" s="88">
        <v>859</v>
      </c>
      <c r="B1015" s="173"/>
      <c r="C1015" s="159"/>
      <c r="D1015" s="88"/>
      <c r="E1015" s="88"/>
      <c r="F1015" s="88"/>
      <c r="G1015" s="88"/>
      <c r="H1015" s="88"/>
      <c r="I1015" s="88"/>
      <c r="J1015" s="49">
        <v>1</v>
      </c>
      <c r="K1015" s="49">
        <v>1</v>
      </c>
      <c r="L1015" s="169">
        <f t="shared" si="65"/>
        <v>1</v>
      </c>
      <c r="M1015" s="169">
        <f t="shared" si="64"/>
        <v>0</v>
      </c>
      <c r="N1015" s="169">
        <f t="shared" si="56"/>
        <v>0</v>
      </c>
      <c r="O1015" s="169">
        <f t="shared" si="66"/>
        <v>1</v>
      </c>
      <c r="Z1015" s="20"/>
      <c r="AA1015" s="20"/>
    </row>
    <row r="1016" spans="1:27" x14ac:dyDescent="0.3">
      <c r="A1016" s="88">
        <v>859</v>
      </c>
      <c r="B1016" s="173"/>
      <c r="C1016" s="159"/>
      <c r="D1016" s="88"/>
      <c r="E1016" s="88"/>
      <c r="F1016" s="88"/>
      <c r="G1016" s="88"/>
      <c r="H1016" s="88"/>
      <c r="I1016" s="88"/>
      <c r="J1016" s="49">
        <v>1</v>
      </c>
      <c r="K1016" s="49">
        <v>1</v>
      </c>
      <c r="L1016" s="169">
        <f t="shared" si="65"/>
        <v>1</v>
      </c>
      <c r="M1016" s="169">
        <f t="shared" si="64"/>
        <v>0</v>
      </c>
      <c r="N1016" s="169">
        <f t="shared" si="56"/>
        <v>0</v>
      </c>
      <c r="O1016" s="169">
        <f t="shared" si="66"/>
        <v>1</v>
      </c>
      <c r="Z1016" s="20"/>
      <c r="AA1016" s="20"/>
    </row>
    <row r="1017" spans="1:27" x14ac:dyDescent="0.3">
      <c r="A1017" s="88">
        <v>859</v>
      </c>
      <c r="B1017" s="173"/>
      <c r="C1017" s="159"/>
      <c r="D1017" s="88"/>
      <c r="E1017" s="88"/>
      <c r="F1017" s="88"/>
      <c r="G1017" s="88"/>
      <c r="H1017" s="88"/>
      <c r="I1017" s="88"/>
      <c r="J1017" s="49">
        <v>1</v>
      </c>
      <c r="K1017" s="49">
        <v>1</v>
      </c>
      <c r="L1017" s="169">
        <f t="shared" si="65"/>
        <v>1</v>
      </c>
      <c r="M1017" s="169">
        <f t="shared" si="64"/>
        <v>0</v>
      </c>
      <c r="N1017" s="169">
        <f t="shared" si="56"/>
        <v>0</v>
      </c>
      <c r="O1017" s="169">
        <f t="shared" si="66"/>
        <v>1</v>
      </c>
      <c r="Z1017" s="20"/>
      <c r="AA1017" s="20"/>
    </row>
    <row r="1018" spans="1:27" x14ac:dyDescent="0.3">
      <c r="A1018" s="88">
        <v>859</v>
      </c>
      <c r="B1018" s="173"/>
      <c r="C1018" s="159"/>
      <c r="D1018" s="88"/>
      <c r="E1018" s="88"/>
      <c r="F1018" s="88"/>
      <c r="G1018" s="88"/>
      <c r="H1018" s="88"/>
      <c r="I1018" s="88"/>
      <c r="J1018" s="49">
        <v>1</v>
      </c>
      <c r="K1018" s="49">
        <v>1</v>
      </c>
      <c r="L1018" s="169">
        <f t="shared" si="65"/>
        <v>1</v>
      </c>
      <c r="M1018" s="169">
        <f t="shared" si="64"/>
        <v>0</v>
      </c>
      <c r="N1018" s="169">
        <f t="shared" si="56"/>
        <v>0</v>
      </c>
      <c r="O1018" s="169">
        <f t="shared" si="66"/>
        <v>1</v>
      </c>
      <c r="Z1018" s="20"/>
      <c r="AA1018" s="20"/>
    </row>
    <row r="1019" spans="1:27" x14ac:dyDescent="0.3">
      <c r="A1019" s="88">
        <v>859</v>
      </c>
      <c r="B1019" s="173"/>
      <c r="C1019" s="159"/>
      <c r="D1019" s="88"/>
      <c r="E1019" s="88"/>
      <c r="F1019" s="88"/>
      <c r="G1019" s="88"/>
      <c r="H1019" s="88"/>
      <c r="I1019" s="88"/>
      <c r="J1019" s="49">
        <v>1</v>
      </c>
      <c r="K1019" s="49">
        <v>1</v>
      </c>
      <c r="L1019" s="169">
        <f t="shared" si="65"/>
        <v>1</v>
      </c>
      <c r="M1019" s="169">
        <f t="shared" si="64"/>
        <v>0</v>
      </c>
      <c r="N1019" s="169">
        <f t="shared" si="56"/>
        <v>0</v>
      </c>
      <c r="O1019" s="169">
        <f t="shared" si="66"/>
        <v>1</v>
      </c>
      <c r="Z1019" s="20"/>
      <c r="AA1019" s="20"/>
    </row>
    <row r="1020" spans="1:27" x14ac:dyDescent="0.3">
      <c r="A1020" s="88">
        <v>859</v>
      </c>
      <c r="B1020" s="173"/>
      <c r="C1020" s="159"/>
      <c r="D1020" s="88"/>
      <c r="E1020" s="88"/>
      <c r="F1020" s="88"/>
      <c r="G1020" s="88"/>
      <c r="H1020" s="88"/>
      <c r="I1020" s="88"/>
      <c r="J1020" s="49">
        <v>1</v>
      </c>
      <c r="K1020" s="49">
        <v>1</v>
      </c>
      <c r="L1020" s="169">
        <f t="shared" si="65"/>
        <v>1</v>
      </c>
      <c r="M1020" s="169">
        <f t="shared" si="64"/>
        <v>0</v>
      </c>
      <c r="N1020" s="169">
        <f t="shared" si="56"/>
        <v>0</v>
      </c>
      <c r="O1020" s="169">
        <f t="shared" si="66"/>
        <v>1</v>
      </c>
      <c r="Z1020" s="20"/>
      <c r="AA1020" s="20"/>
    </row>
    <row r="1021" spans="1:27" x14ac:dyDescent="0.3">
      <c r="A1021" s="88">
        <v>859</v>
      </c>
      <c r="B1021" s="173"/>
      <c r="C1021" s="159"/>
      <c r="D1021" s="88"/>
      <c r="E1021" s="88"/>
      <c r="F1021" s="88"/>
      <c r="G1021" s="88"/>
      <c r="H1021" s="88"/>
      <c r="I1021" s="88"/>
      <c r="J1021" s="49">
        <v>1</v>
      </c>
      <c r="K1021" s="49">
        <v>1</v>
      </c>
      <c r="L1021" s="169">
        <f t="shared" si="65"/>
        <v>1</v>
      </c>
      <c r="M1021" s="169">
        <f t="shared" ref="M1021:M1030" si="67">IF(H1021="",0,1)</f>
        <v>0</v>
      </c>
      <c r="N1021" s="169">
        <f t="shared" si="56"/>
        <v>0</v>
      </c>
      <c r="O1021" s="169">
        <f t="shared" si="66"/>
        <v>1</v>
      </c>
      <c r="Z1021" s="20"/>
      <c r="AA1021" s="20"/>
    </row>
    <row r="1022" spans="1:27" x14ac:dyDescent="0.3">
      <c r="A1022" s="88">
        <v>859</v>
      </c>
      <c r="B1022" s="173"/>
      <c r="C1022" s="159"/>
      <c r="D1022" s="88"/>
      <c r="E1022" s="88"/>
      <c r="F1022" s="88"/>
      <c r="G1022" s="88"/>
      <c r="H1022" s="88"/>
      <c r="I1022" s="88"/>
      <c r="J1022" s="49">
        <v>1</v>
      </c>
      <c r="K1022" s="49">
        <v>1</v>
      </c>
      <c r="L1022" s="169">
        <f t="shared" si="65"/>
        <v>1</v>
      </c>
      <c r="M1022" s="169">
        <f t="shared" si="67"/>
        <v>0</v>
      </c>
      <c r="N1022" s="169">
        <f t="shared" si="56"/>
        <v>0</v>
      </c>
      <c r="O1022" s="169">
        <f t="shared" si="66"/>
        <v>1</v>
      </c>
      <c r="Z1022" s="20"/>
      <c r="AA1022" s="20"/>
    </row>
    <row r="1023" spans="1:27" x14ac:dyDescent="0.3">
      <c r="A1023" s="88">
        <v>859</v>
      </c>
      <c r="B1023" s="173"/>
      <c r="C1023" s="159"/>
      <c r="D1023" s="88"/>
      <c r="E1023" s="88"/>
      <c r="F1023" s="88"/>
      <c r="G1023" s="88"/>
      <c r="H1023" s="88"/>
      <c r="I1023" s="88"/>
      <c r="J1023" s="49">
        <v>1</v>
      </c>
      <c r="K1023" s="49">
        <v>1</v>
      </c>
      <c r="L1023" s="169">
        <f t="shared" si="65"/>
        <v>1</v>
      </c>
      <c r="M1023" s="169">
        <f t="shared" si="67"/>
        <v>0</v>
      </c>
      <c r="N1023" s="169">
        <f t="shared" si="56"/>
        <v>0</v>
      </c>
      <c r="O1023" s="169">
        <f t="shared" si="66"/>
        <v>1</v>
      </c>
      <c r="Z1023" s="20"/>
      <c r="AA1023" s="20"/>
    </row>
    <row r="1024" spans="1:27" x14ac:dyDescent="0.3">
      <c r="A1024" s="88">
        <v>859</v>
      </c>
      <c r="B1024" s="173"/>
      <c r="C1024" s="159"/>
      <c r="D1024" s="88"/>
      <c r="E1024" s="88"/>
      <c r="F1024" s="88"/>
      <c r="G1024" s="88"/>
      <c r="H1024" s="88"/>
      <c r="I1024" s="88"/>
      <c r="J1024" s="49">
        <v>1</v>
      </c>
      <c r="K1024" s="49">
        <v>1</v>
      </c>
      <c r="L1024" s="169">
        <f t="shared" si="65"/>
        <v>1</v>
      </c>
      <c r="M1024" s="169">
        <f t="shared" si="67"/>
        <v>0</v>
      </c>
      <c r="N1024" s="169">
        <f t="shared" si="56"/>
        <v>0</v>
      </c>
      <c r="O1024" s="169">
        <f t="shared" si="66"/>
        <v>1</v>
      </c>
      <c r="Z1024" s="20"/>
      <c r="AA1024" s="20"/>
    </row>
    <row r="1025" spans="1:27" x14ac:dyDescent="0.3">
      <c r="A1025" s="88">
        <v>859</v>
      </c>
      <c r="B1025" s="173"/>
      <c r="C1025" s="159"/>
      <c r="D1025" s="88"/>
      <c r="E1025" s="88"/>
      <c r="F1025" s="88"/>
      <c r="G1025" s="88"/>
      <c r="H1025" s="88"/>
      <c r="I1025" s="88"/>
      <c r="J1025" s="49">
        <v>1</v>
      </c>
      <c r="K1025" s="49">
        <v>1</v>
      </c>
      <c r="L1025" s="169">
        <f t="shared" si="65"/>
        <v>1</v>
      </c>
      <c r="M1025" s="169">
        <f t="shared" si="67"/>
        <v>0</v>
      </c>
      <c r="N1025" s="169">
        <f t="shared" si="56"/>
        <v>0</v>
      </c>
      <c r="O1025" s="169">
        <f t="shared" si="66"/>
        <v>1</v>
      </c>
      <c r="Z1025" s="20"/>
      <c r="AA1025" s="20"/>
    </row>
    <row r="1026" spans="1:27" x14ac:dyDescent="0.3">
      <c r="A1026" s="88">
        <v>859</v>
      </c>
      <c r="B1026" s="173"/>
      <c r="C1026" s="159"/>
      <c r="D1026" s="88"/>
      <c r="E1026" s="88"/>
      <c r="F1026" s="88"/>
      <c r="G1026" s="88"/>
      <c r="H1026" s="88"/>
      <c r="I1026" s="88"/>
      <c r="J1026" s="49">
        <v>1</v>
      </c>
      <c r="K1026" s="49">
        <v>1</v>
      </c>
      <c r="L1026" s="169">
        <f t="shared" si="65"/>
        <v>1</v>
      </c>
      <c r="M1026" s="169">
        <f t="shared" si="67"/>
        <v>0</v>
      </c>
      <c r="N1026" s="169">
        <f t="shared" si="56"/>
        <v>0</v>
      </c>
      <c r="O1026" s="169">
        <f t="shared" si="66"/>
        <v>1</v>
      </c>
      <c r="Z1026" s="20"/>
      <c r="AA1026" s="20"/>
    </row>
    <row r="1027" spans="1:27" x14ac:dyDescent="0.3">
      <c r="A1027" s="88">
        <v>859</v>
      </c>
      <c r="B1027" s="173"/>
      <c r="C1027" s="159"/>
      <c r="D1027" s="88"/>
      <c r="E1027" s="88"/>
      <c r="F1027" s="88"/>
      <c r="G1027" s="88"/>
      <c r="H1027" s="88"/>
      <c r="I1027" s="88"/>
      <c r="J1027" s="49">
        <v>1</v>
      </c>
      <c r="K1027" s="49">
        <v>1</v>
      </c>
      <c r="L1027" s="169">
        <f t="shared" si="65"/>
        <v>1</v>
      </c>
      <c r="M1027" s="169">
        <f t="shared" si="67"/>
        <v>0</v>
      </c>
      <c r="N1027" s="169">
        <f t="shared" si="56"/>
        <v>0</v>
      </c>
      <c r="O1027" s="169">
        <f t="shared" si="66"/>
        <v>1</v>
      </c>
      <c r="Z1027" s="20"/>
      <c r="AA1027" s="20"/>
    </row>
    <row r="1028" spans="1:27" x14ac:dyDescent="0.3">
      <c r="A1028" s="88">
        <v>859</v>
      </c>
      <c r="B1028" s="173"/>
      <c r="C1028" s="159"/>
      <c r="D1028" s="88"/>
      <c r="E1028" s="88"/>
      <c r="F1028" s="88"/>
      <c r="G1028" s="88"/>
      <c r="H1028" s="88"/>
      <c r="I1028" s="88"/>
      <c r="J1028" s="49">
        <v>1</v>
      </c>
      <c r="K1028" s="49">
        <v>1</v>
      </c>
      <c r="L1028" s="169">
        <f t="shared" si="65"/>
        <v>1</v>
      </c>
      <c r="M1028" s="169">
        <f t="shared" si="67"/>
        <v>0</v>
      </c>
      <c r="N1028" s="169">
        <f t="shared" si="56"/>
        <v>0</v>
      </c>
      <c r="O1028" s="169">
        <f t="shared" si="66"/>
        <v>1</v>
      </c>
      <c r="Z1028" s="20"/>
      <c r="AA1028" s="20"/>
    </row>
    <row r="1029" spans="1:27" x14ac:dyDescent="0.3">
      <c r="A1029" s="88">
        <v>859</v>
      </c>
      <c r="B1029" s="173"/>
      <c r="C1029" s="159"/>
      <c r="D1029" s="88"/>
      <c r="E1029" s="88"/>
      <c r="F1029" s="88"/>
      <c r="G1029" s="88"/>
      <c r="H1029" s="88"/>
      <c r="I1029" s="88"/>
      <c r="J1029" s="49">
        <v>1</v>
      </c>
      <c r="K1029" s="49">
        <v>1</v>
      </c>
      <c r="L1029" s="169">
        <f t="shared" si="65"/>
        <v>1</v>
      </c>
      <c r="M1029" s="169">
        <f t="shared" si="67"/>
        <v>0</v>
      </c>
      <c r="N1029" s="169">
        <f t="shared" si="56"/>
        <v>0</v>
      </c>
      <c r="O1029" s="169">
        <f t="shared" si="66"/>
        <v>1</v>
      </c>
      <c r="Z1029" s="20"/>
      <c r="AA1029" s="20"/>
    </row>
    <row r="1030" spans="1:27" x14ac:dyDescent="0.3">
      <c r="A1030" s="88">
        <v>859</v>
      </c>
      <c r="B1030" s="173"/>
      <c r="C1030" s="159"/>
      <c r="D1030" s="88"/>
      <c r="E1030" s="88"/>
      <c r="F1030" s="88"/>
      <c r="G1030" s="88"/>
      <c r="H1030" s="88"/>
      <c r="I1030" s="88"/>
      <c r="J1030" s="49">
        <v>1</v>
      </c>
      <c r="K1030" s="49">
        <v>1</v>
      </c>
      <c r="L1030" s="169">
        <f t="shared" si="65"/>
        <v>1</v>
      </c>
      <c r="M1030" s="169">
        <f t="shared" si="67"/>
        <v>0</v>
      </c>
      <c r="N1030" s="169">
        <f t="shared" si="56"/>
        <v>0</v>
      </c>
      <c r="O1030" s="169">
        <f t="shared" si="66"/>
        <v>1</v>
      </c>
      <c r="Z1030" s="20"/>
      <c r="AA1030" s="20"/>
    </row>
    <row r="1031" spans="1:27" x14ac:dyDescent="0.3">
      <c r="A1031" s="88">
        <v>860</v>
      </c>
      <c r="B1031" s="173">
        <v>632</v>
      </c>
      <c r="C1031" s="159"/>
      <c r="D1031" s="88" t="s">
        <v>1371</v>
      </c>
      <c r="E1031" s="88"/>
      <c r="F1031" s="88"/>
      <c r="G1031" s="88"/>
      <c r="H1031" s="88"/>
      <c r="I1031" s="88"/>
      <c r="J1031" s="49">
        <v>2</v>
      </c>
      <c r="K1031" s="49">
        <v>1</v>
      </c>
      <c r="L1031" s="169">
        <f>K1031*J1031</f>
        <v>2</v>
      </c>
      <c r="M1031" s="169">
        <f t="shared" si="45"/>
        <v>0</v>
      </c>
      <c r="N1031" s="169">
        <f t="shared" si="56"/>
        <v>0</v>
      </c>
      <c r="O1031" s="169">
        <f>N1031+L1031</f>
        <v>2</v>
      </c>
      <c r="Z1031" s="219"/>
      <c r="AA1031" s="219"/>
    </row>
    <row r="1032" spans="1:27" x14ac:dyDescent="0.3">
      <c r="A1032" s="88">
        <v>861</v>
      </c>
      <c r="B1032" s="173">
        <v>633</v>
      </c>
      <c r="C1032" s="159"/>
      <c r="D1032" s="88" t="s">
        <v>1371</v>
      </c>
      <c r="E1032" s="88"/>
      <c r="F1032" s="88"/>
      <c r="G1032" s="88"/>
      <c r="H1032" s="88"/>
      <c r="I1032" s="88"/>
      <c r="J1032" s="49">
        <v>2</v>
      </c>
      <c r="K1032" s="49">
        <v>1</v>
      </c>
      <c r="L1032" s="169">
        <f>K1032*J1032</f>
        <v>2</v>
      </c>
      <c r="M1032" s="169">
        <f t="shared" si="45"/>
        <v>0</v>
      </c>
      <c r="N1032" s="169">
        <f t="shared" si="56"/>
        <v>0</v>
      </c>
      <c r="O1032" s="169">
        <f>N1032+L1032</f>
        <v>2</v>
      </c>
      <c r="Z1032" s="219"/>
      <c r="AA1032" s="219"/>
    </row>
    <row r="1033" spans="1:27" x14ac:dyDescent="0.3">
      <c r="A1033" s="88">
        <v>862</v>
      </c>
      <c r="B1033" s="173">
        <v>634</v>
      </c>
      <c r="C1033" s="159"/>
      <c r="D1033" s="88" t="s">
        <v>1371</v>
      </c>
      <c r="E1033" s="88"/>
      <c r="F1033" s="88"/>
      <c r="G1033" s="88"/>
      <c r="H1033" s="88"/>
      <c r="I1033" s="88"/>
      <c r="J1033" s="49">
        <v>2</v>
      </c>
      <c r="K1033" s="49">
        <v>1</v>
      </c>
      <c r="L1033" s="169">
        <f>K1033*J1033</f>
        <v>2</v>
      </c>
      <c r="M1033" s="169">
        <f t="shared" si="45"/>
        <v>0</v>
      </c>
      <c r="N1033" s="169">
        <f t="shared" si="56"/>
        <v>0</v>
      </c>
      <c r="O1033" s="169">
        <f>N1033+L1033</f>
        <v>2</v>
      </c>
      <c r="Z1033" s="219"/>
      <c r="AA1033" s="219"/>
    </row>
    <row r="1034" spans="1:27" x14ac:dyDescent="0.3">
      <c r="A1034" s="88">
        <v>863</v>
      </c>
      <c r="B1034" s="173">
        <v>635</v>
      </c>
      <c r="C1034" s="159"/>
      <c r="D1034" s="88" t="s">
        <v>1371</v>
      </c>
      <c r="E1034" s="88"/>
      <c r="F1034" s="88"/>
      <c r="G1034" s="88"/>
      <c r="H1034" s="88"/>
      <c r="I1034" s="88"/>
      <c r="J1034" s="49">
        <v>2</v>
      </c>
      <c r="K1034" s="49">
        <v>1</v>
      </c>
      <c r="L1034" s="169">
        <f>K1034*J1034</f>
        <v>2</v>
      </c>
      <c r="M1034" s="169">
        <f t="shared" si="45"/>
        <v>0</v>
      </c>
      <c r="N1034" s="169">
        <f t="shared" si="56"/>
        <v>0</v>
      </c>
      <c r="O1034" s="169">
        <f>N1034+L1034</f>
        <v>2</v>
      </c>
      <c r="Z1034" s="219"/>
      <c r="AA1034" s="219"/>
    </row>
    <row r="1035" spans="1:27" x14ac:dyDescent="0.3">
      <c r="A1035" s="88">
        <v>864</v>
      </c>
      <c r="B1035" s="173">
        <v>636</v>
      </c>
      <c r="C1035" s="159"/>
      <c r="D1035" s="88" t="s">
        <v>1371</v>
      </c>
      <c r="E1035" s="88"/>
      <c r="F1035" s="88"/>
      <c r="G1035" s="88"/>
      <c r="H1035" s="88"/>
      <c r="I1035" s="88"/>
      <c r="J1035" s="49">
        <v>2</v>
      </c>
      <c r="K1035" s="49">
        <v>1</v>
      </c>
      <c r="L1035" s="169">
        <f>K1035*J1035</f>
        <v>2</v>
      </c>
      <c r="M1035" s="169">
        <f t="shared" si="45"/>
        <v>0</v>
      </c>
      <c r="N1035" s="169">
        <f t="shared" si="56"/>
        <v>0</v>
      </c>
      <c r="O1035" s="169">
        <f>N1035+L1035</f>
        <v>2</v>
      </c>
      <c r="Z1035" s="219"/>
      <c r="AA1035" s="219"/>
    </row>
    <row r="1036" spans="1:27" x14ac:dyDescent="0.3">
      <c r="A1036" s="88">
        <v>865</v>
      </c>
      <c r="E1036" s="88"/>
      <c r="G1036" s="88"/>
      <c r="H1036" s="88"/>
      <c r="I1036" s="88"/>
      <c r="J1036" s="49">
        <v>2</v>
      </c>
      <c r="K1036" s="49">
        <v>1</v>
      </c>
      <c r="Z1036" s="219"/>
      <c r="AA1036" s="219"/>
    </row>
    <row r="1037" spans="1:27" x14ac:dyDescent="0.3">
      <c r="A1037" s="88">
        <v>866</v>
      </c>
      <c r="E1037" s="88"/>
      <c r="G1037" s="88"/>
      <c r="I1037" s="88"/>
      <c r="J1037" s="49">
        <v>2</v>
      </c>
      <c r="K1037" s="49">
        <v>1</v>
      </c>
      <c r="Z1037" s="219"/>
      <c r="AA1037" s="219"/>
    </row>
    <row r="1038" spans="1:27" x14ac:dyDescent="0.3">
      <c r="A1038" s="88">
        <v>867</v>
      </c>
      <c r="E1038" s="88"/>
      <c r="G1038" s="88"/>
      <c r="I1038" s="88"/>
      <c r="J1038" s="49">
        <v>2</v>
      </c>
      <c r="K1038" s="49">
        <v>1</v>
      </c>
      <c r="Z1038" s="219"/>
      <c r="AA1038" s="219"/>
    </row>
    <row r="1039" spans="1:27" x14ac:dyDescent="0.3">
      <c r="A1039" s="88">
        <v>868</v>
      </c>
      <c r="E1039" s="88"/>
      <c r="G1039" s="88"/>
      <c r="I1039" s="88"/>
      <c r="J1039" s="49">
        <v>2</v>
      </c>
      <c r="K1039" s="49">
        <v>1</v>
      </c>
      <c r="Z1039" s="219"/>
      <c r="AA1039" s="219"/>
    </row>
    <row r="1040" spans="1:27" x14ac:dyDescent="0.3">
      <c r="A1040" s="88">
        <v>869</v>
      </c>
      <c r="E1040" s="88"/>
      <c r="G1040" s="88"/>
      <c r="I1040" s="88"/>
      <c r="J1040" s="49">
        <v>2</v>
      </c>
      <c r="K1040" s="49">
        <v>1</v>
      </c>
      <c r="Z1040" s="219"/>
      <c r="AA1040" s="219"/>
    </row>
    <row r="1041" spans="1:27" x14ac:dyDescent="0.3">
      <c r="A1041" s="88">
        <v>870</v>
      </c>
      <c r="E1041" s="88"/>
      <c r="G1041" s="88"/>
      <c r="I1041" s="88"/>
      <c r="J1041" s="49">
        <v>2</v>
      </c>
      <c r="K1041" s="49">
        <v>1</v>
      </c>
      <c r="Z1041" s="219"/>
      <c r="AA1041" s="219"/>
    </row>
    <row r="1042" spans="1:27" x14ac:dyDescent="0.3">
      <c r="A1042" s="88">
        <v>871</v>
      </c>
      <c r="E1042" s="88"/>
      <c r="G1042" s="88"/>
      <c r="I1042" s="88"/>
      <c r="J1042" s="49">
        <v>2</v>
      </c>
      <c r="K1042" s="49">
        <v>1</v>
      </c>
      <c r="Z1042" s="219"/>
      <c r="AA1042" s="219"/>
    </row>
    <row r="1043" spans="1:27" x14ac:dyDescent="0.3">
      <c r="A1043" s="88">
        <v>872</v>
      </c>
      <c r="E1043" s="88"/>
      <c r="G1043" s="88"/>
      <c r="I1043" s="88"/>
      <c r="J1043" s="49">
        <v>2</v>
      </c>
      <c r="K1043" s="49">
        <v>1</v>
      </c>
      <c r="Z1043" s="219"/>
      <c r="AA1043" s="219"/>
    </row>
  </sheetData>
  <autoFilter ref="A2:L1043" xr:uid="{00000000-0001-0000-0E00-000000000000}"/>
  <mergeCells count="792">
    <mergeCell ref="A1:O1"/>
    <mergeCell ref="R2:U2"/>
    <mergeCell ref="R4:S5"/>
    <mergeCell ref="T4:U5"/>
    <mergeCell ref="R3:U3"/>
    <mergeCell ref="Z2:AA2"/>
    <mergeCell ref="Z3:AA3"/>
    <mergeCell ref="Z4:AA4"/>
    <mergeCell ref="Z5:AA5"/>
    <mergeCell ref="Z6:AA6"/>
    <mergeCell ref="R7:U7"/>
    <mergeCell ref="R8:S8"/>
    <mergeCell ref="T8:U8"/>
    <mergeCell ref="R9:S10"/>
    <mergeCell ref="T9:U10"/>
    <mergeCell ref="Z12:AA12"/>
    <mergeCell ref="Z13:AA13"/>
    <mergeCell ref="Z14:AA14"/>
    <mergeCell ref="Z15:AA15"/>
    <mergeCell ref="Z16:AA16"/>
    <mergeCell ref="Z7:AA7"/>
    <mergeCell ref="Z8:AA8"/>
    <mergeCell ref="Z9:AA9"/>
    <mergeCell ref="Z10:AA10"/>
    <mergeCell ref="Z11:AA11"/>
    <mergeCell ref="Z23:AA23"/>
    <mergeCell ref="Z24:AA24"/>
    <mergeCell ref="Z25:AA25"/>
    <mergeCell ref="Z26:AA26"/>
    <mergeCell ref="Z22:AA22"/>
    <mergeCell ref="Z17:AA17"/>
    <mergeCell ref="Z18:AA18"/>
    <mergeCell ref="Z19:AA19"/>
    <mergeCell ref="Z20:AA20"/>
    <mergeCell ref="Z21:AA21"/>
    <mergeCell ref="Z32:AA32"/>
    <mergeCell ref="Z33:AA33"/>
    <mergeCell ref="Z34:AA34"/>
    <mergeCell ref="Z35:AA35"/>
    <mergeCell ref="Z36:AA36"/>
    <mergeCell ref="Z27:AA27"/>
    <mergeCell ref="Z28:AA28"/>
    <mergeCell ref="Z29:AA29"/>
    <mergeCell ref="Z30:AA30"/>
    <mergeCell ref="Z31:AA31"/>
    <mergeCell ref="Z42:AA42"/>
    <mergeCell ref="Z43:AA43"/>
    <mergeCell ref="Z44:AA44"/>
    <mergeCell ref="Z45:AA45"/>
    <mergeCell ref="Z46:AA46"/>
    <mergeCell ref="Z37:AA37"/>
    <mergeCell ref="Z38:AA38"/>
    <mergeCell ref="Z39:AA39"/>
    <mergeCell ref="Z40:AA40"/>
    <mergeCell ref="Z41:AA41"/>
    <mergeCell ref="Z52:AA52"/>
    <mergeCell ref="Z53:AA53"/>
    <mergeCell ref="Z54:AA54"/>
    <mergeCell ref="Z55:AA55"/>
    <mergeCell ref="Z56:AA56"/>
    <mergeCell ref="Z47:AA47"/>
    <mergeCell ref="Z48:AA48"/>
    <mergeCell ref="Z49:AA49"/>
    <mergeCell ref="Z50:AA50"/>
    <mergeCell ref="Z51:AA51"/>
    <mergeCell ref="Z62:AA62"/>
    <mergeCell ref="Z63:AA63"/>
    <mergeCell ref="Z64:AA64"/>
    <mergeCell ref="Z65:AA65"/>
    <mergeCell ref="Z66:AA66"/>
    <mergeCell ref="Z57:AA57"/>
    <mergeCell ref="Z58:AA58"/>
    <mergeCell ref="Z59:AA59"/>
    <mergeCell ref="Z60:AA60"/>
    <mergeCell ref="Z61:AA61"/>
    <mergeCell ref="Z72:AA72"/>
    <mergeCell ref="Z73:AA73"/>
    <mergeCell ref="Z74:AA74"/>
    <mergeCell ref="Z75:AA75"/>
    <mergeCell ref="Z76:AA76"/>
    <mergeCell ref="Z67:AA67"/>
    <mergeCell ref="Z68:AA68"/>
    <mergeCell ref="Z69:AA69"/>
    <mergeCell ref="Z70:AA70"/>
    <mergeCell ref="Z71:AA71"/>
    <mergeCell ref="Z82:AA82"/>
    <mergeCell ref="Z83:AA83"/>
    <mergeCell ref="Z84:AA84"/>
    <mergeCell ref="Z85:AA85"/>
    <mergeCell ref="Z86:AA86"/>
    <mergeCell ref="Z77:AA77"/>
    <mergeCell ref="Z78:AA78"/>
    <mergeCell ref="Z79:AA79"/>
    <mergeCell ref="Z80:AA80"/>
    <mergeCell ref="Z81:AA81"/>
    <mergeCell ref="Z92:AA92"/>
    <mergeCell ref="Z93:AA93"/>
    <mergeCell ref="Z94:AA94"/>
    <mergeCell ref="Z95:AA95"/>
    <mergeCell ref="Z96:AA96"/>
    <mergeCell ref="Z87:AA87"/>
    <mergeCell ref="Z88:AA88"/>
    <mergeCell ref="Z89:AA89"/>
    <mergeCell ref="Z90:AA90"/>
    <mergeCell ref="Z91:AA91"/>
    <mergeCell ref="Z102:AA102"/>
    <mergeCell ref="Z103:AA103"/>
    <mergeCell ref="Z104:AA104"/>
    <mergeCell ref="Z105:AA105"/>
    <mergeCell ref="Z106:AA106"/>
    <mergeCell ref="Z97:AA97"/>
    <mergeCell ref="Z98:AA98"/>
    <mergeCell ref="Z99:AA99"/>
    <mergeCell ref="Z100:AA100"/>
    <mergeCell ref="Z101:AA101"/>
    <mergeCell ref="Z112:AA112"/>
    <mergeCell ref="Z113:AA113"/>
    <mergeCell ref="Z114:AA114"/>
    <mergeCell ref="Z115:AA115"/>
    <mergeCell ref="Z116:AA116"/>
    <mergeCell ref="Z107:AA107"/>
    <mergeCell ref="Z108:AA108"/>
    <mergeCell ref="Z109:AA109"/>
    <mergeCell ref="Z110:AA110"/>
    <mergeCell ref="Z111:AA111"/>
    <mergeCell ref="Z122:AA122"/>
    <mergeCell ref="Z123:AA123"/>
    <mergeCell ref="Z124:AA124"/>
    <mergeCell ref="Z125:AA125"/>
    <mergeCell ref="Z126:AA126"/>
    <mergeCell ref="Z117:AA117"/>
    <mergeCell ref="Z118:AA118"/>
    <mergeCell ref="Z119:AA119"/>
    <mergeCell ref="Z120:AA120"/>
    <mergeCell ref="Z121:AA121"/>
    <mergeCell ref="Z132:AA132"/>
    <mergeCell ref="Z133:AA133"/>
    <mergeCell ref="Z134:AA134"/>
    <mergeCell ref="Z135:AA135"/>
    <mergeCell ref="Z136:AA136"/>
    <mergeCell ref="Z127:AA127"/>
    <mergeCell ref="Z128:AA128"/>
    <mergeCell ref="Z129:AA129"/>
    <mergeCell ref="Z130:AA130"/>
    <mergeCell ref="Z131:AA131"/>
    <mergeCell ref="Z142:AA142"/>
    <mergeCell ref="Z143:AA143"/>
    <mergeCell ref="Z144:AA144"/>
    <mergeCell ref="Z145:AA145"/>
    <mergeCell ref="Z146:AA146"/>
    <mergeCell ref="Z137:AA137"/>
    <mergeCell ref="Z138:AA138"/>
    <mergeCell ref="Z139:AA139"/>
    <mergeCell ref="Z140:AA140"/>
    <mergeCell ref="Z141:AA141"/>
    <mergeCell ref="Z152:AA152"/>
    <mergeCell ref="Z153:AA153"/>
    <mergeCell ref="Z154:AA154"/>
    <mergeCell ref="Z155:AA155"/>
    <mergeCell ref="Z156:AA156"/>
    <mergeCell ref="Z147:AA147"/>
    <mergeCell ref="Z148:AA148"/>
    <mergeCell ref="Z149:AA149"/>
    <mergeCell ref="Z150:AA150"/>
    <mergeCell ref="Z151:AA151"/>
    <mergeCell ref="Z162:AA162"/>
    <mergeCell ref="Z163:AA163"/>
    <mergeCell ref="Z164:AA164"/>
    <mergeCell ref="Z165:AA165"/>
    <mergeCell ref="Z166:AA166"/>
    <mergeCell ref="Z157:AA157"/>
    <mergeCell ref="Z158:AA158"/>
    <mergeCell ref="Z159:AA159"/>
    <mergeCell ref="Z160:AA160"/>
    <mergeCell ref="Z161:AA161"/>
    <mergeCell ref="Z172:AA172"/>
    <mergeCell ref="Z173:AA173"/>
    <mergeCell ref="Z174:AA174"/>
    <mergeCell ref="Z175:AA175"/>
    <mergeCell ref="Z176:AA176"/>
    <mergeCell ref="Z167:AA167"/>
    <mergeCell ref="Z168:AA168"/>
    <mergeCell ref="Z169:AA169"/>
    <mergeCell ref="Z170:AA170"/>
    <mergeCell ref="Z171:AA171"/>
    <mergeCell ref="Z182:AA182"/>
    <mergeCell ref="Z183:AA183"/>
    <mergeCell ref="Z184:AA184"/>
    <mergeCell ref="Z185:AA185"/>
    <mergeCell ref="Z186:AA186"/>
    <mergeCell ref="Z177:AA177"/>
    <mergeCell ref="Z178:AA178"/>
    <mergeCell ref="Z179:AA179"/>
    <mergeCell ref="Z180:AA180"/>
    <mergeCell ref="Z181:AA181"/>
    <mergeCell ref="Z192:AA192"/>
    <mergeCell ref="Z193:AA193"/>
    <mergeCell ref="Z194:AA194"/>
    <mergeCell ref="Z195:AA195"/>
    <mergeCell ref="Z196:AA196"/>
    <mergeCell ref="Z187:AA187"/>
    <mergeCell ref="Z188:AA188"/>
    <mergeCell ref="Z189:AA189"/>
    <mergeCell ref="Z190:AA190"/>
    <mergeCell ref="Z191:AA191"/>
    <mergeCell ref="Z202:AA202"/>
    <mergeCell ref="Z203:AA203"/>
    <mergeCell ref="Z204:AA204"/>
    <mergeCell ref="Z205:AA205"/>
    <mergeCell ref="Z206:AA206"/>
    <mergeCell ref="Z197:AA197"/>
    <mergeCell ref="Z198:AA198"/>
    <mergeCell ref="Z199:AA199"/>
    <mergeCell ref="Z200:AA200"/>
    <mergeCell ref="Z201:AA201"/>
    <mergeCell ref="Z212:AA212"/>
    <mergeCell ref="Z213:AA213"/>
    <mergeCell ref="Z214:AA214"/>
    <mergeCell ref="Z215:AA215"/>
    <mergeCell ref="Z216:AA216"/>
    <mergeCell ref="Z207:AA207"/>
    <mergeCell ref="Z208:AA208"/>
    <mergeCell ref="Z209:AA209"/>
    <mergeCell ref="Z210:AA210"/>
    <mergeCell ref="Z211:AA211"/>
    <mergeCell ref="Z222:AA222"/>
    <mergeCell ref="Z223:AA223"/>
    <mergeCell ref="Z224:AA224"/>
    <mergeCell ref="Z225:AA225"/>
    <mergeCell ref="Z226:AA226"/>
    <mergeCell ref="Z217:AA217"/>
    <mergeCell ref="Z218:AA218"/>
    <mergeCell ref="Z219:AA219"/>
    <mergeCell ref="Z220:AA220"/>
    <mergeCell ref="Z221:AA221"/>
    <mergeCell ref="Z232:AA232"/>
    <mergeCell ref="Z233:AA233"/>
    <mergeCell ref="Z234:AA234"/>
    <mergeCell ref="Z235:AA235"/>
    <mergeCell ref="Z236:AA236"/>
    <mergeCell ref="Z227:AA227"/>
    <mergeCell ref="Z228:AA228"/>
    <mergeCell ref="Z229:AA229"/>
    <mergeCell ref="Z230:AA230"/>
    <mergeCell ref="Z231:AA231"/>
    <mergeCell ref="Z242:AA242"/>
    <mergeCell ref="Z243:AA243"/>
    <mergeCell ref="Z244:AA244"/>
    <mergeCell ref="Z245:AA245"/>
    <mergeCell ref="Z246:AA246"/>
    <mergeCell ref="Z237:AA237"/>
    <mergeCell ref="Z238:AA238"/>
    <mergeCell ref="Z239:AA239"/>
    <mergeCell ref="Z240:AA240"/>
    <mergeCell ref="Z241:AA241"/>
    <mergeCell ref="Z252:AA252"/>
    <mergeCell ref="Z253:AA253"/>
    <mergeCell ref="Z254:AA254"/>
    <mergeCell ref="Z255:AA255"/>
    <mergeCell ref="Z256:AA256"/>
    <mergeCell ref="Z247:AA247"/>
    <mergeCell ref="Z248:AA248"/>
    <mergeCell ref="Z249:AA249"/>
    <mergeCell ref="Z250:AA250"/>
    <mergeCell ref="Z251:AA251"/>
    <mergeCell ref="Z262:AA262"/>
    <mergeCell ref="Z263:AA263"/>
    <mergeCell ref="Z264:AA264"/>
    <mergeCell ref="Z265:AA265"/>
    <mergeCell ref="Z266:AA266"/>
    <mergeCell ref="Z257:AA257"/>
    <mergeCell ref="Z258:AA258"/>
    <mergeCell ref="Z259:AA259"/>
    <mergeCell ref="Z260:AA260"/>
    <mergeCell ref="Z261:AA261"/>
    <mergeCell ref="Z272:AA272"/>
    <mergeCell ref="Z273:AA273"/>
    <mergeCell ref="Z274:AA274"/>
    <mergeCell ref="Z275:AA275"/>
    <mergeCell ref="Z276:AA276"/>
    <mergeCell ref="Z267:AA267"/>
    <mergeCell ref="Z268:AA268"/>
    <mergeCell ref="Z269:AA269"/>
    <mergeCell ref="Z270:AA270"/>
    <mergeCell ref="Z271:AA271"/>
    <mergeCell ref="Z282:AA282"/>
    <mergeCell ref="Z283:AA283"/>
    <mergeCell ref="Z284:AA284"/>
    <mergeCell ref="Z285:AA285"/>
    <mergeCell ref="Z286:AA286"/>
    <mergeCell ref="Z277:AA277"/>
    <mergeCell ref="Z278:AA278"/>
    <mergeCell ref="Z279:AA279"/>
    <mergeCell ref="Z280:AA280"/>
    <mergeCell ref="Z281:AA281"/>
    <mergeCell ref="Z292:AA292"/>
    <mergeCell ref="Z293:AA293"/>
    <mergeCell ref="Z294:AA294"/>
    <mergeCell ref="Z295:AA295"/>
    <mergeCell ref="Z296:AA296"/>
    <mergeCell ref="Z287:AA287"/>
    <mergeCell ref="Z288:AA288"/>
    <mergeCell ref="Z289:AA289"/>
    <mergeCell ref="Z290:AA290"/>
    <mergeCell ref="Z291:AA291"/>
    <mergeCell ref="Z302:AA302"/>
    <mergeCell ref="Z303:AA303"/>
    <mergeCell ref="Z304:AA304"/>
    <mergeCell ref="Z305:AA305"/>
    <mergeCell ref="Z306:AA306"/>
    <mergeCell ref="Z297:AA297"/>
    <mergeCell ref="Z298:AA298"/>
    <mergeCell ref="Z299:AA299"/>
    <mergeCell ref="Z300:AA300"/>
    <mergeCell ref="Z301:AA301"/>
    <mergeCell ref="Z312:AA312"/>
    <mergeCell ref="Z313:AA313"/>
    <mergeCell ref="Z314:AA314"/>
    <mergeCell ref="Z315:AA315"/>
    <mergeCell ref="Z316:AA316"/>
    <mergeCell ref="Z307:AA307"/>
    <mergeCell ref="Z308:AA308"/>
    <mergeCell ref="Z309:AA309"/>
    <mergeCell ref="Z310:AA310"/>
    <mergeCell ref="Z311:AA311"/>
    <mergeCell ref="Z322:AA322"/>
    <mergeCell ref="Z323:AA323"/>
    <mergeCell ref="Z324:AA324"/>
    <mergeCell ref="Z325:AA325"/>
    <mergeCell ref="Z326:AA326"/>
    <mergeCell ref="Z317:AA317"/>
    <mergeCell ref="Z318:AA318"/>
    <mergeCell ref="Z319:AA319"/>
    <mergeCell ref="Z320:AA320"/>
    <mergeCell ref="Z321:AA321"/>
    <mergeCell ref="Z332:AA332"/>
    <mergeCell ref="Z333:AA333"/>
    <mergeCell ref="Z334:AA334"/>
    <mergeCell ref="Z335:AA335"/>
    <mergeCell ref="Z336:AA336"/>
    <mergeCell ref="Z327:AA327"/>
    <mergeCell ref="Z328:AA328"/>
    <mergeCell ref="Z329:AA329"/>
    <mergeCell ref="Z330:AA330"/>
    <mergeCell ref="Z331:AA331"/>
    <mergeCell ref="Z342:AA342"/>
    <mergeCell ref="Z343:AA343"/>
    <mergeCell ref="Z344:AA344"/>
    <mergeCell ref="Z345:AA345"/>
    <mergeCell ref="Z346:AA346"/>
    <mergeCell ref="Z337:AA337"/>
    <mergeCell ref="Z338:AA338"/>
    <mergeCell ref="Z339:AA339"/>
    <mergeCell ref="Z340:AA340"/>
    <mergeCell ref="Z341:AA341"/>
    <mergeCell ref="Z352:AA352"/>
    <mergeCell ref="Z353:AA353"/>
    <mergeCell ref="Z354:AA354"/>
    <mergeCell ref="Z355:AA355"/>
    <mergeCell ref="Z356:AA356"/>
    <mergeCell ref="Z347:AA347"/>
    <mergeCell ref="Z348:AA348"/>
    <mergeCell ref="Z349:AA349"/>
    <mergeCell ref="Z350:AA350"/>
    <mergeCell ref="Z351:AA351"/>
    <mergeCell ref="Z362:AA362"/>
    <mergeCell ref="Z363:AA363"/>
    <mergeCell ref="Z364:AA364"/>
    <mergeCell ref="Z365:AA365"/>
    <mergeCell ref="Z366:AA366"/>
    <mergeCell ref="Z357:AA357"/>
    <mergeCell ref="Z358:AA358"/>
    <mergeCell ref="Z359:AA359"/>
    <mergeCell ref="Z360:AA360"/>
    <mergeCell ref="Z361:AA361"/>
    <mergeCell ref="Z372:AA372"/>
    <mergeCell ref="Z373:AA373"/>
    <mergeCell ref="Z374:AA374"/>
    <mergeCell ref="Z375:AA375"/>
    <mergeCell ref="Z376:AA376"/>
    <mergeCell ref="Z367:AA367"/>
    <mergeCell ref="Z368:AA368"/>
    <mergeCell ref="Z369:AA369"/>
    <mergeCell ref="Z370:AA370"/>
    <mergeCell ref="Z371:AA371"/>
    <mergeCell ref="Z382:AA382"/>
    <mergeCell ref="Z383:AA383"/>
    <mergeCell ref="Z384:AA384"/>
    <mergeCell ref="Z385:AA385"/>
    <mergeCell ref="Z386:AA386"/>
    <mergeCell ref="Z377:AA377"/>
    <mergeCell ref="Z378:AA378"/>
    <mergeCell ref="Z379:AA379"/>
    <mergeCell ref="Z380:AA380"/>
    <mergeCell ref="Z381:AA381"/>
    <mergeCell ref="Z392:AA392"/>
    <mergeCell ref="Z393:AA393"/>
    <mergeCell ref="Z394:AA394"/>
    <mergeCell ref="Z395:AA395"/>
    <mergeCell ref="Z396:AA396"/>
    <mergeCell ref="Z387:AA387"/>
    <mergeCell ref="Z388:AA388"/>
    <mergeCell ref="Z389:AA389"/>
    <mergeCell ref="Z390:AA390"/>
    <mergeCell ref="Z391:AA391"/>
    <mergeCell ref="Z402:AA402"/>
    <mergeCell ref="Z403:AA403"/>
    <mergeCell ref="Z404:AA404"/>
    <mergeCell ref="Z405:AA405"/>
    <mergeCell ref="Z406:AA406"/>
    <mergeCell ref="Z397:AA397"/>
    <mergeCell ref="Z398:AA398"/>
    <mergeCell ref="Z399:AA399"/>
    <mergeCell ref="Z400:AA400"/>
    <mergeCell ref="Z401:AA401"/>
    <mergeCell ref="Z412:AA412"/>
    <mergeCell ref="Z413:AA413"/>
    <mergeCell ref="Z414:AA414"/>
    <mergeCell ref="Z415:AA415"/>
    <mergeCell ref="Z416:AA416"/>
    <mergeCell ref="Z407:AA407"/>
    <mergeCell ref="Z408:AA408"/>
    <mergeCell ref="Z409:AA409"/>
    <mergeCell ref="Z410:AA410"/>
    <mergeCell ref="Z411:AA411"/>
    <mergeCell ref="Z422:AA422"/>
    <mergeCell ref="Z423:AA423"/>
    <mergeCell ref="Z424:AA424"/>
    <mergeCell ref="Z425:AA425"/>
    <mergeCell ref="Z426:AA426"/>
    <mergeCell ref="Z417:AA417"/>
    <mergeCell ref="Z418:AA418"/>
    <mergeCell ref="Z419:AA419"/>
    <mergeCell ref="Z420:AA420"/>
    <mergeCell ref="Z421:AA421"/>
    <mergeCell ref="Z432:AA432"/>
    <mergeCell ref="Z433:AA433"/>
    <mergeCell ref="Z434:AA434"/>
    <mergeCell ref="Z435:AA435"/>
    <mergeCell ref="Z436:AA436"/>
    <mergeCell ref="Z427:AA427"/>
    <mergeCell ref="Z428:AA428"/>
    <mergeCell ref="Z429:AA429"/>
    <mergeCell ref="Z430:AA430"/>
    <mergeCell ref="Z431:AA431"/>
    <mergeCell ref="Z442:AA442"/>
    <mergeCell ref="Z443:AA443"/>
    <mergeCell ref="Z444:AA444"/>
    <mergeCell ref="Z445:AA445"/>
    <mergeCell ref="Z446:AA446"/>
    <mergeCell ref="Z437:AA437"/>
    <mergeCell ref="Z438:AA438"/>
    <mergeCell ref="Z439:AA439"/>
    <mergeCell ref="Z440:AA440"/>
    <mergeCell ref="Z441:AA441"/>
    <mergeCell ref="Z452:AA452"/>
    <mergeCell ref="Z453:AA453"/>
    <mergeCell ref="Z454:AA454"/>
    <mergeCell ref="Z455:AA455"/>
    <mergeCell ref="Z456:AA456"/>
    <mergeCell ref="Z447:AA447"/>
    <mergeCell ref="Z448:AA448"/>
    <mergeCell ref="Z449:AA449"/>
    <mergeCell ref="Z450:AA450"/>
    <mergeCell ref="Z451:AA451"/>
    <mergeCell ref="Z462:AA462"/>
    <mergeCell ref="Z463:AA463"/>
    <mergeCell ref="Z464:AA464"/>
    <mergeCell ref="Z465:AA465"/>
    <mergeCell ref="Z466:AA466"/>
    <mergeCell ref="Z457:AA457"/>
    <mergeCell ref="Z458:AA458"/>
    <mergeCell ref="Z459:AA459"/>
    <mergeCell ref="Z460:AA460"/>
    <mergeCell ref="Z461:AA461"/>
    <mergeCell ref="Z472:AA472"/>
    <mergeCell ref="Z473:AA473"/>
    <mergeCell ref="Z474:AA474"/>
    <mergeCell ref="Z475:AA475"/>
    <mergeCell ref="Z476:AA476"/>
    <mergeCell ref="Z467:AA467"/>
    <mergeCell ref="Z468:AA468"/>
    <mergeCell ref="Z469:AA469"/>
    <mergeCell ref="Z470:AA470"/>
    <mergeCell ref="Z471:AA471"/>
    <mergeCell ref="Z482:AA482"/>
    <mergeCell ref="Z483:AA483"/>
    <mergeCell ref="Z484:AA484"/>
    <mergeCell ref="Z485:AA485"/>
    <mergeCell ref="Z486:AA486"/>
    <mergeCell ref="Z477:AA477"/>
    <mergeCell ref="Z478:AA478"/>
    <mergeCell ref="Z479:AA479"/>
    <mergeCell ref="Z480:AA480"/>
    <mergeCell ref="Z481:AA481"/>
    <mergeCell ref="Z492:AA492"/>
    <mergeCell ref="Z493:AA493"/>
    <mergeCell ref="Z494:AA494"/>
    <mergeCell ref="Z495:AA495"/>
    <mergeCell ref="Z496:AA496"/>
    <mergeCell ref="Z487:AA487"/>
    <mergeCell ref="Z488:AA488"/>
    <mergeCell ref="Z489:AA489"/>
    <mergeCell ref="Z490:AA490"/>
    <mergeCell ref="Z491:AA491"/>
    <mergeCell ref="Z502:AA502"/>
    <mergeCell ref="Z503:AA503"/>
    <mergeCell ref="Z504:AA504"/>
    <mergeCell ref="Z505:AA505"/>
    <mergeCell ref="Z506:AA506"/>
    <mergeCell ref="Z497:AA497"/>
    <mergeCell ref="Z498:AA498"/>
    <mergeCell ref="Z499:AA499"/>
    <mergeCell ref="Z500:AA500"/>
    <mergeCell ref="Z501:AA501"/>
    <mergeCell ref="Z512:AA512"/>
    <mergeCell ref="Z513:AA513"/>
    <mergeCell ref="Z514:AA514"/>
    <mergeCell ref="Z515:AA515"/>
    <mergeCell ref="Z516:AA516"/>
    <mergeCell ref="Z507:AA507"/>
    <mergeCell ref="Z508:AA508"/>
    <mergeCell ref="Z509:AA509"/>
    <mergeCell ref="Z510:AA510"/>
    <mergeCell ref="Z511:AA511"/>
    <mergeCell ref="Z522:AA522"/>
    <mergeCell ref="Z523:AA523"/>
    <mergeCell ref="Z524:AA524"/>
    <mergeCell ref="Z525:AA525"/>
    <mergeCell ref="Z526:AA526"/>
    <mergeCell ref="Z517:AA517"/>
    <mergeCell ref="Z518:AA518"/>
    <mergeCell ref="Z519:AA519"/>
    <mergeCell ref="Z520:AA520"/>
    <mergeCell ref="Z521:AA521"/>
    <mergeCell ref="Z532:AA532"/>
    <mergeCell ref="Z533:AA533"/>
    <mergeCell ref="Z534:AA534"/>
    <mergeCell ref="Z535:AA535"/>
    <mergeCell ref="Z536:AA536"/>
    <mergeCell ref="Z527:AA527"/>
    <mergeCell ref="Z528:AA528"/>
    <mergeCell ref="Z529:AA529"/>
    <mergeCell ref="Z530:AA530"/>
    <mergeCell ref="Z531:AA531"/>
    <mergeCell ref="Z542:AA542"/>
    <mergeCell ref="Z543:AA543"/>
    <mergeCell ref="Z545:AA545"/>
    <mergeCell ref="Z546:AA546"/>
    <mergeCell ref="Z547:AA547"/>
    <mergeCell ref="Z537:AA537"/>
    <mergeCell ref="Z538:AA538"/>
    <mergeCell ref="Z539:AA539"/>
    <mergeCell ref="Z540:AA540"/>
    <mergeCell ref="Z541:AA541"/>
    <mergeCell ref="Z553:AA553"/>
    <mergeCell ref="Z554:AA554"/>
    <mergeCell ref="Z555:AA555"/>
    <mergeCell ref="Z556:AA556"/>
    <mergeCell ref="Z557:AA557"/>
    <mergeCell ref="Z548:AA548"/>
    <mergeCell ref="Z549:AA549"/>
    <mergeCell ref="Z550:AA550"/>
    <mergeCell ref="Z551:AA551"/>
    <mergeCell ref="Z552:AA552"/>
    <mergeCell ref="Z563:AA563"/>
    <mergeCell ref="Z564:AA564"/>
    <mergeCell ref="Z565:AA565"/>
    <mergeCell ref="Z566:AA566"/>
    <mergeCell ref="Z567:AA567"/>
    <mergeCell ref="Z558:AA558"/>
    <mergeCell ref="Z559:AA559"/>
    <mergeCell ref="Z560:AA560"/>
    <mergeCell ref="Z561:AA561"/>
    <mergeCell ref="Z562:AA562"/>
    <mergeCell ref="Z573:AA573"/>
    <mergeCell ref="Z574:AA574"/>
    <mergeCell ref="Z575:AA575"/>
    <mergeCell ref="Z576:AA576"/>
    <mergeCell ref="Z577:AA577"/>
    <mergeCell ref="Z568:AA568"/>
    <mergeCell ref="Z569:AA569"/>
    <mergeCell ref="Z570:AA570"/>
    <mergeCell ref="Z571:AA571"/>
    <mergeCell ref="Z572:AA572"/>
    <mergeCell ref="Z583:AA583"/>
    <mergeCell ref="Z584:AA584"/>
    <mergeCell ref="Z585:AA585"/>
    <mergeCell ref="Z586:AA586"/>
    <mergeCell ref="Z587:AA587"/>
    <mergeCell ref="Z578:AA578"/>
    <mergeCell ref="Z579:AA579"/>
    <mergeCell ref="Z580:AA580"/>
    <mergeCell ref="Z581:AA581"/>
    <mergeCell ref="Z582:AA582"/>
    <mergeCell ref="Z593:AA593"/>
    <mergeCell ref="Z594:AA594"/>
    <mergeCell ref="Z595:AA595"/>
    <mergeCell ref="Z596:AA596"/>
    <mergeCell ref="Z597:AA597"/>
    <mergeCell ref="Z588:AA588"/>
    <mergeCell ref="Z589:AA589"/>
    <mergeCell ref="Z590:AA590"/>
    <mergeCell ref="Z591:AA591"/>
    <mergeCell ref="Z592:AA592"/>
    <mergeCell ref="Z603:AA603"/>
    <mergeCell ref="Z604:AA604"/>
    <mergeCell ref="Z605:AA605"/>
    <mergeCell ref="Z606:AA606"/>
    <mergeCell ref="Z607:AA607"/>
    <mergeCell ref="Z598:AA598"/>
    <mergeCell ref="Z599:AA599"/>
    <mergeCell ref="Z600:AA600"/>
    <mergeCell ref="Z601:AA601"/>
    <mergeCell ref="Z602:AA602"/>
    <mergeCell ref="Z613:AA613"/>
    <mergeCell ref="Z614:AA614"/>
    <mergeCell ref="Z615:AA615"/>
    <mergeCell ref="Z616:AA616"/>
    <mergeCell ref="Z617:AA617"/>
    <mergeCell ref="Z608:AA608"/>
    <mergeCell ref="Z609:AA609"/>
    <mergeCell ref="Z610:AA610"/>
    <mergeCell ref="Z611:AA611"/>
    <mergeCell ref="Z612:AA612"/>
    <mergeCell ref="Z623:AA623"/>
    <mergeCell ref="Z624:AA624"/>
    <mergeCell ref="Z625:AA625"/>
    <mergeCell ref="Z626:AA626"/>
    <mergeCell ref="Z627:AA627"/>
    <mergeCell ref="Z618:AA618"/>
    <mergeCell ref="Z619:AA619"/>
    <mergeCell ref="Z620:AA620"/>
    <mergeCell ref="Z621:AA621"/>
    <mergeCell ref="Z622:AA622"/>
    <mergeCell ref="Z633:AA633"/>
    <mergeCell ref="Z634:AA634"/>
    <mergeCell ref="Z635:AA635"/>
    <mergeCell ref="Z636:AA636"/>
    <mergeCell ref="Z637:AA637"/>
    <mergeCell ref="Z628:AA628"/>
    <mergeCell ref="Z629:AA629"/>
    <mergeCell ref="Z630:AA630"/>
    <mergeCell ref="Z631:AA631"/>
    <mergeCell ref="Z632:AA632"/>
    <mergeCell ref="Z643:AA643"/>
    <mergeCell ref="Z644:AA644"/>
    <mergeCell ref="Z645:AA645"/>
    <mergeCell ref="Z646:AA646"/>
    <mergeCell ref="Z647:AA647"/>
    <mergeCell ref="Z638:AA638"/>
    <mergeCell ref="Z639:AA639"/>
    <mergeCell ref="Z640:AA640"/>
    <mergeCell ref="Z641:AA641"/>
    <mergeCell ref="Z642:AA642"/>
    <mergeCell ref="Z653:AA653"/>
    <mergeCell ref="Z654:AA654"/>
    <mergeCell ref="Z655:AA655"/>
    <mergeCell ref="Z656:AA656"/>
    <mergeCell ref="Z657:AA657"/>
    <mergeCell ref="Z648:AA648"/>
    <mergeCell ref="Z649:AA649"/>
    <mergeCell ref="Z650:AA650"/>
    <mergeCell ref="Z651:AA651"/>
    <mergeCell ref="Z652:AA652"/>
    <mergeCell ref="Z663:AA663"/>
    <mergeCell ref="Z664:AA664"/>
    <mergeCell ref="Z665:AA665"/>
    <mergeCell ref="Z666:AA666"/>
    <mergeCell ref="Z667:AA667"/>
    <mergeCell ref="Z658:AA658"/>
    <mergeCell ref="Z659:AA659"/>
    <mergeCell ref="Z660:AA660"/>
    <mergeCell ref="Z661:AA661"/>
    <mergeCell ref="Z662:AA662"/>
    <mergeCell ref="Z673:AA673"/>
    <mergeCell ref="Z674:AA674"/>
    <mergeCell ref="Z675:AA675"/>
    <mergeCell ref="Z676:AA676"/>
    <mergeCell ref="Z677:AA677"/>
    <mergeCell ref="Z668:AA668"/>
    <mergeCell ref="Z669:AA669"/>
    <mergeCell ref="Z670:AA670"/>
    <mergeCell ref="Z671:AA671"/>
    <mergeCell ref="Z672:AA672"/>
    <mergeCell ref="Z683:AA683"/>
    <mergeCell ref="Z684:AA684"/>
    <mergeCell ref="Z685:AA685"/>
    <mergeCell ref="Z686:AA686"/>
    <mergeCell ref="Z687:AA687"/>
    <mergeCell ref="Z678:AA678"/>
    <mergeCell ref="Z679:AA679"/>
    <mergeCell ref="Z680:AA680"/>
    <mergeCell ref="Z681:AA681"/>
    <mergeCell ref="Z682:AA682"/>
    <mergeCell ref="Z693:AA693"/>
    <mergeCell ref="Z694:AA694"/>
    <mergeCell ref="Z695:AA695"/>
    <mergeCell ref="Z696:AA696"/>
    <mergeCell ref="Z697:AA697"/>
    <mergeCell ref="Z688:AA688"/>
    <mergeCell ref="Z689:AA689"/>
    <mergeCell ref="Z690:AA690"/>
    <mergeCell ref="Z691:AA691"/>
    <mergeCell ref="Z692:AA692"/>
    <mergeCell ref="Z703:AA703"/>
    <mergeCell ref="Z704:AA704"/>
    <mergeCell ref="Z705:AA705"/>
    <mergeCell ref="Z706:AA706"/>
    <mergeCell ref="Z707:AA707"/>
    <mergeCell ref="Z698:AA698"/>
    <mergeCell ref="Z699:AA699"/>
    <mergeCell ref="Z700:AA700"/>
    <mergeCell ref="Z701:AA701"/>
    <mergeCell ref="Z702:AA702"/>
    <mergeCell ref="Z713:AA713"/>
    <mergeCell ref="Z714:AA714"/>
    <mergeCell ref="Z715:AA715"/>
    <mergeCell ref="Z716:AA716"/>
    <mergeCell ref="Z717:AA717"/>
    <mergeCell ref="Z708:AA708"/>
    <mergeCell ref="Z709:AA709"/>
    <mergeCell ref="Z710:AA710"/>
    <mergeCell ref="Z711:AA711"/>
    <mergeCell ref="Z712:AA712"/>
    <mergeCell ref="Z723:AA723"/>
    <mergeCell ref="Z724:AA724"/>
    <mergeCell ref="Z725:AA725"/>
    <mergeCell ref="Z726:AA726"/>
    <mergeCell ref="Z727:AA727"/>
    <mergeCell ref="Z718:AA718"/>
    <mergeCell ref="Z719:AA719"/>
    <mergeCell ref="Z720:AA720"/>
    <mergeCell ref="Z721:AA721"/>
    <mergeCell ref="Z722:AA722"/>
    <mergeCell ref="Z733:AA733"/>
    <mergeCell ref="Z734:AA734"/>
    <mergeCell ref="Z735:AA735"/>
    <mergeCell ref="Z736:AA736"/>
    <mergeCell ref="Z737:AA737"/>
    <mergeCell ref="Z728:AA728"/>
    <mergeCell ref="Z729:AA729"/>
    <mergeCell ref="Z730:AA730"/>
    <mergeCell ref="Z731:AA731"/>
    <mergeCell ref="Z732:AA732"/>
    <mergeCell ref="Z743:AA743"/>
    <mergeCell ref="Z744:AA744"/>
    <mergeCell ref="Z745:AA745"/>
    <mergeCell ref="Z746:AA746"/>
    <mergeCell ref="Z747:AA747"/>
    <mergeCell ref="Z738:AA738"/>
    <mergeCell ref="Z739:AA739"/>
    <mergeCell ref="Z740:AA740"/>
    <mergeCell ref="Z741:AA741"/>
    <mergeCell ref="Z742:AA742"/>
    <mergeCell ref="Z861:AA861"/>
    <mergeCell ref="Z862:AA862"/>
    <mergeCell ref="Z1031:AA1031"/>
    <mergeCell ref="Z753:AA753"/>
    <mergeCell ref="Z754:AA754"/>
    <mergeCell ref="Z755:AA755"/>
    <mergeCell ref="Z857:AA857"/>
    <mergeCell ref="Z858:AA858"/>
    <mergeCell ref="Z748:AA748"/>
    <mergeCell ref="Z749:AA749"/>
    <mergeCell ref="Z750:AA750"/>
    <mergeCell ref="Z751:AA751"/>
    <mergeCell ref="Z752:AA752"/>
    <mergeCell ref="Z1042:AA1042"/>
    <mergeCell ref="Z1043:AA1043"/>
    <mergeCell ref="R12:U12"/>
    <mergeCell ref="R13:S13"/>
    <mergeCell ref="T13:U13"/>
    <mergeCell ref="R14:S15"/>
    <mergeCell ref="T14:U15"/>
    <mergeCell ref="R17:U17"/>
    <mergeCell ref="R18:S18"/>
    <mergeCell ref="T18:U18"/>
    <mergeCell ref="R19:S20"/>
    <mergeCell ref="T19:U20"/>
    <mergeCell ref="Z1037:AA1037"/>
    <mergeCell ref="Z1038:AA1038"/>
    <mergeCell ref="Z1039:AA1039"/>
    <mergeCell ref="Z1040:AA1040"/>
    <mergeCell ref="Z1041:AA1041"/>
    <mergeCell ref="Z1032:AA1032"/>
    <mergeCell ref="Z1033:AA1033"/>
    <mergeCell ref="Z1034:AA1034"/>
    <mergeCell ref="Z1035:AA1035"/>
    <mergeCell ref="Z1036:AA1036"/>
    <mergeCell ref="Z859:AA859"/>
    <mergeCell ref="Z860:AA860"/>
  </mergeCells>
  <phoneticPr fontId="31" type="noConversion"/>
  <dataValidations count="1">
    <dataValidation type="list" allowBlank="1" showInputMessage="1" showErrorMessage="1" sqref="T8:U8 D3:D1035" xr:uid="{00000000-0002-0000-0E00-000000000000}">
      <formula1>$Y$6:$Y$17</formula1>
    </dataValidation>
  </dataValidations>
  <pageMargins left="0.7" right="0.7" top="0.75" bottom="0.75" header="0.3" footer="0.3"/>
  <pageSetup paperSize="257" scale="93" fitToHeight="0" orientation="landscape" horizontalDpi="203" verticalDpi="203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12057AB-15A7-4429-9662-9B47B48D06DE}">
          <x14:formula1>
            <xm:f>ورقة1!$A:$A</xm:f>
          </x14:formula1>
          <xm:sqref>E3:E26 E28:E118 E120:E139 E141:E857 E859:E1043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2C4CC-352D-4A41-B02E-7A55B417EA2D}">
  <dimension ref="A1:A19"/>
  <sheetViews>
    <sheetView rightToLeft="1" workbookViewId="0">
      <selection activeCell="A19" sqref="A19"/>
    </sheetView>
  </sheetViews>
  <sheetFormatPr defaultRowHeight="14" x14ac:dyDescent="0.3"/>
  <cols>
    <col min="1" max="1" width="48.9140625" customWidth="1"/>
  </cols>
  <sheetData>
    <row r="1" spans="1:1" x14ac:dyDescent="0.3">
      <c r="A1" t="s">
        <v>708</v>
      </c>
    </row>
    <row r="2" spans="1:1" x14ac:dyDescent="0.3">
      <c r="A2" t="s">
        <v>709</v>
      </c>
    </row>
    <row r="3" spans="1:1" x14ac:dyDescent="0.3">
      <c r="A3" t="s">
        <v>710</v>
      </c>
    </row>
    <row r="4" spans="1:1" x14ac:dyDescent="0.3">
      <c r="A4" t="s">
        <v>714</v>
      </c>
    </row>
    <row r="5" spans="1:1" x14ac:dyDescent="0.3">
      <c r="A5" t="s">
        <v>715</v>
      </c>
    </row>
    <row r="6" spans="1:1" x14ac:dyDescent="0.3">
      <c r="A6" t="s">
        <v>722</v>
      </c>
    </row>
    <row r="7" spans="1:1" x14ac:dyDescent="0.3">
      <c r="A7" t="s">
        <v>736</v>
      </c>
    </row>
    <row r="8" spans="1:1" x14ac:dyDescent="0.3">
      <c r="A8" t="s">
        <v>740</v>
      </c>
    </row>
    <row r="9" spans="1:1" x14ac:dyDescent="0.3">
      <c r="A9" t="s">
        <v>743</v>
      </c>
    </row>
    <row r="10" spans="1:1" x14ac:dyDescent="0.3">
      <c r="A10" t="s">
        <v>757</v>
      </c>
    </row>
    <row r="11" spans="1:1" x14ac:dyDescent="0.3">
      <c r="A11" t="s">
        <v>760</v>
      </c>
    </row>
    <row r="12" spans="1:1" x14ac:dyDescent="0.3">
      <c r="A12" t="s">
        <v>763</v>
      </c>
    </row>
    <row r="13" spans="1:1" x14ac:dyDescent="0.3">
      <c r="A13" t="s">
        <v>771</v>
      </c>
    </row>
    <row r="14" spans="1:1" x14ac:dyDescent="0.3">
      <c r="A14" t="s">
        <v>789</v>
      </c>
    </row>
    <row r="15" spans="1:1" x14ac:dyDescent="0.3">
      <c r="A15" t="s">
        <v>820</v>
      </c>
    </row>
    <row r="16" spans="1:1" x14ac:dyDescent="0.3">
      <c r="A16" t="s">
        <v>988</v>
      </c>
    </row>
    <row r="17" spans="1:1" x14ac:dyDescent="0.3">
      <c r="A17" t="s">
        <v>997</v>
      </c>
    </row>
    <row r="18" spans="1:1" x14ac:dyDescent="0.3">
      <c r="A18" t="s">
        <v>1017</v>
      </c>
    </row>
    <row r="19" spans="1:1" x14ac:dyDescent="0.3">
      <c r="A19" t="s">
        <v>1090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J11"/>
  <sheetViews>
    <sheetView rightToLeft="1" workbookViewId="0">
      <selection activeCell="I5" sqref="I5:J5"/>
    </sheetView>
  </sheetViews>
  <sheetFormatPr defaultRowHeight="14" x14ac:dyDescent="0.3"/>
  <cols>
    <col min="1" max="1" width="9.58203125" customWidth="1"/>
    <col min="2" max="2" width="10" customWidth="1"/>
    <col min="3" max="3" width="17.58203125" customWidth="1"/>
    <col min="4" max="4" width="14.4140625" customWidth="1"/>
    <col min="5" max="5" width="9.58203125" customWidth="1"/>
    <col min="6" max="6" width="4.33203125" customWidth="1"/>
  </cols>
  <sheetData>
    <row r="1" spans="1:10" ht="34.25" customHeight="1" x14ac:dyDescent="0.3">
      <c r="A1" s="260" t="s">
        <v>580</v>
      </c>
      <c r="B1" s="260"/>
      <c r="C1" s="260"/>
      <c r="D1" s="260"/>
      <c r="E1" s="260"/>
    </row>
    <row r="2" spans="1:10" ht="24.65" customHeight="1" x14ac:dyDescent="0.3">
      <c r="A2" s="22" t="s">
        <v>0</v>
      </c>
      <c r="B2" s="22" t="s">
        <v>581</v>
      </c>
      <c r="C2" s="22" t="s">
        <v>579</v>
      </c>
      <c r="D2" s="22" t="s">
        <v>498</v>
      </c>
      <c r="E2" s="22" t="s">
        <v>511</v>
      </c>
    </row>
    <row r="3" spans="1:10" ht="28.75" customHeight="1" x14ac:dyDescent="0.3">
      <c r="A3" s="22">
        <v>1</v>
      </c>
      <c r="B3" s="22">
        <v>5000</v>
      </c>
      <c r="C3" s="22" t="s">
        <v>691</v>
      </c>
      <c r="D3" s="160">
        <v>44917</v>
      </c>
      <c r="E3" s="22" t="s">
        <v>510</v>
      </c>
      <c r="G3" s="232" t="s">
        <v>582</v>
      </c>
      <c r="H3" s="232"/>
      <c r="I3" s="232"/>
      <c r="J3" s="232"/>
    </row>
    <row r="4" spans="1:10" ht="24.65" customHeight="1" x14ac:dyDescent="0.3">
      <c r="A4" s="22">
        <v>2</v>
      </c>
      <c r="B4" s="22">
        <v>3000</v>
      </c>
      <c r="C4" s="22" t="s">
        <v>692</v>
      </c>
      <c r="D4" s="160">
        <v>44920</v>
      </c>
      <c r="E4" s="22" t="s">
        <v>510</v>
      </c>
      <c r="G4" s="207" t="s">
        <v>588</v>
      </c>
      <c r="H4" s="207"/>
      <c r="I4" s="207">
        <f>SUM(B3:B2765)</f>
        <v>8000</v>
      </c>
      <c r="J4" s="207"/>
    </row>
    <row r="5" spans="1:10" ht="24.65" customHeight="1" x14ac:dyDescent="0.3">
      <c r="A5" s="22"/>
      <c r="B5" s="22"/>
      <c r="C5" s="22"/>
      <c r="D5" s="160"/>
      <c r="E5" s="22"/>
      <c r="G5" s="207" t="s">
        <v>589</v>
      </c>
      <c r="H5" s="207"/>
      <c r="I5" s="207" t="s">
        <v>510</v>
      </c>
      <c r="J5" s="207"/>
    </row>
    <row r="6" spans="1:10" ht="24.65" customHeight="1" x14ac:dyDescent="0.3">
      <c r="A6" s="22"/>
      <c r="B6" s="22"/>
      <c r="C6" s="22"/>
      <c r="D6" s="160"/>
      <c r="E6" s="22"/>
      <c r="I6" s="207">
        <f>SUMIFS(B3:B2765,E3:E2765,I5)</f>
        <v>8000</v>
      </c>
      <c r="J6" s="207"/>
    </row>
    <row r="7" spans="1:10" ht="24.65" customHeight="1" x14ac:dyDescent="0.3">
      <c r="A7" s="22"/>
      <c r="B7" s="22"/>
      <c r="C7" s="22"/>
      <c r="D7" s="160"/>
      <c r="E7" s="22"/>
    </row>
    <row r="8" spans="1:10" ht="24.65" customHeight="1" x14ac:dyDescent="0.3">
      <c r="A8" s="22"/>
      <c r="B8" s="22"/>
      <c r="C8" s="22"/>
      <c r="D8" s="160"/>
      <c r="E8" s="22"/>
    </row>
    <row r="9" spans="1:10" ht="24.65" customHeight="1" x14ac:dyDescent="0.3">
      <c r="A9" s="22"/>
      <c r="B9" s="22"/>
      <c r="C9" s="22"/>
      <c r="D9" s="160"/>
      <c r="E9" s="22"/>
    </row>
    <row r="10" spans="1:10" ht="24.65" customHeight="1" x14ac:dyDescent="0.3">
      <c r="A10" s="22"/>
      <c r="B10" s="22"/>
      <c r="C10" s="22"/>
      <c r="D10" s="160"/>
      <c r="E10" s="22"/>
    </row>
    <row r="11" spans="1:10" ht="24.65" customHeight="1" x14ac:dyDescent="0.3">
      <c r="A11" s="22"/>
      <c r="B11" s="22"/>
      <c r="C11" s="22"/>
      <c r="D11" s="160"/>
      <c r="E11" s="22"/>
    </row>
  </sheetData>
  <mergeCells count="7">
    <mergeCell ref="I6:J6"/>
    <mergeCell ref="A1:E1"/>
    <mergeCell ref="G3:J3"/>
    <mergeCell ref="G4:H4"/>
    <mergeCell ref="I4:J4"/>
    <mergeCell ref="G5:H5"/>
    <mergeCell ref="I5:J5"/>
  </mergeCells>
  <dataValidations count="1">
    <dataValidation type="list" allowBlank="1" showInputMessage="1" showErrorMessage="1" sqref="E3:E11" xr:uid="{00000000-0002-0000-0F00-000000000000}">
      <formula1>$S$6:$S$17</formula1>
    </dataValidation>
  </dataValidations>
  <pageMargins left="0.7" right="1.1100000000000001" top="0.75" bottom="0.75" header="0.3" footer="0.3"/>
  <pageSetup paperSize="9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1000000}">
          <x14:formula1>
            <xm:f>'المصروفات التشغيلية'!$Y$6:$Y$17</xm:f>
          </x14:formula1>
          <xm:sqref>I5:J5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O16"/>
  <sheetViews>
    <sheetView rightToLeft="1" workbookViewId="0">
      <selection activeCell="F5" sqref="F5"/>
    </sheetView>
  </sheetViews>
  <sheetFormatPr defaultRowHeight="14" x14ac:dyDescent="0.3"/>
  <cols>
    <col min="1" max="1" width="6.33203125" style="21" customWidth="1"/>
    <col min="2" max="2" width="11" style="21" customWidth="1"/>
    <col min="3" max="3" width="7.1640625" style="21" customWidth="1"/>
    <col min="4" max="4" width="14.08203125" style="21" customWidth="1"/>
    <col min="5" max="5" width="17.4140625" style="21" customWidth="1"/>
    <col min="6" max="6" width="14.6640625" style="21" customWidth="1"/>
    <col min="7" max="7" width="10.33203125" style="21" customWidth="1"/>
    <col min="8" max="8" width="11" style="21" customWidth="1"/>
    <col min="9" max="9" width="15.9140625" style="21" customWidth="1"/>
    <col min="10" max="10" width="2.6640625" customWidth="1"/>
    <col min="11" max="11" width="8.83203125" customWidth="1"/>
    <col min="12" max="12" width="8.08203125" customWidth="1"/>
    <col min="13" max="13" width="15.1640625" customWidth="1"/>
  </cols>
  <sheetData>
    <row r="1" spans="1:15" ht="46.25" customHeight="1" x14ac:dyDescent="0.3">
      <c r="A1" s="261" t="s">
        <v>561</v>
      </c>
      <c r="B1" s="262"/>
      <c r="C1" s="262"/>
      <c r="D1" s="262"/>
      <c r="E1" s="262"/>
      <c r="F1" s="262"/>
      <c r="G1" s="262"/>
      <c r="H1" s="262"/>
      <c r="I1" s="263"/>
    </row>
    <row r="2" spans="1:15" ht="31.25" customHeight="1" x14ac:dyDescent="0.3">
      <c r="A2" s="98" t="s">
        <v>0</v>
      </c>
      <c r="B2" s="99" t="s">
        <v>498</v>
      </c>
      <c r="C2" s="99" t="s">
        <v>511</v>
      </c>
      <c r="D2" s="99" t="s">
        <v>555</v>
      </c>
      <c r="E2" s="99" t="s">
        <v>556</v>
      </c>
      <c r="F2" s="99" t="s">
        <v>557</v>
      </c>
      <c r="G2" s="162" t="s">
        <v>558</v>
      </c>
      <c r="H2" s="99" t="s">
        <v>559</v>
      </c>
      <c r="I2" s="100" t="s">
        <v>560</v>
      </c>
      <c r="K2" s="219"/>
      <c r="L2" s="219"/>
      <c r="M2" s="219"/>
      <c r="N2" s="219"/>
    </row>
    <row r="3" spans="1:15" ht="19.75" customHeight="1" x14ac:dyDescent="0.3">
      <c r="A3" s="97">
        <v>1</v>
      </c>
      <c r="B3" s="160">
        <v>44910</v>
      </c>
      <c r="C3" s="97" t="s">
        <v>510</v>
      </c>
      <c r="D3" s="22" t="s">
        <v>565</v>
      </c>
      <c r="E3" s="22" t="s">
        <v>693</v>
      </c>
      <c r="F3" s="22">
        <v>101122546</v>
      </c>
      <c r="G3" s="66">
        <v>1200</v>
      </c>
      <c r="H3" s="66"/>
      <c r="I3" s="107">
        <f>G3-H3</f>
        <v>1200</v>
      </c>
      <c r="K3" s="264" t="s">
        <v>584</v>
      </c>
      <c r="L3" s="264"/>
      <c r="M3" s="264"/>
    </row>
    <row r="4" spans="1:15" ht="19.75" customHeight="1" x14ac:dyDescent="0.3">
      <c r="A4" s="97">
        <v>2</v>
      </c>
      <c r="B4" s="160">
        <v>44920</v>
      </c>
      <c r="C4" s="97" t="s">
        <v>510</v>
      </c>
      <c r="D4" s="22" t="s">
        <v>565</v>
      </c>
      <c r="E4" s="22" t="s">
        <v>694</v>
      </c>
      <c r="F4" s="22">
        <v>25446655654564</v>
      </c>
      <c r="G4" s="66"/>
      <c r="H4" s="66">
        <v>1200</v>
      </c>
      <c r="I4" s="107">
        <f t="shared" ref="I4:I16" si="0">G4-H4</f>
        <v>-1200</v>
      </c>
      <c r="K4" s="207" t="s">
        <v>594</v>
      </c>
      <c r="L4" s="207"/>
      <c r="M4" s="106">
        <f>SUM(الجدول1[وارد])</f>
        <v>1200</v>
      </c>
    </row>
    <row r="5" spans="1:15" ht="19.75" customHeight="1" x14ac:dyDescent="0.3">
      <c r="A5" s="97">
        <v>3</v>
      </c>
      <c r="B5" s="160"/>
      <c r="C5" s="97"/>
      <c r="D5" s="22"/>
      <c r="E5" s="22"/>
      <c r="F5" s="22"/>
      <c r="G5" s="106"/>
      <c r="H5" s="106"/>
      <c r="I5" s="107">
        <f t="shared" si="0"/>
        <v>0</v>
      </c>
      <c r="K5" s="207" t="s">
        <v>514</v>
      </c>
      <c r="L5" s="207"/>
      <c r="M5" s="22" t="s">
        <v>510</v>
      </c>
    </row>
    <row r="6" spans="1:15" ht="19.75" customHeight="1" x14ac:dyDescent="0.3">
      <c r="A6" s="97">
        <v>4</v>
      </c>
      <c r="B6" s="161"/>
      <c r="C6" s="97"/>
      <c r="D6" s="22"/>
      <c r="E6" s="22"/>
      <c r="F6" s="22"/>
      <c r="G6" s="106"/>
      <c r="H6" s="106"/>
      <c r="I6" s="107">
        <f t="shared" si="0"/>
        <v>0</v>
      </c>
      <c r="M6" s="22">
        <f>SUMIFS(الجدول1[وارد],الجدول1[الشهر],M5)</f>
        <v>1200</v>
      </c>
    </row>
    <row r="7" spans="1:15" ht="19.75" customHeight="1" x14ac:dyDescent="0.3">
      <c r="A7" s="97">
        <v>5</v>
      </c>
      <c r="B7" s="161"/>
      <c r="C7" s="97"/>
      <c r="D7" s="22"/>
      <c r="E7" s="22"/>
      <c r="F7" s="22"/>
      <c r="G7" s="106"/>
      <c r="H7" s="106"/>
      <c r="I7" s="107">
        <f t="shared" si="0"/>
        <v>0</v>
      </c>
    </row>
    <row r="8" spans="1:15" ht="19.75" customHeight="1" x14ac:dyDescent="0.3">
      <c r="A8" s="97">
        <v>6</v>
      </c>
      <c r="B8" s="161"/>
      <c r="C8" s="97"/>
      <c r="D8" s="22"/>
      <c r="E8" s="22"/>
      <c r="F8" s="22"/>
      <c r="G8" s="106"/>
      <c r="H8" s="106"/>
      <c r="I8" s="107">
        <f t="shared" si="0"/>
        <v>0</v>
      </c>
    </row>
    <row r="9" spans="1:15" ht="19.75" customHeight="1" x14ac:dyDescent="0.3">
      <c r="A9" s="97">
        <v>7</v>
      </c>
      <c r="B9" s="161"/>
      <c r="C9" s="97"/>
      <c r="D9" s="22"/>
      <c r="E9" s="22"/>
      <c r="F9" s="22"/>
      <c r="G9" s="106"/>
      <c r="H9" s="106"/>
      <c r="I9" s="107">
        <f t="shared" si="0"/>
        <v>0</v>
      </c>
    </row>
    <row r="10" spans="1:15" ht="19.75" customHeight="1" x14ac:dyDescent="0.3">
      <c r="A10" s="97">
        <v>8</v>
      </c>
      <c r="B10" s="161"/>
      <c r="C10" s="97"/>
      <c r="D10" s="22"/>
      <c r="E10" s="22"/>
      <c r="F10" s="22"/>
      <c r="G10" s="106"/>
      <c r="H10" s="106"/>
      <c r="I10" s="107">
        <f t="shared" si="0"/>
        <v>0</v>
      </c>
    </row>
    <row r="11" spans="1:15" ht="19.75" customHeight="1" x14ac:dyDescent="0.3">
      <c r="A11" s="97">
        <v>9</v>
      </c>
      <c r="B11" s="161"/>
      <c r="C11" s="97"/>
      <c r="D11" s="22"/>
      <c r="E11" s="22"/>
      <c r="F11" s="22"/>
      <c r="G11" s="106"/>
      <c r="H11" s="106"/>
      <c r="I11" s="107">
        <f t="shared" si="0"/>
        <v>0</v>
      </c>
    </row>
    <row r="12" spans="1:15" ht="19.75" customHeight="1" x14ac:dyDescent="0.3">
      <c r="A12" s="97">
        <v>10</v>
      </c>
      <c r="B12" s="161"/>
      <c r="C12" s="97"/>
      <c r="D12" s="22"/>
      <c r="E12" s="22"/>
      <c r="F12" s="22"/>
      <c r="G12" s="106"/>
      <c r="H12" s="106"/>
      <c r="I12" s="107">
        <f t="shared" si="0"/>
        <v>0</v>
      </c>
    </row>
    <row r="13" spans="1:15" ht="19.75" customHeight="1" x14ac:dyDescent="0.3">
      <c r="A13" s="97">
        <v>11</v>
      </c>
      <c r="B13" s="161"/>
      <c r="C13" s="97"/>
      <c r="D13" s="22"/>
      <c r="E13" s="22"/>
      <c r="F13" s="22"/>
      <c r="G13" s="106"/>
      <c r="H13" s="106"/>
      <c r="I13" s="107">
        <f t="shared" si="0"/>
        <v>0</v>
      </c>
      <c r="O13" t="s">
        <v>564</v>
      </c>
    </row>
    <row r="14" spans="1:15" ht="19.75" customHeight="1" x14ac:dyDescent="0.3">
      <c r="A14" s="97">
        <v>12</v>
      </c>
      <c r="B14" s="161"/>
      <c r="C14" s="97"/>
      <c r="D14" s="22"/>
      <c r="E14" s="22"/>
      <c r="F14" s="22"/>
      <c r="G14" s="106"/>
      <c r="H14" s="106"/>
      <c r="I14" s="107">
        <f t="shared" si="0"/>
        <v>0</v>
      </c>
    </row>
    <row r="15" spans="1:15" ht="19.75" customHeight="1" x14ac:dyDescent="0.3">
      <c r="A15" s="97">
        <v>13</v>
      </c>
      <c r="B15" s="161"/>
      <c r="C15" s="97"/>
      <c r="D15" s="22"/>
      <c r="E15" s="22"/>
      <c r="F15" s="22"/>
      <c r="G15" s="106"/>
      <c r="H15" s="106"/>
      <c r="I15" s="107">
        <f t="shared" si="0"/>
        <v>0</v>
      </c>
    </row>
    <row r="16" spans="1:15" ht="19.75" customHeight="1" x14ac:dyDescent="0.3">
      <c r="A16" s="97">
        <v>14</v>
      </c>
      <c r="B16" s="161"/>
      <c r="C16" s="97"/>
      <c r="D16" s="22"/>
      <c r="E16" s="22"/>
      <c r="F16" s="22"/>
      <c r="G16" s="106"/>
      <c r="H16" s="106"/>
      <c r="I16" s="107">
        <f t="shared" si="0"/>
        <v>0</v>
      </c>
    </row>
  </sheetData>
  <mergeCells count="6">
    <mergeCell ref="K5:L5"/>
    <mergeCell ref="A1:I1"/>
    <mergeCell ref="K2:L2"/>
    <mergeCell ref="M2:N2"/>
    <mergeCell ref="K3:M3"/>
    <mergeCell ref="K4:L4"/>
  </mergeCells>
  <dataValidations count="1">
    <dataValidation type="list" allowBlank="1" showInputMessage="1" showErrorMessage="1" sqref="C3:C16" xr:uid="{00000000-0002-0000-1000-000000000000}">
      <formula1>$S$6:$S$17</formula1>
    </dataValidation>
  </dataValidations>
  <pageMargins left="0.05" right="0.34" top="0.75" bottom="0.75" header="0.3" footer="0.3"/>
  <pageSetup paperSize="9" scale="82" fitToHeight="0" orientation="landscape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000-000001000000}">
          <x14:formula1>
            <xm:f>'المصروفات التشغيلية'!$Y$6:$Y$17</xm:f>
          </x14:formula1>
          <xm:sqref>M5</xm:sqref>
        </x14:dataValidation>
        <x14:dataValidation type="list" allowBlank="1" showInputMessage="1" showErrorMessage="1" xr:uid="{00000000-0002-0000-1000-000002000000}">
          <x14:formula1>
            <xm:f>'حسابات الموردين'!$A$2:$A$16</xm:f>
          </x14:formula1>
          <xm:sqref>D3:D16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H16"/>
  <sheetViews>
    <sheetView rightToLeft="1" workbookViewId="0">
      <selection activeCell="D7" sqref="D7"/>
    </sheetView>
  </sheetViews>
  <sheetFormatPr defaultRowHeight="14" x14ac:dyDescent="0.3"/>
  <cols>
    <col min="1" max="1" width="22.83203125" customWidth="1"/>
    <col min="2" max="2" width="14.58203125" customWidth="1"/>
    <col min="3" max="3" width="15.33203125" customWidth="1"/>
    <col min="4" max="4" width="13" customWidth="1"/>
    <col min="5" max="5" width="4.4140625" customWidth="1"/>
    <col min="6" max="6" width="16.9140625" customWidth="1"/>
    <col min="7" max="7" width="7.9140625" customWidth="1"/>
    <col min="8" max="8" width="8.1640625" customWidth="1"/>
  </cols>
  <sheetData>
    <row r="1" spans="1:8" ht="49.25" customHeight="1" x14ac:dyDescent="0.3">
      <c r="A1" s="101" t="s">
        <v>562</v>
      </c>
      <c r="B1" s="101" t="s">
        <v>572</v>
      </c>
      <c r="C1" s="101" t="s">
        <v>573</v>
      </c>
      <c r="D1" s="101" t="s">
        <v>571</v>
      </c>
    </row>
    <row r="2" spans="1:8" ht="22.75" customHeight="1" x14ac:dyDescent="0.3">
      <c r="A2" s="22" t="s">
        <v>565</v>
      </c>
      <c r="B2" s="22">
        <f>SUMIFS('مشتريات الموردين'!G$3:G$2909,'مشتريات الموردين'!D$3:D$2909,'حسابات الموردين'!A2)</f>
        <v>1200</v>
      </c>
      <c r="C2" s="22">
        <f>SUMIFS('مشتريات الموردين'!H$3:H$2909,'مشتريات الموردين'!D$3:D$2909,'حسابات الموردين'!A2)</f>
        <v>1200</v>
      </c>
      <c r="D2" s="22">
        <f>B2-C2</f>
        <v>0</v>
      </c>
    </row>
    <row r="3" spans="1:8" ht="22.75" customHeight="1" x14ac:dyDescent="0.3">
      <c r="A3" s="22" t="s">
        <v>566</v>
      </c>
      <c r="B3" s="22">
        <f>SUMIFS('مشتريات الموردين'!G$3:G$2909,'مشتريات الموردين'!D$3:D$2909,'حسابات الموردين'!A3)</f>
        <v>0</v>
      </c>
      <c r="C3" s="22">
        <f>SUMIFS('مشتريات الموردين'!H$3:H$2909,'مشتريات الموردين'!D$3:D$2909,'حسابات الموردين'!A3)</f>
        <v>0</v>
      </c>
      <c r="D3" s="22">
        <f t="shared" ref="D3:D16" si="0">B3-C3</f>
        <v>0</v>
      </c>
      <c r="F3" s="232" t="s">
        <v>574</v>
      </c>
      <c r="G3" s="232"/>
      <c r="H3" s="232"/>
    </row>
    <row r="4" spans="1:8" ht="22.75" customHeight="1" x14ac:dyDescent="0.3">
      <c r="A4" s="22" t="s">
        <v>567</v>
      </c>
      <c r="B4" s="22">
        <f>SUMIFS('مشتريات الموردين'!G$3:G$2909,'مشتريات الموردين'!D$3:D$2909,'حسابات الموردين'!A4)</f>
        <v>0</v>
      </c>
      <c r="C4" s="22">
        <f>SUMIFS('مشتريات الموردين'!H$3:H$2909,'مشتريات الموردين'!D$3:D$2909,'حسابات الموردين'!A4)</f>
        <v>0</v>
      </c>
      <c r="D4" s="22">
        <f t="shared" si="0"/>
        <v>0</v>
      </c>
      <c r="F4" s="19" t="s">
        <v>437</v>
      </c>
      <c r="G4" s="199" t="s">
        <v>565</v>
      </c>
      <c r="H4" s="199"/>
    </row>
    <row r="5" spans="1:8" ht="22.75" customHeight="1" x14ac:dyDescent="0.3">
      <c r="A5" s="22" t="s">
        <v>568</v>
      </c>
      <c r="B5" s="22">
        <f>SUMIFS('مشتريات الموردين'!G$3:G$2909,'مشتريات الموردين'!D$3:D$2909,'حسابات الموردين'!A5)</f>
        <v>0</v>
      </c>
      <c r="C5" s="22">
        <f>SUMIFS('مشتريات الموردين'!H$3:H$2909,'مشتريات الموردين'!D$3:D$2909,'حسابات الموردين'!A5)</f>
        <v>0</v>
      </c>
      <c r="D5" s="22">
        <f t="shared" si="0"/>
        <v>0</v>
      </c>
      <c r="F5" s="22" t="s">
        <v>569</v>
      </c>
      <c r="G5" s="207" t="s">
        <v>570</v>
      </c>
      <c r="H5" s="207"/>
    </row>
    <row r="6" spans="1:8" ht="22.75" customHeight="1" x14ac:dyDescent="0.3">
      <c r="A6" s="22"/>
      <c r="B6" s="22">
        <f>SUMIFS('مشتريات الموردين'!G$3:G$2909,'مشتريات الموردين'!D$3:D$2909,'حسابات الموردين'!A6)</f>
        <v>0</v>
      </c>
      <c r="C6" s="22">
        <f>SUMIFS('مشتريات الموردين'!H$3:H$2909,'مشتريات الموردين'!D$3:D$2909,'حسابات الموردين'!A6)</f>
        <v>0</v>
      </c>
      <c r="D6" s="22">
        <f t="shared" si="0"/>
        <v>0</v>
      </c>
      <c r="F6" s="22">
        <f>SUMIFS(B2:B16,A2:A16,G4)</f>
        <v>1200</v>
      </c>
      <c r="G6" s="207">
        <f>SUMIFS(C2:C16,A2:A16,G4)</f>
        <v>1200</v>
      </c>
      <c r="H6" s="207"/>
    </row>
    <row r="7" spans="1:8" ht="22.75" customHeight="1" x14ac:dyDescent="0.3">
      <c r="A7" s="22"/>
      <c r="B7" s="22">
        <f>SUMIFS('مشتريات الموردين'!G$3:G$2909,'مشتريات الموردين'!D$3:D$2909,'حسابات الموردين'!A7)</f>
        <v>0</v>
      </c>
      <c r="C7" s="22">
        <f>SUMIFS('مشتريات الموردين'!H$3:H$2909,'مشتريات الموردين'!D$3:D$2909,'حسابات الموردين'!A7)</f>
        <v>0</v>
      </c>
      <c r="D7" s="22">
        <f t="shared" si="0"/>
        <v>0</v>
      </c>
      <c r="F7" s="207">
        <f>F6-G6</f>
        <v>0</v>
      </c>
      <c r="G7" s="207"/>
      <c r="H7" s="207"/>
    </row>
    <row r="8" spans="1:8" ht="22.75" customHeight="1" x14ac:dyDescent="0.3">
      <c r="A8" s="22"/>
      <c r="B8" s="22">
        <f>SUMIFS('مشتريات الموردين'!G$3:G$2909,'مشتريات الموردين'!D$3:D$2909,'حسابات الموردين'!A8)</f>
        <v>0</v>
      </c>
      <c r="C8" s="22">
        <f>SUMIFS('مشتريات الموردين'!H$3:H$2909,'مشتريات الموردين'!D$3:D$2909,'حسابات الموردين'!A8)</f>
        <v>0</v>
      </c>
      <c r="D8" s="22">
        <f t="shared" si="0"/>
        <v>0</v>
      </c>
    </row>
    <row r="9" spans="1:8" ht="22.75" customHeight="1" x14ac:dyDescent="0.3">
      <c r="A9" s="22"/>
      <c r="B9" s="22">
        <f>SUMIFS('مشتريات الموردين'!G$3:G$2909,'مشتريات الموردين'!D$3:D$2909,'حسابات الموردين'!A9)</f>
        <v>0</v>
      </c>
      <c r="C9" s="22">
        <f>SUMIFS('مشتريات الموردين'!H$3:H$2909,'مشتريات الموردين'!D$3:D$2909,'حسابات الموردين'!A9)</f>
        <v>0</v>
      </c>
      <c r="D9" s="22">
        <f t="shared" si="0"/>
        <v>0</v>
      </c>
      <c r="F9" s="232" t="s">
        <v>592</v>
      </c>
      <c r="G9" s="232"/>
      <c r="H9" s="232"/>
    </row>
    <row r="10" spans="1:8" ht="22.75" customHeight="1" x14ac:dyDescent="0.3">
      <c r="A10" s="22"/>
      <c r="B10" s="22">
        <f>SUMIFS('مشتريات الموردين'!G$3:G$2909,'مشتريات الموردين'!D$3:D$2909,'حسابات الموردين'!A10)</f>
        <v>0</v>
      </c>
      <c r="C10" s="22">
        <f>SUMIFS('مشتريات الموردين'!H$3:H$2909,'مشتريات الموردين'!D$3:D$2909,'حسابات الموردين'!A10)</f>
        <v>0</v>
      </c>
      <c r="D10" s="22">
        <f t="shared" si="0"/>
        <v>0</v>
      </c>
      <c r="F10" s="267" t="s">
        <v>593</v>
      </c>
      <c r="G10" s="268"/>
      <c r="H10" s="269"/>
    </row>
    <row r="11" spans="1:8" ht="22.75" customHeight="1" x14ac:dyDescent="0.3">
      <c r="A11" s="22"/>
      <c r="B11" s="22">
        <f>SUMIFS('مشتريات الموردين'!G$3:G$2909,'مشتريات الموردين'!D$3:D$2909,'حسابات الموردين'!A11)</f>
        <v>0</v>
      </c>
      <c r="C11" s="22">
        <f>SUMIFS('مشتريات الموردين'!H$3:H$2909,'مشتريات الموردين'!D$3:D$2909,'حسابات الموردين'!A11)</f>
        <v>0</v>
      </c>
      <c r="D11" s="22">
        <f t="shared" si="0"/>
        <v>0</v>
      </c>
      <c r="F11" s="22" t="s">
        <v>569</v>
      </c>
      <c r="G11" s="207" t="s">
        <v>570</v>
      </c>
      <c r="H11" s="207"/>
    </row>
    <row r="12" spans="1:8" ht="22.75" customHeight="1" x14ac:dyDescent="0.3">
      <c r="A12" s="22"/>
      <c r="B12" s="22">
        <f>SUMIFS('مشتريات الموردين'!G$3:G$2909,'مشتريات الموردين'!D$3:D$2909,'حسابات الموردين'!A12)</f>
        <v>0</v>
      </c>
      <c r="C12" s="22">
        <f>SUMIFS('مشتريات الموردين'!H$3:H$2909,'مشتريات الموردين'!D$3:D$2909,'حسابات الموردين'!A12)</f>
        <v>0</v>
      </c>
      <c r="D12" s="22">
        <f t="shared" si="0"/>
        <v>0</v>
      </c>
      <c r="F12" s="22">
        <f>SUM(B2:B21)</f>
        <v>1200</v>
      </c>
      <c r="G12" s="265">
        <f>SUM(C2:C21)</f>
        <v>1200</v>
      </c>
      <c r="H12" s="266"/>
    </row>
    <row r="13" spans="1:8" ht="22.75" customHeight="1" x14ac:dyDescent="0.3">
      <c r="A13" s="22"/>
      <c r="B13" s="22">
        <f>SUMIFS('مشتريات الموردين'!G$3:G$2909,'مشتريات الموردين'!D$3:D$2909,'حسابات الموردين'!A13)</f>
        <v>0</v>
      </c>
      <c r="C13" s="22">
        <f>SUMIFS('مشتريات الموردين'!H$3:H$2909,'مشتريات الموردين'!D$3:D$2909,'حسابات الموردين'!A13)</f>
        <v>0</v>
      </c>
      <c r="D13" s="22">
        <f t="shared" si="0"/>
        <v>0</v>
      </c>
      <c r="F13" s="207">
        <f>F12-G12</f>
        <v>0</v>
      </c>
      <c r="G13" s="207"/>
      <c r="H13" s="207"/>
    </row>
    <row r="14" spans="1:8" ht="22.75" customHeight="1" x14ac:dyDescent="0.3">
      <c r="A14" s="22"/>
      <c r="B14" s="22">
        <f>SUMIFS('مشتريات الموردين'!G$3:G$2909,'مشتريات الموردين'!D$3:D$2909,'حسابات الموردين'!A14)</f>
        <v>0</v>
      </c>
      <c r="C14" s="22">
        <f>SUMIFS('مشتريات الموردين'!H$3:H$2909,'مشتريات الموردين'!D$3:D$2909,'حسابات الموردين'!A14)</f>
        <v>0</v>
      </c>
      <c r="D14" s="22">
        <f t="shared" si="0"/>
        <v>0</v>
      </c>
    </row>
    <row r="15" spans="1:8" ht="22.75" customHeight="1" x14ac:dyDescent="0.3">
      <c r="A15" s="22"/>
      <c r="B15" s="22">
        <f>SUMIFS('مشتريات الموردين'!G$3:G$2909,'مشتريات الموردين'!D$3:D$2909,'حسابات الموردين'!A15)</f>
        <v>0</v>
      </c>
      <c r="C15" s="22">
        <f>SUMIFS('مشتريات الموردين'!H$3:H$2909,'مشتريات الموردين'!D$3:D$2909,'حسابات الموردين'!A15)</f>
        <v>0</v>
      </c>
      <c r="D15" s="22">
        <f t="shared" si="0"/>
        <v>0</v>
      </c>
    </row>
    <row r="16" spans="1:8" ht="22.75" customHeight="1" x14ac:dyDescent="0.3">
      <c r="A16" s="22"/>
      <c r="B16" s="22">
        <f>SUMIFS('مشتريات الموردين'!G$3:G$2909,'مشتريات الموردين'!D$3:D$2909,'حسابات الموردين'!A16)</f>
        <v>0</v>
      </c>
      <c r="C16" s="22">
        <f>SUMIFS('مشتريات الموردين'!H$3:H$2909,'مشتريات الموردين'!D$3:D$2909,'حسابات الموردين'!A16)</f>
        <v>0</v>
      </c>
      <c r="D16" s="22">
        <f t="shared" si="0"/>
        <v>0</v>
      </c>
    </row>
  </sheetData>
  <mergeCells count="10">
    <mergeCell ref="F3:H3"/>
    <mergeCell ref="G4:H4"/>
    <mergeCell ref="G5:H5"/>
    <mergeCell ref="G6:H6"/>
    <mergeCell ref="F7:H7"/>
    <mergeCell ref="F9:H9"/>
    <mergeCell ref="G11:H11"/>
    <mergeCell ref="G12:H12"/>
    <mergeCell ref="F13:H13"/>
    <mergeCell ref="F10:H10"/>
  </mergeCells>
  <dataValidations count="1">
    <dataValidation type="list" allowBlank="1" showInputMessage="1" showErrorMessage="1" sqref="G4" xr:uid="{00000000-0002-0000-1100-000000000000}">
      <formula1>$A$2:$A$13</formula1>
    </dataValidation>
  </dataValidations>
  <pageMargins left="0.7" right="1.51" top="0.75" bottom="0.75" header="0.3" footer="0.3"/>
  <pageSetup paperSize="9" fitToHeight="0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5"/>
  <sheetViews>
    <sheetView rightToLeft="1" workbookViewId="0">
      <selection activeCell="B13" sqref="B13"/>
    </sheetView>
  </sheetViews>
  <sheetFormatPr defaultRowHeight="14" x14ac:dyDescent="0.3"/>
  <cols>
    <col min="1" max="1" width="34.4140625" customWidth="1"/>
    <col min="2" max="2" width="20.83203125" customWidth="1"/>
  </cols>
  <sheetData>
    <row r="1" spans="1:2" ht="31.75" customHeight="1" x14ac:dyDescent="0.3">
      <c r="A1" s="234" t="s">
        <v>595</v>
      </c>
      <c r="B1" s="234"/>
    </row>
    <row r="2" spans="1:2" ht="31.75" customHeight="1" x14ac:dyDescent="0.3">
      <c r="A2" s="19" t="s">
        <v>599</v>
      </c>
      <c r="B2" s="22" t="s">
        <v>510</v>
      </c>
    </row>
    <row r="3" spans="1:2" ht="32.4" customHeight="1" x14ac:dyDescent="0.3">
      <c r="A3" s="22" t="s">
        <v>596</v>
      </c>
      <c r="B3" s="22">
        <f>SUMIFS('مشتريات الموردين'!G3:G16,'مشتريات الموردين'!C3:C16,B2)</f>
        <v>1200</v>
      </c>
    </row>
    <row r="4" spans="1:2" ht="32.4" customHeight="1" x14ac:dyDescent="0.3">
      <c r="A4" s="22" t="s">
        <v>597</v>
      </c>
      <c r="B4" s="22">
        <f>SUMIFS('المصروفات التشغيلية'!F3:F861,'المصروفات التشغيلية'!D3:D861,B2)</f>
        <v>0</v>
      </c>
    </row>
    <row r="5" spans="1:2" ht="35.4" customHeight="1" x14ac:dyDescent="0.3">
      <c r="A5" s="22" t="s">
        <v>513</v>
      </c>
      <c r="B5" s="22">
        <f>SUM(B3:B4)</f>
        <v>1200</v>
      </c>
    </row>
  </sheetData>
  <mergeCells count="1">
    <mergeCell ref="A1:B1"/>
  </mergeCells>
  <pageMargins left="0.7" right="1.63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0000000}">
          <x14:formula1>
            <xm:f>'المصروفات التشغيلية'!$Y$6:$Y$17</xm:f>
          </x14:formula1>
          <xm:sqref>B2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690"/>
  <sheetViews>
    <sheetView rightToLeft="1" workbookViewId="0">
      <selection activeCell="D5" sqref="D5"/>
    </sheetView>
  </sheetViews>
  <sheetFormatPr defaultRowHeight="14" x14ac:dyDescent="0.3"/>
  <cols>
    <col min="1" max="1" width="4.9140625" style="20" customWidth="1"/>
    <col min="2" max="2" width="8.4140625" style="20" customWidth="1"/>
    <col min="3" max="3" width="7.58203125" style="167" customWidth="1"/>
    <col min="4" max="4" width="28.4140625" style="168" customWidth="1"/>
    <col min="5" max="5" width="9.6640625" style="102" customWidth="1"/>
    <col min="6" max="6" width="8.83203125" style="20"/>
    <col min="7" max="7" width="0" style="20" hidden="1" customWidth="1"/>
  </cols>
  <sheetData>
    <row r="1" spans="1:7" ht="37.25" customHeight="1" x14ac:dyDescent="0.3">
      <c r="A1" s="277" t="s">
        <v>695</v>
      </c>
      <c r="B1" s="278"/>
      <c r="C1" s="278"/>
      <c r="D1" s="279"/>
      <c r="E1" s="280">
        <f ca="1">TODAY()</f>
        <v>45114</v>
      </c>
      <c r="F1" s="280"/>
    </row>
    <row r="2" spans="1:7" ht="24" customHeight="1" x14ac:dyDescent="0.3">
      <c r="A2" s="270" t="s">
        <v>696</v>
      </c>
      <c r="B2" s="271"/>
      <c r="C2" s="272"/>
      <c r="D2" s="163">
        <f>SUM(B7:B684)</f>
        <v>100</v>
      </c>
      <c r="E2" s="273" t="s">
        <v>697</v>
      </c>
      <c r="F2" s="274"/>
    </row>
    <row r="3" spans="1:7" ht="24" customHeight="1" x14ac:dyDescent="0.3">
      <c r="A3" s="270" t="s">
        <v>698</v>
      </c>
      <c r="B3" s="271"/>
      <c r="C3" s="272"/>
      <c r="D3" s="163">
        <v>1000</v>
      </c>
      <c r="E3" s="281">
        <f>3375-33</f>
        <v>3342</v>
      </c>
      <c r="F3" s="276"/>
    </row>
    <row r="4" spans="1:7" ht="24" customHeight="1" x14ac:dyDescent="0.3">
      <c r="A4" s="270" t="s">
        <v>699</v>
      </c>
      <c r="B4" s="271"/>
      <c r="C4" s="272"/>
      <c r="D4" s="163">
        <v>0</v>
      </c>
      <c r="E4" s="273" t="s">
        <v>700</v>
      </c>
      <c r="F4" s="274"/>
    </row>
    <row r="5" spans="1:7" ht="24" customHeight="1" x14ac:dyDescent="0.3">
      <c r="A5" s="270" t="s">
        <v>701</v>
      </c>
      <c r="B5" s="271"/>
      <c r="C5" s="272"/>
      <c r="D5" s="163">
        <f>D3+D4-D2</f>
        <v>900</v>
      </c>
      <c r="E5" s="275">
        <f>SUM(F7:F325)</f>
        <v>13.043478260869563</v>
      </c>
      <c r="F5" s="276"/>
    </row>
    <row r="6" spans="1:7" ht="42" customHeight="1" x14ac:dyDescent="0.3">
      <c r="A6" s="156" t="s">
        <v>0</v>
      </c>
      <c r="B6" s="156" t="s">
        <v>487</v>
      </c>
      <c r="C6" s="164" t="s">
        <v>498</v>
      </c>
      <c r="D6" s="165" t="s">
        <v>488</v>
      </c>
      <c r="E6" s="165" t="s">
        <v>702</v>
      </c>
      <c r="F6" s="156" t="s">
        <v>47</v>
      </c>
      <c r="G6" s="18"/>
    </row>
    <row r="7" spans="1:7" ht="33" customHeight="1" x14ac:dyDescent="0.3">
      <c r="A7" s="22">
        <v>1</v>
      </c>
      <c r="B7" s="22">
        <v>100</v>
      </c>
      <c r="C7" s="166">
        <v>44906</v>
      </c>
      <c r="D7" s="86"/>
      <c r="E7" s="86" t="s">
        <v>703</v>
      </c>
      <c r="F7" s="66">
        <f>IF(G7="0","0",B7-G7)</f>
        <v>13.043478260869563</v>
      </c>
      <c r="G7" s="66">
        <f>IF(E7="فاتورة ضريبية",B7/1.15,"0")</f>
        <v>86.956521739130437</v>
      </c>
    </row>
    <row r="8" spans="1:7" ht="21" customHeight="1" x14ac:dyDescent="0.3">
      <c r="A8" s="22">
        <v>2</v>
      </c>
      <c r="B8" s="22"/>
      <c r="C8" s="166">
        <v>44906</v>
      </c>
      <c r="D8" s="86"/>
      <c r="E8" s="86"/>
      <c r="F8" s="66" t="str">
        <f>IF(G8="0","0",B8-G8)</f>
        <v>0</v>
      </c>
      <c r="G8" s="66" t="str">
        <f t="shared" ref="G8:G14" si="0">IF(E8="فاتورة ضريبية",B8/1.15,"0")</f>
        <v>0</v>
      </c>
    </row>
    <row r="9" spans="1:7" ht="25.25" customHeight="1" x14ac:dyDescent="0.3">
      <c r="A9" s="22">
        <v>3</v>
      </c>
      <c r="B9" s="22"/>
      <c r="C9" s="166">
        <v>44907</v>
      </c>
      <c r="D9" s="86"/>
      <c r="E9" s="86"/>
      <c r="F9" s="66" t="str">
        <f t="shared" ref="F9:F14" si="1">IF(G9="0","0",B9-G9)</f>
        <v>0</v>
      </c>
      <c r="G9" s="66" t="str">
        <f t="shared" si="0"/>
        <v>0</v>
      </c>
    </row>
    <row r="10" spans="1:7" ht="33" customHeight="1" x14ac:dyDescent="0.3">
      <c r="A10" s="22">
        <v>4</v>
      </c>
      <c r="B10" s="22"/>
      <c r="C10" s="166">
        <v>44906</v>
      </c>
      <c r="D10" s="86"/>
      <c r="E10" s="86"/>
      <c r="F10" s="66" t="str">
        <f t="shared" si="1"/>
        <v>0</v>
      </c>
      <c r="G10" s="66" t="str">
        <f t="shared" si="0"/>
        <v>0</v>
      </c>
    </row>
    <row r="11" spans="1:7" ht="21" customHeight="1" x14ac:dyDescent="0.3">
      <c r="A11" s="22">
        <v>5</v>
      </c>
      <c r="B11" s="22"/>
      <c r="C11" s="166">
        <v>44902</v>
      </c>
      <c r="D11" s="86"/>
      <c r="E11" s="86"/>
      <c r="F11" s="66" t="str">
        <f t="shared" si="1"/>
        <v>0</v>
      </c>
      <c r="G11" s="66" t="str">
        <f t="shared" si="0"/>
        <v>0</v>
      </c>
    </row>
    <row r="12" spans="1:7" ht="25.25" customHeight="1" x14ac:dyDescent="0.3">
      <c r="A12" s="22">
        <v>6</v>
      </c>
      <c r="B12" s="22"/>
      <c r="C12" s="166">
        <v>44906</v>
      </c>
      <c r="D12" s="86"/>
      <c r="E12" s="86"/>
      <c r="F12" s="66" t="str">
        <f t="shared" si="1"/>
        <v>0</v>
      </c>
      <c r="G12" s="66" t="str">
        <f t="shared" si="0"/>
        <v>0</v>
      </c>
    </row>
    <row r="13" spans="1:7" ht="33" customHeight="1" x14ac:dyDescent="0.3">
      <c r="A13" s="22">
        <v>7</v>
      </c>
      <c r="B13" s="22"/>
      <c r="C13" s="166">
        <v>44904</v>
      </c>
      <c r="D13" s="86"/>
      <c r="E13" s="86"/>
      <c r="F13" s="66" t="str">
        <f t="shared" si="1"/>
        <v>0</v>
      </c>
      <c r="G13" s="66" t="str">
        <f t="shared" si="0"/>
        <v>0</v>
      </c>
    </row>
    <row r="14" spans="1:7" ht="25.25" customHeight="1" x14ac:dyDescent="0.3">
      <c r="A14" s="22">
        <v>6</v>
      </c>
      <c r="B14" s="22"/>
      <c r="C14" s="166">
        <v>44904</v>
      </c>
      <c r="D14" s="86"/>
      <c r="E14" s="86"/>
      <c r="F14" s="66" t="str">
        <f t="shared" si="1"/>
        <v>0</v>
      </c>
      <c r="G14" s="66" t="str">
        <f t="shared" si="0"/>
        <v>0</v>
      </c>
    </row>
    <row r="15" spans="1:7" x14ac:dyDescent="0.3">
      <c r="F15" s="27"/>
    </row>
    <row r="16" spans="1:7" x14ac:dyDescent="0.3">
      <c r="F16" s="27"/>
    </row>
    <row r="17" spans="6:6" x14ac:dyDescent="0.3">
      <c r="F17" s="27"/>
    </row>
    <row r="18" spans="6:6" x14ac:dyDescent="0.3">
      <c r="F18" s="27"/>
    </row>
    <row r="19" spans="6:6" x14ac:dyDescent="0.3">
      <c r="F19" s="27"/>
    </row>
    <row r="20" spans="6:6" x14ac:dyDescent="0.3">
      <c r="F20" s="27"/>
    </row>
    <row r="21" spans="6:6" x14ac:dyDescent="0.3">
      <c r="F21" s="27"/>
    </row>
    <row r="22" spans="6:6" x14ac:dyDescent="0.3">
      <c r="F22" s="27"/>
    </row>
    <row r="23" spans="6:6" x14ac:dyDescent="0.3">
      <c r="F23" s="27"/>
    </row>
    <row r="24" spans="6:6" x14ac:dyDescent="0.3">
      <c r="F24" s="27"/>
    </row>
    <row r="25" spans="6:6" x14ac:dyDescent="0.3">
      <c r="F25" s="27"/>
    </row>
    <row r="26" spans="6:6" x14ac:dyDescent="0.3">
      <c r="F26" s="27"/>
    </row>
    <row r="27" spans="6:6" x14ac:dyDescent="0.3">
      <c r="F27" s="27"/>
    </row>
    <row r="28" spans="6:6" x14ac:dyDescent="0.3">
      <c r="F28" s="27"/>
    </row>
    <row r="29" spans="6:6" x14ac:dyDescent="0.3">
      <c r="F29" s="27"/>
    </row>
    <row r="30" spans="6:6" x14ac:dyDescent="0.3">
      <c r="F30" s="27"/>
    </row>
    <row r="31" spans="6:6" x14ac:dyDescent="0.3">
      <c r="F31" s="27"/>
    </row>
    <row r="32" spans="6:6" x14ac:dyDescent="0.3">
      <c r="F32" s="27"/>
    </row>
    <row r="33" spans="6:6" x14ac:dyDescent="0.3">
      <c r="F33" s="27"/>
    </row>
    <row r="34" spans="6:6" x14ac:dyDescent="0.3">
      <c r="F34" s="27"/>
    </row>
    <row r="35" spans="6:6" x14ac:dyDescent="0.3">
      <c r="F35" s="27"/>
    </row>
    <row r="36" spans="6:6" x14ac:dyDescent="0.3">
      <c r="F36" s="27"/>
    </row>
    <row r="37" spans="6:6" x14ac:dyDescent="0.3">
      <c r="F37" s="27"/>
    </row>
    <row r="38" spans="6:6" x14ac:dyDescent="0.3">
      <c r="F38" s="27"/>
    </row>
    <row r="39" spans="6:6" x14ac:dyDescent="0.3">
      <c r="F39" s="27"/>
    </row>
    <row r="40" spans="6:6" x14ac:dyDescent="0.3">
      <c r="F40" s="27"/>
    </row>
    <row r="41" spans="6:6" x14ac:dyDescent="0.3">
      <c r="F41" s="27"/>
    </row>
    <row r="42" spans="6:6" x14ac:dyDescent="0.3">
      <c r="F42" s="27"/>
    </row>
    <row r="43" spans="6:6" x14ac:dyDescent="0.3">
      <c r="F43" s="27"/>
    </row>
    <row r="44" spans="6:6" x14ac:dyDescent="0.3">
      <c r="F44" s="27"/>
    </row>
    <row r="45" spans="6:6" x14ac:dyDescent="0.3">
      <c r="F45" s="27"/>
    </row>
    <row r="46" spans="6:6" x14ac:dyDescent="0.3">
      <c r="F46" s="27"/>
    </row>
    <row r="47" spans="6:6" x14ac:dyDescent="0.3">
      <c r="F47" s="27"/>
    </row>
    <row r="48" spans="6:6" x14ac:dyDescent="0.3">
      <c r="F48" s="27"/>
    </row>
    <row r="49" spans="6:6" x14ac:dyDescent="0.3">
      <c r="F49" s="27"/>
    </row>
    <row r="50" spans="6:6" x14ac:dyDescent="0.3">
      <c r="F50" s="27"/>
    </row>
    <row r="51" spans="6:6" x14ac:dyDescent="0.3">
      <c r="F51" s="27"/>
    </row>
    <row r="52" spans="6:6" x14ac:dyDescent="0.3">
      <c r="F52" s="27"/>
    </row>
    <row r="53" spans="6:6" x14ac:dyDescent="0.3">
      <c r="F53" s="27"/>
    </row>
    <row r="54" spans="6:6" x14ac:dyDescent="0.3">
      <c r="F54" s="27"/>
    </row>
    <row r="55" spans="6:6" x14ac:dyDescent="0.3">
      <c r="F55" s="27"/>
    </row>
    <row r="56" spans="6:6" x14ac:dyDescent="0.3">
      <c r="F56" s="27"/>
    </row>
    <row r="57" spans="6:6" x14ac:dyDescent="0.3">
      <c r="F57" s="27"/>
    </row>
    <row r="58" spans="6:6" x14ac:dyDescent="0.3">
      <c r="F58" s="27"/>
    </row>
    <row r="59" spans="6:6" x14ac:dyDescent="0.3">
      <c r="F59" s="27"/>
    </row>
    <row r="60" spans="6:6" x14ac:dyDescent="0.3">
      <c r="F60" s="27"/>
    </row>
    <row r="61" spans="6:6" x14ac:dyDescent="0.3">
      <c r="F61" s="27"/>
    </row>
    <row r="62" spans="6:6" x14ac:dyDescent="0.3">
      <c r="F62" s="27"/>
    </row>
    <row r="63" spans="6:6" x14ac:dyDescent="0.3">
      <c r="F63" s="27"/>
    </row>
    <row r="64" spans="6:6" x14ac:dyDescent="0.3">
      <c r="F64" s="27"/>
    </row>
    <row r="65" spans="6:6" x14ac:dyDescent="0.3">
      <c r="F65" s="27"/>
    </row>
    <row r="66" spans="6:6" x14ac:dyDescent="0.3">
      <c r="F66" s="27"/>
    </row>
    <row r="67" spans="6:6" x14ac:dyDescent="0.3">
      <c r="F67" s="27"/>
    </row>
    <row r="68" spans="6:6" x14ac:dyDescent="0.3">
      <c r="F68" s="27"/>
    </row>
    <row r="69" spans="6:6" x14ac:dyDescent="0.3">
      <c r="F69" s="27"/>
    </row>
    <row r="70" spans="6:6" x14ac:dyDescent="0.3">
      <c r="F70" s="27"/>
    </row>
    <row r="71" spans="6:6" x14ac:dyDescent="0.3">
      <c r="F71" s="27"/>
    </row>
    <row r="72" spans="6:6" x14ac:dyDescent="0.3">
      <c r="F72" s="27"/>
    </row>
    <row r="73" spans="6:6" x14ac:dyDescent="0.3">
      <c r="F73" s="27"/>
    </row>
    <row r="74" spans="6:6" x14ac:dyDescent="0.3">
      <c r="F74" s="27"/>
    </row>
    <row r="75" spans="6:6" x14ac:dyDescent="0.3">
      <c r="F75" s="27"/>
    </row>
    <row r="76" spans="6:6" x14ac:dyDescent="0.3">
      <c r="F76" s="27"/>
    </row>
    <row r="77" spans="6:6" x14ac:dyDescent="0.3">
      <c r="F77" s="27"/>
    </row>
    <row r="78" spans="6:6" x14ac:dyDescent="0.3">
      <c r="F78" s="27"/>
    </row>
    <row r="79" spans="6:6" x14ac:dyDescent="0.3">
      <c r="F79" s="27"/>
    </row>
    <row r="80" spans="6:6" x14ac:dyDescent="0.3">
      <c r="F80" s="27"/>
    </row>
    <row r="81" spans="6:6" x14ac:dyDescent="0.3">
      <c r="F81" s="27"/>
    </row>
    <row r="82" spans="6:6" x14ac:dyDescent="0.3">
      <c r="F82" s="27"/>
    </row>
    <row r="83" spans="6:6" x14ac:dyDescent="0.3">
      <c r="F83" s="27"/>
    </row>
    <row r="84" spans="6:6" x14ac:dyDescent="0.3">
      <c r="F84" s="27"/>
    </row>
    <row r="85" spans="6:6" x14ac:dyDescent="0.3">
      <c r="F85" s="27"/>
    </row>
    <row r="86" spans="6:6" x14ac:dyDescent="0.3">
      <c r="F86" s="27"/>
    </row>
    <row r="87" spans="6:6" x14ac:dyDescent="0.3">
      <c r="F87" s="27"/>
    </row>
    <row r="88" spans="6:6" x14ac:dyDescent="0.3">
      <c r="F88" s="27"/>
    </row>
    <row r="89" spans="6:6" x14ac:dyDescent="0.3">
      <c r="F89" s="27"/>
    </row>
    <row r="90" spans="6:6" x14ac:dyDescent="0.3">
      <c r="F90" s="27"/>
    </row>
    <row r="91" spans="6:6" x14ac:dyDescent="0.3">
      <c r="F91" s="27"/>
    </row>
    <row r="92" spans="6:6" x14ac:dyDescent="0.3">
      <c r="F92" s="27"/>
    </row>
    <row r="93" spans="6:6" x14ac:dyDescent="0.3">
      <c r="F93" s="27"/>
    </row>
    <row r="94" spans="6:6" x14ac:dyDescent="0.3">
      <c r="F94" s="27"/>
    </row>
    <row r="95" spans="6:6" x14ac:dyDescent="0.3">
      <c r="F95" s="27"/>
    </row>
    <row r="96" spans="6:6" x14ac:dyDescent="0.3">
      <c r="F96" s="27"/>
    </row>
    <row r="97" spans="6:6" x14ac:dyDescent="0.3">
      <c r="F97" s="27"/>
    </row>
    <row r="98" spans="6:6" x14ac:dyDescent="0.3">
      <c r="F98" s="27"/>
    </row>
    <row r="99" spans="6:6" x14ac:dyDescent="0.3">
      <c r="F99" s="27"/>
    </row>
    <row r="100" spans="6:6" x14ac:dyDescent="0.3">
      <c r="F100" s="27"/>
    </row>
    <row r="101" spans="6:6" x14ac:dyDescent="0.3">
      <c r="F101" s="27"/>
    </row>
    <row r="102" spans="6:6" x14ac:dyDescent="0.3">
      <c r="F102" s="27"/>
    </row>
    <row r="103" spans="6:6" x14ac:dyDescent="0.3">
      <c r="F103" s="27"/>
    </row>
    <row r="104" spans="6:6" x14ac:dyDescent="0.3">
      <c r="F104" s="27"/>
    </row>
    <row r="105" spans="6:6" x14ac:dyDescent="0.3">
      <c r="F105" s="27"/>
    </row>
    <row r="106" spans="6:6" x14ac:dyDescent="0.3">
      <c r="F106" s="27"/>
    </row>
    <row r="107" spans="6:6" x14ac:dyDescent="0.3">
      <c r="F107" s="27"/>
    </row>
    <row r="108" spans="6:6" x14ac:dyDescent="0.3">
      <c r="F108" s="27"/>
    </row>
    <row r="109" spans="6:6" x14ac:dyDescent="0.3">
      <c r="F109" s="27"/>
    </row>
    <row r="110" spans="6:6" x14ac:dyDescent="0.3">
      <c r="F110" s="27"/>
    </row>
    <row r="111" spans="6:6" x14ac:dyDescent="0.3">
      <c r="F111" s="27"/>
    </row>
    <row r="112" spans="6:6" x14ac:dyDescent="0.3">
      <c r="F112" s="27"/>
    </row>
    <row r="113" spans="6:6" x14ac:dyDescent="0.3">
      <c r="F113" s="27"/>
    </row>
    <row r="114" spans="6:6" x14ac:dyDescent="0.3">
      <c r="F114" s="27"/>
    </row>
    <row r="115" spans="6:6" x14ac:dyDescent="0.3">
      <c r="F115" s="27"/>
    </row>
    <row r="116" spans="6:6" x14ac:dyDescent="0.3">
      <c r="F116" s="27"/>
    </row>
    <row r="117" spans="6:6" x14ac:dyDescent="0.3">
      <c r="F117" s="27"/>
    </row>
    <row r="118" spans="6:6" x14ac:dyDescent="0.3">
      <c r="F118" s="27"/>
    </row>
    <row r="119" spans="6:6" x14ac:dyDescent="0.3">
      <c r="F119" s="27"/>
    </row>
    <row r="120" spans="6:6" x14ac:dyDescent="0.3">
      <c r="F120" s="27"/>
    </row>
    <row r="121" spans="6:6" x14ac:dyDescent="0.3">
      <c r="F121" s="27"/>
    </row>
    <row r="122" spans="6:6" x14ac:dyDescent="0.3">
      <c r="F122" s="27"/>
    </row>
    <row r="123" spans="6:6" x14ac:dyDescent="0.3">
      <c r="F123" s="27"/>
    </row>
    <row r="124" spans="6:6" x14ac:dyDescent="0.3">
      <c r="F124" s="27"/>
    </row>
    <row r="125" spans="6:6" x14ac:dyDescent="0.3">
      <c r="F125" s="27"/>
    </row>
    <row r="126" spans="6:6" x14ac:dyDescent="0.3">
      <c r="F126" s="27"/>
    </row>
    <row r="127" spans="6:6" x14ac:dyDescent="0.3">
      <c r="F127" s="27"/>
    </row>
    <row r="128" spans="6:6" x14ac:dyDescent="0.3">
      <c r="F128" s="27"/>
    </row>
    <row r="129" spans="6:6" x14ac:dyDescent="0.3">
      <c r="F129" s="27"/>
    </row>
    <row r="130" spans="6:6" x14ac:dyDescent="0.3">
      <c r="F130" s="27"/>
    </row>
    <row r="131" spans="6:6" x14ac:dyDescent="0.3">
      <c r="F131" s="27"/>
    </row>
    <row r="132" spans="6:6" x14ac:dyDescent="0.3">
      <c r="F132" s="27"/>
    </row>
    <row r="133" spans="6:6" x14ac:dyDescent="0.3">
      <c r="F133" s="27"/>
    </row>
    <row r="134" spans="6:6" x14ac:dyDescent="0.3">
      <c r="F134" s="27"/>
    </row>
    <row r="135" spans="6:6" x14ac:dyDescent="0.3">
      <c r="F135" s="27"/>
    </row>
    <row r="136" spans="6:6" x14ac:dyDescent="0.3">
      <c r="F136" s="27"/>
    </row>
    <row r="137" spans="6:6" x14ac:dyDescent="0.3">
      <c r="F137" s="27"/>
    </row>
    <row r="138" spans="6:6" x14ac:dyDescent="0.3">
      <c r="F138" s="27"/>
    </row>
    <row r="139" spans="6:6" x14ac:dyDescent="0.3">
      <c r="F139" s="27"/>
    </row>
    <row r="140" spans="6:6" x14ac:dyDescent="0.3">
      <c r="F140" s="27"/>
    </row>
    <row r="141" spans="6:6" x14ac:dyDescent="0.3">
      <c r="F141" s="27"/>
    </row>
    <row r="142" spans="6:6" x14ac:dyDescent="0.3">
      <c r="F142" s="27"/>
    </row>
    <row r="143" spans="6:6" x14ac:dyDescent="0.3">
      <c r="F143" s="27"/>
    </row>
    <row r="144" spans="6:6" x14ac:dyDescent="0.3">
      <c r="F144" s="27"/>
    </row>
    <row r="145" spans="6:6" x14ac:dyDescent="0.3">
      <c r="F145" s="27"/>
    </row>
    <row r="146" spans="6:6" x14ac:dyDescent="0.3">
      <c r="F146" s="27"/>
    </row>
    <row r="147" spans="6:6" x14ac:dyDescent="0.3">
      <c r="F147" s="27"/>
    </row>
    <row r="148" spans="6:6" x14ac:dyDescent="0.3">
      <c r="F148" s="27"/>
    </row>
    <row r="149" spans="6:6" x14ac:dyDescent="0.3">
      <c r="F149" s="27"/>
    </row>
    <row r="150" spans="6:6" x14ac:dyDescent="0.3">
      <c r="F150" s="27"/>
    </row>
    <row r="151" spans="6:6" x14ac:dyDescent="0.3">
      <c r="F151" s="27"/>
    </row>
    <row r="152" spans="6:6" x14ac:dyDescent="0.3">
      <c r="F152" s="27"/>
    </row>
    <row r="153" spans="6:6" x14ac:dyDescent="0.3">
      <c r="F153" s="27"/>
    </row>
    <row r="154" spans="6:6" x14ac:dyDescent="0.3">
      <c r="F154" s="27"/>
    </row>
    <row r="155" spans="6:6" x14ac:dyDescent="0.3">
      <c r="F155" s="27"/>
    </row>
    <row r="156" spans="6:6" x14ac:dyDescent="0.3">
      <c r="F156" s="27"/>
    </row>
    <row r="157" spans="6:6" x14ac:dyDescent="0.3">
      <c r="F157" s="27"/>
    </row>
    <row r="158" spans="6:6" x14ac:dyDescent="0.3">
      <c r="F158" s="27"/>
    </row>
    <row r="159" spans="6:6" x14ac:dyDescent="0.3">
      <c r="F159" s="27"/>
    </row>
    <row r="160" spans="6:6" x14ac:dyDescent="0.3">
      <c r="F160" s="27"/>
    </row>
    <row r="161" spans="6:6" x14ac:dyDescent="0.3">
      <c r="F161" s="27"/>
    </row>
    <row r="162" spans="6:6" x14ac:dyDescent="0.3">
      <c r="F162" s="27"/>
    </row>
    <row r="163" spans="6:6" x14ac:dyDescent="0.3">
      <c r="F163" s="27"/>
    </row>
    <row r="164" spans="6:6" x14ac:dyDescent="0.3">
      <c r="F164" s="27"/>
    </row>
    <row r="165" spans="6:6" x14ac:dyDescent="0.3">
      <c r="F165" s="27"/>
    </row>
    <row r="166" spans="6:6" x14ac:dyDescent="0.3">
      <c r="F166" s="27"/>
    </row>
    <row r="167" spans="6:6" x14ac:dyDescent="0.3">
      <c r="F167" s="27"/>
    </row>
    <row r="168" spans="6:6" x14ac:dyDescent="0.3">
      <c r="F168" s="27"/>
    </row>
    <row r="169" spans="6:6" x14ac:dyDescent="0.3">
      <c r="F169" s="27"/>
    </row>
    <row r="170" spans="6:6" x14ac:dyDescent="0.3">
      <c r="F170" s="27"/>
    </row>
    <row r="171" spans="6:6" x14ac:dyDescent="0.3">
      <c r="F171" s="27"/>
    </row>
    <row r="172" spans="6:6" x14ac:dyDescent="0.3">
      <c r="F172" s="27"/>
    </row>
    <row r="173" spans="6:6" x14ac:dyDescent="0.3">
      <c r="F173" s="27"/>
    </row>
    <row r="174" spans="6:6" x14ac:dyDescent="0.3">
      <c r="F174" s="27"/>
    </row>
    <row r="175" spans="6:6" x14ac:dyDescent="0.3">
      <c r="F175" s="27"/>
    </row>
    <row r="176" spans="6:6" x14ac:dyDescent="0.3">
      <c r="F176" s="27"/>
    </row>
    <row r="177" spans="6:6" x14ac:dyDescent="0.3">
      <c r="F177" s="27"/>
    </row>
    <row r="178" spans="6:6" x14ac:dyDescent="0.3">
      <c r="F178" s="27"/>
    </row>
    <row r="179" spans="6:6" x14ac:dyDescent="0.3">
      <c r="F179" s="27"/>
    </row>
    <row r="180" spans="6:6" x14ac:dyDescent="0.3">
      <c r="F180" s="27"/>
    </row>
    <row r="181" spans="6:6" x14ac:dyDescent="0.3">
      <c r="F181" s="27"/>
    </row>
    <row r="182" spans="6:6" x14ac:dyDescent="0.3">
      <c r="F182" s="27"/>
    </row>
    <row r="183" spans="6:6" x14ac:dyDescent="0.3">
      <c r="F183" s="27"/>
    </row>
    <row r="184" spans="6:6" x14ac:dyDescent="0.3">
      <c r="F184" s="27"/>
    </row>
    <row r="185" spans="6:6" x14ac:dyDescent="0.3">
      <c r="F185" s="27"/>
    </row>
    <row r="186" spans="6:6" x14ac:dyDescent="0.3">
      <c r="F186" s="27"/>
    </row>
    <row r="187" spans="6:6" x14ac:dyDescent="0.3">
      <c r="F187" s="27"/>
    </row>
    <row r="188" spans="6:6" x14ac:dyDescent="0.3">
      <c r="F188" s="27"/>
    </row>
    <row r="189" spans="6:6" x14ac:dyDescent="0.3">
      <c r="F189" s="27"/>
    </row>
    <row r="190" spans="6:6" x14ac:dyDescent="0.3">
      <c r="F190" s="27"/>
    </row>
    <row r="191" spans="6:6" x14ac:dyDescent="0.3">
      <c r="F191" s="27"/>
    </row>
    <row r="192" spans="6:6" x14ac:dyDescent="0.3">
      <c r="F192" s="27"/>
    </row>
    <row r="193" spans="6:6" x14ac:dyDescent="0.3">
      <c r="F193" s="27"/>
    </row>
    <row r="194" spans="6:6" x14ac:dyDescent="0.3">
      <c r="F194" s="27"/>
    </row>
    <row r="195" spans="6:6" x14ac:dyDescent="0.3">
      <c r="F195" s="27"/>
    </row>
    <row r="196" spans="6:6" x14ac:dyDescent="0.3">
      <c r="F196" s="27"/>
    </row>
    <row r="197" spans="6:6" x14ac:dyDescent="0.3">
      <c r="F197" s="27"/>
    </row>
    <row r="198" spans="6:6" x14ac:dyDescent="0.3">
      <c r="F198" s="27"/>
    </row>
    <row r="199" spans="6:6" x14ac:dyDescent="0.3">
      <c r="F199" s="27"/>
    </row>
    <row r="200" spans="6:6" x14ac:dyDescent="0.3">
      <c r="F200" s="27"/>
    </row>
    <row r="201" spans="6:6" x14ac:dyDescent="0.3">
      <c r="F201" s="27"/>
    </row>
    <row r="202" spans="6:6" x14ac:dyDescent="0.3">
      <c r="F202" s="27"/>
    </row>
    <row r="203" spans="6:6" x14ac:dyDescent="0.3">
      <c r="F203" s="27"/>
    </row>
    <row r="204" spans="6:6" x14ac:dyDescent="0.3">
      <c r="F204" s="27"/>
    </row>
    <row r="205" spans="6:6" x14ac:dyDescent="0.3">
      <c r="F205" s="27"/>
    </row>
    <row r="206" spans="6:6" x14ac:dyDescent="0.3">
      <c r="F206" s="27"/>
    </row>
    <row r="207" spans="6:6" x14ac:dyDescent="0.3">
      <c r="F207" s="27"/>
    </row>
    <row r="208" spans="6:6" x14ac:dyDescent="0.3">
      <c r="F208" s="27"/>
    </row>
    <row r="209" spans="6:6" x14ac:dyDescent="0.3">
      <c r="F209" s="27"/>
    </row>
    <row r="210" spans="6:6" x14ac:dyDescent="0.3">
      <c r="F210" s="27"/>
    </row>
    <row r="211" spans="6:6" x14ac:dyDescent="0.3">
      <c r="F211" s="27"/>
    </row>
    <row r="212" spans="6:6" x14ac:dyDescent="0.3">
      <c r="F212" s="27"/>
    </row>
    <row r="213" spans="6:6" x14ac:dyDescent="0.3">
      <c r="F213" s="27"/>
    </row>
    <row r="214" spans="6:6" x14ac:dyDescent="0.3">
      <c r="F214" s="27"/>
    </row>
    <row r="215" spans="6:6" x14ac:dyDescent="0.3">
      <c r="F215" s="27"/>
    </row>
    <row r="216" spans="6:6" x14ac:dyDescent="0.3">
      <c r="F216" s="27"/>
    </row>
    <row r="217" spans="6:6" x14ac:dyDescent="0.3">
      <c r="F217" s="27"/>
    </row>
    <row r="218" spans="6:6" x14ac:dyDescent="0.3">
      <c r="F218" s="27"/>
    </row>
    <row r="219" spans="6:6" x14ac:dyDescent="0.3">
      <c r="F219" s="27"/>
    </row>
    <row r="220" spans="6:6" x14ac:dyDescent="0.3">
      <c r="F220" s="27"/>
    </row>
    <row r="221" spans="6:6" x14ac:dyDescent="0.3">
      <c r="F221" s="27"/>
    </row>
    <row r="222" spans="6:6" x14ac:dyDescent="0.3">
      <c r="F222" s="27"/>
    </row>
    <row r="223" spans="6:6" x14ac:dyDescent="0.3">
      <c r="F223" s="27"/>
    </row>
    <row r="224" spans="6:6" x14ac:dyDescent="0.3">
      <c r="F224" s="27"/>
    </row>
    <row r="225" spans="6:6" x14ac:dyDescent="0.3">
      <c r="F225" s="27"/>
    </row>
    <row r="226" spans="6:6" x14ac:dyDescent="0.3">
      <c r="F226" s="27"/>
    </row>
    <row r="227" spans="6:6" x14ac:dyDescent="0.3">
      <c r="F227" s="27"/>
    </row>
    <row r="228" spans="6:6" x14ac:dyDescent="0.3">
      <c r="F228" s="27"/>
    </row>
    <row r="229" spans="6:6" x14ac:dyDescent="0.3">
      <c r="F229" s="27"/>
    </row>
    <row r="230" spans="6:6" x14ac:dyDescent="0.3">
      <c r="F230" s="27"/>
    </row>
    <row r="231" spans="6:6" x14ac:dyDescent="0.3">
      <c r="F231" s="27"/>
    </row>
    <row r="232" spans="6:6" x14ac:dyDescent="0.3">
      <c r="F232" s="27"/>
    </row>
    <row r="233" spans="6:6" x14ac:dyDescent="0.3">
      <c r="F233" s="27"/>
    </row>
    <row r="234" spans="6:6" x14ac:dyDescent="0.3">
      <c r="F234" s="27"/>
    </row>
    <row r="235" spans="6:6" x14ac:dyDescent="0.3">
      <c r="F235" s="27"/>
    </row>
    <row r="236" spans="6:6" x14ac:dyDescent="0.3">
      <c r="F236" s="27"/>
    </row>
    <row r="237" spans="6:6" x14ac:dyDescent="0.3">
      <c r="F237" s="27"/>
    </row>
    <row r="238" spans="6:6" x14ac:dyDescent="0.3">
      <c r="F238" s="27"/>
    </row>
    <row r="239" spans="6:6" x14ac:dyDescent="0.3">
      <c r="F239" s="27"/>
    </row>
    <row r="240" spans="6:6" x14ac:dyDescent="0.3">
      <c r="F240" s="27"/>
    </row>
    <row r="241" spans="6:6" x14ac:dyDescent="0.3">
      <c r="F241" s="27"/>
    </row>
    <row r="242" spans="6:6" x14ac:dyDescent="0.3">
      <c r="F242" s="27"/>
    </row>
    <row r="243" spans="6:6" x14ac:dyDescent="0.3">
      <c r="F243" s="27"/>
    </row>
    <row r="244" spans="6:6" x14ac:dyDescent="0.3">
      <c r="F244" s="27"/>
    </row>
    <row r="245" spans="6:6" x14ac:dyDescent="0.3">
      <c r="F245" s="27"/>
    </row>
    <row r="246" spans="6:6" x14ac:dyDescent="0.3">
      <c r="F246" s="27"/>
    </row>
    <row r="247" spans="6:6" x14ac:dyDescent="0.3">
      <c r="F247" s="27"/>
    </row>
    <row r="248" spans="6:6" x14ac:dyDescent="0.3">
      <c r="F248" s="27"/>
    </row>
    <row r="249" spans="6:6" x14ac:dyDescent="0.3">
      <c r="F249" s="27"/>
    </row>
    <row r="250" spans="6:6" x14ac:dyDescent="0.3">
      <c r="F250" s="27"/>
    </row>
    <row r="251" spans="6:6" x14ac:dyDescent="0.3">
      <c r="F251" s="27"/>
    </row>
    <row r="252" spans="6:6" x14ac:dyDescent="0.3">
      <c r="F252" s="27"/>
    </row>
    <row r="253" spans="6:6" x14ac:dyDescent="0.3">
      <c r="F253" s="27"/>
    </row>
    <row r="254" spans="6:6" x14ac:dyDescent="0.3">
      <c r="F254" s="27"/>
    </row>
    <row r="255" spans="6:6" x14ac:dyDescent="0.3">
      <c r="F255" s="27"/>
    </row>
    <row r="256" spans="6:6" x14ac:dyDescent="0.3">
      <c r="F256" s="27"/>
    </row>
    <row r="257" spans="6:6" x14ac:dyDescent="0.3">
      <c r="F257" s="27"/>
    </row>
    <row r="258" spans="6:6" x14ac:dyDescent="0.3">
      <c r="F258" s="27"/>
    </row>
    <row r="259" spans="6:6" x14ac:dyDescent="0.3">
      <c r="F259" s="27"/>
    </row>
    <row r="260" spans="6:6" x14ac:dyDescent="0.3">
      <c r="F260" s="27"/>
    </row>
    <row r="261" spans="6:6" x14ac:dyDescent="0.3">
      <c r="F261" s="27"/>
    </row>
    <row r="262" spans="6:6" x14ac:dyDescent="0.3">
      <c r="F262" s="27"/>
    </row>
    <row r="263" spans="6:6" x14ac:dyDescent="0.3">
      <c r="F263" s="27"/>
    </row>
    <row r="264" spans="6:6" x14ac:dyDescent="0.3">
      <c r="F264" s="27"/>
    </row>
    <row r="265" spans="6:6" x14ac:dyDescent="0.3">
      <c r="F265" s="27"/>
    </row>
    <row r="266" spans="6:6" x14ac:dyDescent="0.3">
      <c r="F266" s="27"/>
    </row>
    <row r="267" spans="6:6" x14ac:dyDescent="0.3">
      <c r="F267" s="27"/>
    </row>
    <row r="268" spans="6:6" x14ac:dyDescent="0.3">
      <c r="F268" s="27"/>
    </row>
    <row r="269" spans="6:6" x14ac:dyDescent="0.3">
      <c r="F269" s="27"/>
    </row>
    <row r="270" spans="6:6" x14ac:dyDescent="0.3">
      <c r="F270" s="27"/>
    </row>
    <row r="271" spans="6:6" x14ac:dyDescent="0.3">
      <c r="F271" s="27"/>
    </row>
    <row r="272" spans="6:6" x14ac:dyDescent="0.3">
      <c r="F272" s="27"/>
    </row>
    <row r="273" spans="6:6" x14ac:dyDescent="0.3">
      <c r="F273" s="27"/>
    </row>
    <row r="274" spans="6:6" x14ac:dyDescent="0.3">
      <c r="F274" s="27"/>
    </row>
    <row r="275" spans="6:6" x14ac:dyDescent="0.3">
      <c r="F275" s="27"/>
    </row>
    <row r="276" spans="6:6" x14ac:dyDescent="0.3">
      <c r="F276" s="27"/>
    </row>
    <row r="277" spans="6:6" x14ac:dyDescent="0.3">
      <c r="F277" s="27"/>
    </row>
    <row r="278" spans="6:6" x14ac:dyDescent="0.3">
      <c r="F278" s="27"/>
    </row>
    <row r="279" spans="6:6" x14ac:dyDescent="0.3">
      <c r="F279" s="27"/>
    </row>
    <row r="280" spans="6:6" x14ac:dyDescent="0.3">
      <c r="F280" s="27"/>
    </row>
    <row r="281" spans="6:6" x14ac:dyDescent="0.3">
      <c r="F281" s="27"/>
    </row>
    <row r="282" spans="6:6" x14ac:dyDescent="0.3">
      <c r="F282" s="27"/>
    </row>
    <row r="283" spans="6:6" x14ac:dyDescent="0.3">
      <c r="F283" s="27"/>
    </row>
    <row r="284" spans="6:6" x14ac:dyDescent="0.3">
      <c r="F284" s="27"/>
    </row>
    <row r="285" spans="6:6" x14ac:dyDescent="0.3">
      <c r="F285" s="27"/>
    </row>
    <row r="286" spans="6:6" x14ac:dyDescent="0.3">
      <c r="F286" s="27"/>
    </row>
    <row r="287" spans="6:6" x14ac:dyDescent="0.3">
      <c r="F287" s="27"/>
    </row>
    <row r="288" spans="6:6" x14ac:dyDescent="0.3">
      <c r="F288" s="27"/>
    </row>
    <row r="289" spans="6:6" x14ac:dyDescent="0.3">
      <c r="F289" s="27"/>
    </row>
    <row r="290" spans="6:6" x14ac:dyDescent="0.3">
      <c r="F290" s="27"/>
    </row>
    <row r="291" spans="6:6" x14ac:dyDescent="0.3">
      <c r="F291" s="27"/>
    </row>
    <row r="292" spans="6:6" x14ac:dyDescent="0.3">
      <c r="F292" s="27"/>
    </row>
    <row r="293" spans="6:6" x14ac:dyDescent="0.3">
      <c r="F293" s="27"/>
    </row>
    <row r="294" spans="6:6" x14ac:dyDescent="0.3">
      <c r="F294" s="27"/>
    </row>
    <row r="295" spans="6:6" x14ac:dyDescent="0.3">
      <c r="F295" s="27"/>
    </row>
    <row r="296" spans="6:6" x14ac:dyDescent="0.3">
      <c r="F296" s="27"/>
    </row>
    <row r="297" spans="6:6" x14ac:dyDescent="0.3">
      <c r="F297" s="27"/>
    </row>
    <row r="298" spans="6:6" x14ac:dyDescent="0.3">
      <c r="F298" s="27"/>
    </row>
    <row r="299" spans="6:6" x14ac:dyDescent="0.3">
      <c r="F299" s="27"/>
    </row>
    <row r="300" spans="6:6" x14ac:dyDescent="0.3">
      <c r="F300" s="27"/>
    </row>
    <row r="301" spans="6:6" x14ac:dyDescent="0.3">
      <c r="F301" s="27"/>
    </row>
    <row r="302" spans="6:6" x14ac:dyDescent="0.3">
      <c r="F302" s="27"/>
    </row>
    <row r="303" spans="6:6" x14ac:dyDescent="0.3">
      <c r="F303" s="27"/>
    </row>
    <row r="304" spans="6:6" x14ac:dyDescent="0.3">
      <c r="F304" s="27"/>
    </row>
    <row r="305" spans="6:6" x14ac:dyDescent="0.3">
      <c r="F305" s="27"/>
    </row>
    <row r="306" spans="6:6" x14ac:dyDescent="0.3">
      <c r="F306" s="27"/>
    </row>
    <row r="307" spans="6:6" x14ac:dyDescent="0.3">
      <c r="F307" s="27"/>
    </row>
    <row r="308" spans="6:6" x14ac:dyDescent="0.3">
      <c r="F308" s="27"/>
    </row>
    <row r="309" spans="6:6" x14ac:dyDescent="0.3">
      <c r="F309" s="27"/>
    </row>
    <row r="310" spans="6:6" x14ac:dyDescent="0.3">
      <c r="F310" s="27"/>
    </row>
    <row r="311" spans="6:6" x14ac:dyDescent="0.3">
      <c r="F311" s="27"/>
    </row>
    <row r="312" spans="6:6" x14ac:dyDescent="0.3">
      <c r="F312" s="27"/>
    </row>
    <row r="313" spans="6:6" x14ac:dyDescent="0.3">
      <c r="F313" s="27"/>
    </row>
    <row r="314" spans="6:6" x14ac:dyDescent="0.3">
      <c r="F314" s="27"/>
    </row>
    <row r="315" spans="6:6" x14ac:dyDescent="0.3">
      <c r="F315" s="27"/>
    </row>
    <row r="316" spans="6:6" x14ac:dyDescent="0.3">
      <c r="F316" s="27"/>
    </row>
    <row r="317" spans="6:6" x14ac:dyDescent="0.3">
      <c r="F317" s="27"/>
    </row>
    <row r="318" spans="6:6" x14ac:dyDescent="0.3">
      <c r="F318" s="27"/>
    </row>
    <row r="319" spans="6:6" x14ac:dyDescent="0.3">
      <c r="F319" s="27"/>
    </row>
    <row r="320" spans="6:6" x14ac:dyDescent="0.3">
      <c r="F320" s="27"/>
    </row>
    <row r="321" spans="6:6" x14ac:dyDescent="0.3">
      <c r="F321" s="27"/>
    </row>
    <row r="322" spans="6:6" x14ac:dyDescent="0.3">
      <c r="F322" s="27"/>
    </row>
    <row r="323" spans="6:6" x14ac:dyDescent="0.3">
      <c r="F323" s="27"/>
    </row>
    <row r="324" spans="6:6" x14ac:dyDescent="0.3">
      <c r="F324" s="27"/>
    </row>
    <row r="325" spans="6:6" x14ac:dyDescent="0.3">
      <c r="F325" s="27"/>
    </row>
    <row r="326" spans="6:6" x14ac:dyDescent="0.3">
      <c r="F326" s="27"/>
    </row>
    <row r="327" spans="6:6" x14ac:dyDescent="0.3">
      <c r="F327" s="27"/>
    </row>
    <row r="328" spans="6:6" x14ac:dyDescent="0.3">
      <c r="F328" s="27"/>
    </row>
    <row r="329" spans="6:6" x14ac:dyDescent="0.3">
      <c r="F329" s="27"/>
    </row>
    <row r="330" spans="6:6" x14ac:dyDescent="0.3">
      <c r="F330" s="27"/>
    </row>
    <row r="331" spans="6:6" x14ac:dyDescent="0.3">
      <c r="F331" s="27"/>
    </row>
    <row r="332" spans="6:6" x14ac:dyDescent="0.3">
      <c r="F332" s="27"/>
    </row>
    <row r="333" spans="6:6" x14ac:dyDescent="0.3">
      <c r="F333" s="27"/>
    </row>
    <row r="334" spans="6:6" x14ac:dyDescent="0.3">
      <c r="F334" s="27"/>
    </row>
    <row r="335" spans="6:6" x14ac:dyDescent="0.3">
      <c r="F335" s="27"/>
    </row>
    <row r="336" spans="6:6" x14ac:dyDescent="0.3">
      <c r="F336" s="27"/>
    </row>
    <row r="337" spans="6:6" x14ac:dyDescent="0.3">
      <c r="F337" s="27"/>
    </row>
    <row r="338" spans="6:6" x14ac:dyDescent="0.3">
      <c r="F338" s="27"/>
    </row>
    <row r="339" spans="6:6" x14ac:dyDescent="0.3">
      <c r="F339" s="27"/>
    </row>
    <row r="340" spans="6:6" x14ac:dyDescent="0.3">
      <c r="F340" s="27"/>
    </row>
    <row r="341" spans="6:6" x14ac:dyDescent="0.3">
      <c r="F341" s="27"/>
    </row>
    <row r="342" spans="6:6" x14ac:dyDescent="0.3">
      <c r="F342" s="27"/>
    </row>
    <row r="343" spans="6:6" x14ac:dyDescent="0.3">
      <c r="F343" s="27"/>
    </row>
    <row r="344" spans="6:6" x14ac:dyDescent="0.3">
      <c r="F344" s="27"/>
    </row>
    <row r="345" spans="6:6" x14ac:dyDescent="0.3">
      <c r="F345" s="27"/>
    </row>
    <row r="346" spans="6:6" x14ac:dyDescent="0.3">
      <c r="F346" s="27"/>
    </row>
    <row r="347" spans="6:6" x14ac:dyDescent="0.3">
      <c r="F347" s="27"/>
    </row>
    <row r="348" spans="6:6" x14ac:dyDescent="0.3">
      <c r="F348" s="27"/>
    </row>
    <row r="349" spans="6:6" x14ac:dyDescent="0.3">
      <c r="F349" s="27"/>
    </row>
    <row r="350" spans="6:6" x14ac:dyDescent="0.3">
      <c r="F350" s="27"/>
    </row>
    <row r="351" spans="6:6" x14ac:dyDescent="0.3">
      <c r="F351" s="27"/>
    </row>
    <row r="352" spans="6:6" x14ac:dyDescent="0.3">
      <c r="F352" s="27"/>
    </row>
    <row r="353" spans="6:6" x14ac:dyDescent="0.3">
      <c r="F353" s="27"/>
    </row>
    <row r="354" spans="6:6" x14ac:dyDescent="0.3">
      <c r="F354" s="27"/>
    </row>
    <row r="355" spans="6:6" x14ac:dyDescent="0.3">
      <c r="F355" s="27"/>
    </row>
    <row r="356" spans="6:6" x14ac:dyDescent="0.3">
      <c r="F356" s="27"/>
    </row>
    <row r="357" spans="6:6" x14ac:dyDescent="0.3">
      <c r="F357" s="27"/>
    </row>
    <row r="358" spans="6:6" x14ac:dyDescent="0.3">
      <c r="F358" s="27"/>
    </row>
    <row r="359" spans="6:6" x14ac:dyDescent="0.3">
      <c r="F359" s="27"/>
    </row>
    <row r="360" spans="6:6" x14ac:dyDescent="0.3">
      <c r="F360" s="27"/>
    </row>
    <row r="361" spans="6:6" x14ac:dyDescent="0.3">
      <c r="F361" s="27"/>
    </row>
    <row r="362" spans="6:6" x14ac:dyDescent="0.3">
      <c r="F362" s="27"/>
    </row>
    <row r="363" spans="6:6" x14ac:dyDescent="0.3">
      <c r="F363" s="27"/>
    </row>
    <row r="364" spans="6:6" x14ac:dyDescent="0.3">
      <c r="F364" s="27"/>
    </row>
    <row r="365" spans="6:6" x14ac:dyDescent="0.3">
      <c r="F365" s="27"/>
    </row>
    <row r="366" spans="6:6" x14ac:dyDescent="0.3">
      <c r="F366" s="27"/>
    </row>
    <row r="367" spans="6:6" x14ac:dyDescent="0.3">
      <c r="F367" s="27"/>
    </row>
    <row r="368" spans="6:6" x14ac:dyDescent="0.3">
      <c r="F368" s="27"/>
    </row>
    <row r="369" spans="6:6" x14ac:dyDescent="0.3">
      <c r="F369" s="27"/>
    </row>
    <row r="370" spans="6:6" x14ac:dyDescent="0.3">
      <c r="F370" s="27"/>
    </row>
    <row r="371" spans="6:6" x14ac:dyDescent="0.3">
      <c r="F371" s="27"/>
    </row>
    <row r="372" spans="6:6" x14ac:dyDescent="0.3">
      <c r="F372" s="27"/>
    </row>
    <row r="373" spans="6:6" x14ac:dyDescent="0.3">
      <c r="F373" s="27"/>
    </row>
    <row r="374" spans="6:6" x14ac:dyDescent="0.3">
      <c r="F374" s="27"/>
    </row>
    <row r="375" spans="6:6" x14ac:dyDescent="0.3">
      <c r="F375" s="27"/>
    </row>
    <row r="376" spans="6:6" x14ac:dyDescent="0.3">
      <c r="F376" s="27"/>
    </row>
    <row r="377" spans="6:6" x14ac:dyDescent="0.3">
      <c r="F377" s="27"/>
    </row>
    <row r="378" spans="6:6" x14ac:dyDescent="0.3">
      <c r="F378" s="27"/>
    </row>
    <row r="379" spans="6:6" x14ac:dyDescent="0.3">
      <c r="F379" s="27"/>
    </row>
    <row r="380" spans="6:6" x14ac:dyDescent="0.3">
      <c r="F380" s="27"/>
    </row>
    <row r="381" spans="6:6" x14ac:dyDescent="0.3">
      <c r="F381" s="27"/>
    </row>
    <row r="382" spans="6:6" x14ac:dyDescent="0.3">
      <c r="F382" s="27"/>
    </row>
    <row r="383" spans="6:6" x14ac:dyDescent="0.3">
      <c r="F383" s="27"/>
    </row>
    <row r="384" spans="6:6" x14ac:dyDescent="0.3">
      <c r="F384" s="27"/>
    </row>
    <row r="385" spans="6:6" x14ac:dyDescent="0.3">
      <c r="F385" s="27"/>
    </row>
    <row r="386" spans="6:6" x14ac:dyDescent="0.3">
      <c r="F386" s="27"/>
    </row>
    <row r="387" spans="6:6" x14ac:dyDescent="0.3">
      <c r="F387" s="27"/>
    </row>
    <row r="388" spans="6:6" x14ac:dyDescent="0.3">
      <c r="F388" s="27"/>
    </row>
    <row r="389" spans="6:6" x14ac:dyDescent="0.3">
      <c r="F389" s="27"/>
    </row>
    <row r="390" spans="6:6" x14ac:dyDescent="0.3">
      <c r="F390" s="27"/>
    </row>
    <row r="391" spans="6:6" x14ac:dyDescent="0.3">
      <c r="F391" s="27"/>
    </row>
    <row r="392" spans="6:6" x14ac:dyDescent="0.3">
      <c r="F392" s="27"/>
    </row>
    <row r="393" spans="6:6" x14ac:dyDescent="0.3">
      <c r="F393" s="27"/>
    </row>
    <row r="394" spans="6:6" x14ac:dyDescent="0.3">
      <c r="F394" s="27"/>
    </row>
    <row r="395" spans="6:6" x14ac:dyDescent="0.3">
      <c r="F395" s="27"/>
    </row>
    <row r="396" spans="6:6" x14ac:dyDescent="0.3">
      <c r="F396" s="27"/>
    </row>
    <row r="397" spans="6:6" x14ac:dyDescent="0.3">
      <c r="F397" s="27"/>
    </row>
    <row r="398" spans="6:6" x14ac:dyDescent="0.3">
      <c r="F398" s="27"/>
    </row>
    <row r="399" spans="6:6" x14ac:dyDescent="0.3">
      <c r="F399" s="27"/>
    </row>
    <row r="400" spans="6:6" x14ac:dyDescent="0.3">
      <c r="F400" s="27"/>
    </row>
    <row r="401" spans="6:6" x14ac:dyDescent="0.3">
      <c r="F401" s="27"/>
    </row>
    <row r="402" spans="6:6" x14ac:dyDescent="0.3">
      <c r="F402" s="27"/>
    </row>
    <row r="403" spans="6:6" x14ac:dyDescent="0.3">
      <c r="F403" s="27"/>
    </row>
    <row r="404" spans="6:6" x14ac:dyDescent="0.3">
      <c r="F404" s="27"/>
    </row>
    <row r="405" spans="6:6" x14ac:dyDescent="0.3">
      <c r="F405" s="27"/>
    </row>
    <row r="406" spans="6:6" x14ac:dyDescent="0.3">
      <c r="F406" s="27"/>
    </row>
    <row r="407" spans="6:6" x14ac:dyDescent="0.3">
      <c r="F407" s="27"/>
    </row>
    <row r="408" spans="6:6" x14ac:dyDescent="0.3">
      <c r="F408" s="27"/>
    </row>
    <row r="409" spans="6:6" x14ac:dyDescent="0.3">
      <c r="F409" s="27"/>
    </row>
    <row r="410" spans="6:6" x14ac:dyDescent="0.3">
      <c r="F410" s="27"/>
    </row>
    <row r="411" spans="6:6" x14ac:dyDescent="0.3">
      <c r="F411" s="27"/>
    </row>
    <row r="412" spans="6:6" x14ac:dyDescent="0.3">
      <c r="F412" s="27"/>
    </row>
    <row r="413" spans="6:6" x14ac:dyDescent="0.3">
      <c r="F413" s="27"/>
    </row>
    <row r="414" spans="6:6" x14ac:dyDescent="0.3">
      <c r="F414" s="27"/>
    </row>
    <row r="415" spans="6:6" x14ac:dyDescent="0.3">
      <c r="F415" s="27"/>
    </row>
    <row r="416" spans="6:6" x14ac:dyDescent="0.3">
      <c r="F416" s="27"/>
    </row>
    <row r="417" spans="6:6" x14ac:dyDescent="0.3">
      <c r="F417" s="27"/>
    </row>
    <row r="418" spans="6:6" x14ac:dyDescent="0.3">
      <c r="F418" s="27"/>
    </row>
    <row r="419" spans="6:6" x14ac:dyDescent="0.3">
      <c r="F419" s="27"/>
    </row>
    <row r="420" spans="6:6" x14ac:dyDescent="0.3">
      <c r="F420" s="27"/>
    </row>
    <row r="421" spans="6:6" x14ac:dyDescent="0.3">
      <c r="F421" s="27"/>
    </row>
    <row r="422" spans="6:6" x14ac:dyDescent="0.3">
      <c r="F422" s="27"/>
    </row>
    <row r="423" spans="6:6" x14ac:dyDescent="0.3">
      <c r="F423" s="27"/>
    </row>
    <row r="424" spans="6:6" x14ac:dyDescent="0.3">
      <c r="F424" s="27"/>
    </row>
    <row r="425" spans="6:6" x14ac:dyDescent="0.3">
      <c r="F425" s="27"/>
    </row>
    <row r="426" spans="6:6" x14ac:dyDescent="0.3">
      <c r="F426" s="27"/>
    </row>
    <row r="427" spans="6:6" x14ac:dyDescent="0.3">
      <c r="F427" s="27"/>
    </row>
    <row r="428" spans="6:6" x14ac:dyDescent="0.3">
      <c r="F428" s="27"/>
    </row>
    <row r="429" spans="6:6" x14ac:dyDescent="0.3">
      <c r="F429" s="27"/>
    </row>
    <row r="430" spans="6:6" x14ac:dyDescent="0.3">
      <c r="F430" s="27"/>
    </row>
    <row r="431" spans="6:6" x14ac:dyDescent="0.3">
      <c r="F431" s="27"/>
    </row>
    <row r="432" spans="6:6" x14ac:dyDescent="0.3">
      <c r="F432" s="27"/>
    </row>
    <row r="433" spans="6:6" x14ac:dyDescent="0.3">
      <c r="F433" s="27"/>
    </row>
    <row r="434" spans="6:6" x14ac:dyDescent="0.3">
      <c r="F434" s="27"/>
    </row>
    <row r="435" spans="6:6" x14ac:dyDescent="0.3">
      <c r="F435" s="27"/>
    </row>
    <row r="436" spans="6:6" x14ac:dyDescent="0.3">
      <c r="F436" s="27"/>
    </row>
    <row r="437" spans="6:6" x14ac:dyDescent="0.3">
      <c r="F437" s="27"/>
    </row>
    <row r="438" spans="6:6" x14ac:dyDescent="0.3">
      <c r="F438" s="27"/>
    </row>
    <row r="439" spans="6:6" x14ac:dyDescent="0.3">
      <c r="F439" s="27"/>
    </row>
    <row r="440" spans="6:6" x14ac:dyDescent="0.3">
      <c r="F440" s="27"/>
    </row>
    <row r="441" spans="6:6" x14ac:dyDescent="0.3">
      <c r="F441" s="27"/>
    </row>
    <row r="442" spans="6:6" x14ac:dyDescent="0.3">
      <c r="F442" s="27"/>
    </row>
    <row r="443" spans="6:6" x14ac:dyDescent="0.3">
      <c r="F443" s="27"/>
    </row>
    <row r="444" spans="6:6" x14ac:dyDescent="0.3">
      <c r="F444" s="27"/>
    </row>
    <row r="445" spans="6:6" x14ac:dyDescent="0.3">
      <c r="F445" s="27"/>
    </row>
    <row r="446" spans="6:6" x14ac:dyDescent="0.3">
      <c r="F446" s="27"/>
    </row>
    <row r="447" spans="6:6" x14ac:dyDescent="0.3">
      <c r="F447" s="27"/>
    </row>
    <row r="448" spans="6:6" x14ac:dyDescent="0.3">
      <c r="F448" s="27"/>
    </row>
    <row r="449" spans="6:6" x14ac:dyDescent="0.3">
      <c r="F449" s="27"/>
    </row>
    <row r="450" spans="6:6" x14ac:dyDescent="0.3">
      <c r="F450" s="27"/>
    </row>
    <row r="451" spans="6:6" x14ac:dyDescent="0.3">
      <c r="F451" s="27"/>
    </row>
    <row r="452" spans="6:6" x14ac:dyDescent="0.3">
      <c r="F452" s="27"/>
    </row>
    <row r="453" spans="6:6" x14ac:dyDescent="0.3">
      <c r="F453" s="27"/>
    </row>
    <row r="454" spans="6:6" x14ac:dyDescent="0.3">
      <c r="F454" s="27"/>
    </row>
    <row r="455" spans="6:6" x14ac:dyDescent="0.3">
      <c r="F455" s="27"/>
    </row>
    <row r="456" spans="6:6" x14ac:dyDescent="0.3">
      <c r="F456" s="27"/>
    </row>
    <row r="457" spans="6:6" x14ac:dyDescent="0.3">
      <c r="F457" s="27"/>
    </row>
    <row r="458" spans="6:6" x14ac:dyDescent="0.3">
      <c r="F458" s="27"/>
    </row>
    <row r="459" spans="6:6" x14ac:dyDescent="0.3">
      <c r="F459" s="27"/>
    </row>
    <row r="460" spans="6:6" x14ac:dyDescent="0.3">
      <c r="F460" s="27"/>
    </row>
    <row r="461" spans="6:6" x14ac:dyDescent="0.3">
      <c r="F461" s="27"/>
    </row>
    <row r="462" spans="6:6" x14ac:dyDescent="0.3">
      <c r="F462" s="27"/>
    </row>
    <row r="463" spans="6:6" x14ac:dyDescent="0.3">
      <c r="F463" s="27"/>
    </row>
    <row r="464" spans="6:6" x14ac:dyDescent="0.3">
      <c r="F464" s="27"/>
    </row>
    <row r="465" spans="6:6" x14ac:dyDescent="0.3">
      <c r="F465" s="27"/>
    </row>
    <row r="466" spans="6:6" x14ac:dyDescent="0.3">
      <c r="F466" s="27"/>
    </row>
    <row r="467" spans="6:6" x14ac:dyDescent="0.3">
      <c r="F467" s="27"/>
    </row>
    <row r="468" spans="6:6" x14ac:dyDescent="0.3">
      <c r="F468" s="27"/>
    </row>
    <row r="469" spans="6:6" x14ac:dyDescent="0.3">
      <c r="F469" s="27"/>
    </row>
    <row r="470" spans="6:6" x14ac:dyDescent="0.3">
      <c r="F470" s="27"/>
    </row>
    <row r="471" spans="6:6" x14ac:dyDescent="0.3">
      <c r="F471" s="27"/>
    </row>
    <row r="472" spans="6:6" x14ac:dyDescent="0.3">
      <c r="F472" s="27"/>
    </row>
    <row r="473" spans="6:6" x14ac:dyDescent="0.3">
      <c r="F473" s="27"/>
    </row>
    <row r="474" spans="6:6" x14ac:dyDescent="0.3">
      <c r="F474" s="27"/>
    </row>
    <row r="475" spans="6:6" x14ac:dyDescent="0.3">
      <c r="F475" s="27"/>
    </row>
    <row r="476" spans="6:6" x14ac:dyDescent="0.3">
      <c r="F476" s="27"/>
    </row>
    <row r="477" spans="6:6" x14ac:dyDescent="0.3">
      <c r="F477" s="27"/>
    </row>
    <row r="478" spans="6:6" x14ac:dyDescent="0.3">
      <c r="F478" s="27"/>
    </row>
    <row r="479" spans="6:6" x14ac:dyDescent="0.3">
      <c r="F479" s="27"/>
    </row>
    <row r="480" spans="6:6" x14ac:dyDescent="0.3">
      <c r="F480" s="27"/>
    </row>
    <row r="481" spans="6:6" x14ac:dyDescent="0.3">
      <c r="F481" s="27"/>
    </row>
    <row r="482" spans="6:6" x14ac:dyDescent="0.3">
      <c r="F482" s="27"/>
    </row>
    <row r="483" spans="6:6" x14ac:dyDescent="0.3">
      <c r="F483" s="27"/>
    </row>
    <row r="484" spans="6:6" x14ac:dyDescent="0.3">
      <c r="F484" s="27"/>
    </row>
    <row r="485" spans="6:6" x14ac:dyDescent="0.3">
      <c r="F485" s="27"/>
    </row>
    <row r="486" spans="6:6" x14ac:dyDescent="0.3">
      <c r="F486" s="27"/>
    </row>
    <row r="487" spans="6:6" x14ac:dyDescent="0.3">
      <c r="F487" s="27"/>
    </row>
    <row r="488" spans="6:6" x14ac:dyDescent="0.3">
      <c r="F488" s="27"/>
    </row>
    <row r="489" spans="6:6" x14ac:dyDescent="0.3">
      <c r="F489" s="27"/>
    </row>
    <row r="490" spans="6:6" x14ac:dyDescent="0.3">
      <c r="F490" s="27"/>
    </row>
    <row r="491" spans="6:6" x14ac:dyDescent="0.3">
      <c r="F491" s="27"/>
    </row>
    <row r="492" spans="6:6" x14ac:dyDescent="0.3">
      <c r="F492" s="27"/>
    </row>
    <row r="493" spans="6:6" x14ac:dyDescent="0.3">
      <c r="F493" s="27"/>
    </row>
    <row r="494" spans="6:6" x14ac:dyDescent="0.3">
      <c r="F494" s="27"/>
    </row>
    <row r="495" spans="6:6" x14ac:dyDescent="0.3">
      <c r="F495" s="27"/>
    </row>
    <row r="496" spans="6:6" x14ac:dyDescent="0.3">
      <c r="F496" s="27"/>
    </row>
    <row r="497" spans="6:6" x14ac:dyDescent="0.3">
      <c r="F497" s="27"/>
    </row>
    <row r="498" spans="6:6" x14ac:dyDescent="0.3">
      <c r="F498" s="27"/>
    </row>
    <row r="499" spans="6:6" x14ac:dyDescent="0.3">
      <c r="F499" s="27"/>
    </row>
    <row r="500" spans="6:6" x14ac:dyDescent="0.3">
      <c r="F500" s="27"/>
    </row>
    <row r="501" spans="6:6" x14ac:dyDescent="0.3">
      <c r="F501" s="27"/>
    </row>
    <row r="502" spans="6:6" x14ac:dyDescent="0.3">
      <c r="F502" s="27"/>
    </row>
    <row r="503" spans="6:6" x14ac:dyDescent="0.3">
      <c r="F503" s="27"/>
    </row>
    <row r="504" spans="6:6" x14ac:dyDescent="0.3">
      <c r="F504" s="27"/>
    </row>
    <row r="505" spans="6:6" x14ac:dyDescent="0.3">
      <c r="F505" s="27"/>
    </row>
    <row r="506" spans="6:6" x14ac:dyDescent="0.3">
      <c r="F506" s="27"/>
    </row>
    <row r="507" spans="6:6" x14ac:dyDescent="0.3">
      <c r="F507" s="27"/>
    </row>
    <row r="508" spans="6:6" x14ac:dyDescent="0.3">
      <c r="F508" s="27"/>
    </row>
    <row r="509" spans="6:6" x14ac:dyDescent="0.3">
      <c r="F509" s="27"/>
    </row>
    <row r="510" spans="6:6" x14ac:dyDescent="0.3">
      <c r="F510" s="27"/>
    </row>
    <row r="511" spans="6:6" x14ac:dyDescent="0.3">
      <c r="F511" s="27"/>
    </row>
    <row r="512" spans="6:6" x14ac:dyDescent="0.3">
      <c r="F512" s="27"/>
    </row>
    <row r="513" spans="6:6" x14ac:dyDescent="0.3">
      <c r="F513" s="27"/>
    </row>
    <row r="514" spans="6:6" x14ac:dyDescent="0.3">
      <c r="F514" s="27"/>
    </row>
    <row r="515" spans="6:6" x14ac:dyDescent="0.3">
      <c r="F515" s="27"/>
    </row>
    <row r="516" spans="6:6" x14ac:dyDescent="0.3">
      <c r="F516" s="27"/>
    </row>
    <row r="517" spans="6:6" x14ac:dyDescent="0.3">
      <c r="F517" s="27"/>
    </row>
    <row r="518" spans="6:6" x14ac:dyDescent="0.3">
      <c r="F518" s="27"/>
    </row>
    <row r="519" spans="6:6" x14ac:dyDescent="0.3">
      <c r="F519" s="27"/>
    </row>
    <row r="520" spans="6:6" x14ac:dyDescent="0.3">
      <c r="F520" s="27"/>
    </row>
    <row r="521" spans="6:6" x14ac:dyDescent="0.3">
      <c r="F521" s="27"/>
    </row>
    <row r="522" spans="6:6" x14ac:dyDescent="0.3">
      <c r="F522" s="27"/>
    </row>
    <row r="523" spans="6:6" x14ac:dyDescent="0.3">
      <c r="F523" s="27"/>
    </row>
    <row r="524" spans="6:6" x14ac:dyDescent="0.3">
      <c r="F524" s="27"/>
    </row>
    <row r="525" spans="6:6" x14ac:dyDescent="0.3">
      <c r="F525" s="27"/>
    </row>
    <row r="526" spans="6:6" x14ac:dyDescent="0.3">
      <c r="F526" s="27"/>
    </row>
    <row r="527" spans="6:6" x14ac:dyDescent="0.3">
      <c r="F527" s="27"/>
    </row>
    <row r="528" spans="6:6" x14ac:dyDescent="0.3">
      <c r="F528" s="27"/>
    </row>
    <row r="529" spans="6:6" x14ac:dyDescent="0.3">
      <c r="F529" s="27"/>
    </row>
    <row r="530" spans="6:6" x14ac:dyDescent="0.3">
      <c r="F530" s="27"/>
    </row>
    <row r="531" spans="6:6" x14ac:dyDescent="0.3">
      <c r="F531" s="27"/>
    </row>
    <row r="532" spans="6:6" x14ac:dyDescent="0.3">
      <c r="F532" s="27"/>
    </row>
    <row r="533" spans="6:6" x14ac:dyDescent="0.3">
      <c r="F533" s="27"/>
    </row>
    <row r="534" spans="6:6" x14ac:dyDescent="0.3">
      <c r="F534" s="27"/>
    </row>
    <row r="535" spans="6:6" x14ac:dyDescent="0.3">
      <c r="F535" s="27"/>
    </row>
    <row r="536" spans="6:6" x14ac:dyDescent="0.3">
      <c r="F536" s="27"/>
    </row>
    <row r="537" spans="6:6" x14ac:dyDescent="0.3">
      <c r="F537" s="27"/>
    </row>
    <row r="538" spans="6:6" x14ac:dyDescent="0.3">
      <c r="F538" s="27"/>
    </row>
    <row r="539" spans="6:6" x14ac:dyDescent="0.3">
      <c r="F539" s="27"/>
    </row>
    <row r="540" spans="6:6" x14ac:dyDescent="0.3">
      <c r="F540" s="27"/>
    </row>
    <row r="541" spans="6:6" x14ac:dyDescent="0.3">
      <c r="F541" s="27"/>
    </row>
    <row r="542" spans="6:6" x14ac:dyDescent="0.3">
      <c r="F542" s="27"/>
    </row>
    <row r="543" spans="6:6" x14ac:dyDescent="0.3">
      <c r="F543" s="27"/>
    </row>
    <row r="544" spans="6:6" x14ac:dyDescent="0.3">
      <c r="F544" s="27"/>
    </row>
    <row r="545" spans="6:6" x14ac:dyDescent="0.3">
      <c r="F545" s="27"/>
    </row>
    <row r="546" spans="6:6" x14ac:dyDescent="0.3">
      <c r="F546" s="27"/>
    </row>
    <row r="547" spans="6:6" x14ac:dyDescent="0.3">
      <c r="F547" s="27"/>
    </row>
    <row r="548" spans="6:6" x14ac:dyDescent="0.3">
      <c r="F548" s="27"/>
    </row>
    <row r="549" spans="6:6" x14ac:dyDescent="0.3">
      <c r="F549" s="27"/>
    </row>
    <row r="550" spans="6:6" x14ac:dyDescent="0.3">
      <c r="F550" s="27"/>
    </row>
    <row r="551" spans="6:6" x14ac:dyDescent="0.3">
      <c r="F551" s="27"/>
    </row>
    <row r="552" spans="6:6" x14ac:dyDescent="0.3">
      <c r="F552" s="27"/>
    </row>
    <row r="553" spans="6:6" x14ac:dyDescent="0.3">
      <c r="F553" s="27"/>
    </row>
    <row r="554" spans="6:6" x14ac:dyDescent="0.3">
      <c r="F554" s="27"/>
    </row>
    <row r="555" spans="6:6" x14ac:dyDescent="0.3">
      <c r="F555" s="27"/>
    </row>
    <row r="556" spans="6:6" x14ac:dyDescent="0.3">
      <c r="F556" s="27"/>
    </row>
    <row r="557" spans="6:6" x14ac:dyDescent="0.3">
      <c r="F557" s="27"/>
    </row>
    <row r="558" spans="6:6" x14ac:dyDescent="0.3">
      <c r="F558" s="27"/>
    </row>
    <row r="559" spans="6:6" x14ac:dyDescent="0.3">
      <c r="F559" s="27"/>
    </row>
    <row r="560" spans="6:6" x14ac:dyDescent="0.3">
      <c r="F560" s="27"/>
    </row>
    <row r="561" spans="6:6" x14ac:dyDescent="0.3">
      <c r="F561" s="27"/>
    </row>
    <row r="562" spans="6:6" x14ac:dyDescent="0.3">
      <c r="F562" s="27"/>
    </row>
    <row r="563" spans="6:6" x14ac:dyDescent="0.3">
      <c r="F563" s="27"/>
    </row>
    <row r="564" spans="6:6" x14ac:dyDescent="0.3">
      <c r="F564" s="27"/>
    </row>
    <row r="565" spans="6:6" x14ac:dyDescent="0.3">
      <c r="F565" s="27"/>
    </row>
    <row r="566" spans="6:6" x14ac:dyDescent="0.3">
      <c r="F566" s="27"/>
    </row>
    <row r="567" spans="6:6" x14ac:dyDescent="0.3">
      <c r="F567" s="27"/>
    </row>
    <row r="568" spans="6:6" x14ac:dyDescent="0.3">
      <c r="F568" s="27"/>
    </row>
    <row r="569" spans="6:6" x14ac:dyDescent="0.3">
      <c r="F569" s="27"/>
    </row>
    <row r="570" spans="6:6" x14ac:dyDescent="0.3">
      <c r="F570" s="27"/>
    </row>
    <row r="571" spans="6:6" x14ac:dyDescent="0.3">
      <c r="F571" s="27"/>
    </row>
    <row r="572" spans="6:6" x14ac:dyDescent="0.3">
      <c r="F572" s="27"/>
    </row>
    <row r="573" spans="6:6" x14ac:dyDescent="0.3">
      <c r="F573" s="27"/>
    </row>
    <row r="574" spans="6:6" x14ac:dyDescent="0.3">
      <c r="F574" s="27"/>
    </row>
    <row r="575" spans="6:6" x14ac:dyDescent="0.3">
      <c r="F575" s="27"/>
    </row>
    <row r="576" spans="6:6" x14ac:dyDescent="0.3">
      <c r="F576" s="27"/>
    </row>
    <row r="577" spans="6:6" x14ac:dyDescent="0.3">
      <c r="F577" s="27"/>
    </row>
    <row r="578" spans="6:6" x14ac:dyDescent="0.3">
      <c r="F578" s="27"/>
    </row>
    <row r="579" spans="6:6" x14ac:dyDescent="0.3">
      <c r="F579" s="27"/>
    </row>
    <row r="580" spans="6:6" x14ac:dyDescent="0.3">
      <c r="F580" s="27"/>
    </row>
    <row r="581" spans="6:6" x14ac:dyDescent="0.3">
      <c r="F581" s="27"/>
    </row>
    <row r="582" spans="6:6" x14ac:dyDescent="0.3">
      <c r="F582" s="27"/>
    </row>
    <row r="583" spans="6:6" x14ac:dyDescent="0.3">
      <c r="F583" s="27"/>
    </row>
    <row r="584" spans="6:6" x14ac:dyDescent="0.3">
      <c r="F584" s="27"/>
    </row>
    <row r="585" spans="6:6" x14ac:dyDescent="0.3">
      <c r="F585" s="27"/>
    </row>
    <row r="586" spans="6:6" x14ac:dyDescent="0.3">
      <c r="F586" s="27"/>
    </row>
    <row r="587" spans="6:6" x14ac:dyDescent="0.3">
      <c r="F587" s="27"/>
    </row>
    <row r="588" spans="6:6" x14ac:dyDescent="0.3">
      <c r="F588" s="27"/>
    </row>
    <row r="589" spans="6:6" x14ac:dyDescent="0.3">
      <c r="F589" s="27"/>
    </row>
    <row r="590" spans="6:6" x14ac:dyDescent="0.3">
      <c r="F590" s="27"/>
    </row>
    <row r="591" spans="6:6" x14ac:dyDescent="0.3">
      <c r="F591" s="27"/>
    </row>
    <row r="592" spans="6:6" x14ac:dyDescent="0.3">
      <c r="F592" s="27"/>
    </row>
    <row r="593" spans="6:6" x14ac:dyDescent="0.3">
      <c r="F593" s="27"/>
    </row>
    <row r="594" spans="6:6" x14ac:dyDescent="0.3">
      <c r="F594" s="27"/>
    </row>
    <row r="595" spans="6:6" x14ac:dyDescent="0.3">
      <c r="F595" s="27"/>
    </row>
    <row r="596" spans="6:6" x14ac:dyDescent="0.3">
      <c r="F596" s="27"/>
    </row>
    <row r="597" spans="6:6" x14ac:dyDescent="0.3">
      <c r="F597" s="27"/>
    </row>
    <row r="598" spans="6:6" x14ac:dyDescent="0.3">
      <c r="F598" s="27"/>
    </row>
    <row r="599" spans="6:6" x14ac:dyDescent="0.3">
      <c r="F599" s="27"/>
    </row>
    <row r="600" spans="6:6" x14ac:dyDescent="0.3">
      <c r="F600" s="27"/>
    </row>
    <row r="601" spans="6:6" x14ac:dyDescent="0.3">
      <c r="F601" s="27"/>
    </row>
    <row r="602" spans="6:6" x14ac:dyDescent="0.3">
      <c r="F602" s="27"/>
    </row>
    <row r="603" spans="6:6" x14ac:dyDescent="0.3">
      <c r="F603" s="27"/>
    </row>
    <row r="604" spans="6:6" x14ac:dyDescent="0.3">
      <c r="F604" s="27"/>
    </row>
    <row r="605" spans="6:6" x14ac:dyDescent="0.3">
      <c r="F605" s="27"/>
    </row>
    <row r="606" spans="6:6" x14ac:dyDescent="0.3">
      <c r="F606" s="27"/>
    </row>
    <row r="607" spans="6:6" x14ac:dyDescent="0.3">
      <c r="F607" s="27"/>
    </row>
    <row r="608" spans="6:6" x14ac:dyDescent="0.3">
      <c r="F608" s="27"/>
    </row>
    <row r="609" spans="6:6" x14ac:dyDescent="0.3">
      <c r="F609" s="27"/>
    </row>
    <row r="610" spans="6:6" x14ac:dyDescent="0.3">
      <c r="F610" s="27"/>
    </row>
    <row r="611" spans="6:6" x14ac:dyDescent="0.3">
      <c r="F611" s="27"/>
    </row>
    <row r="612" spans="6:6" x14ac:dyDescent="0.3">
      <c r="F612" s="27"/>
    </row>
    <row r="613" spans="6:6" x14ac:dyDescent="0.3">
      <c r="F613" s="27"/>
    </row>
    <row r="614" spans="6:6" x14ac:dyDescent="0.3">
      <c r="F614" s="27"/>
    </row>
    <row r="615" spans="6:6" x14ac:dyDescent="0.3">
      <c r="F615" s="27"/>
    </row>
    <row r="616" spans="6:6" x14ac:dyDescent="0.3">
      <c r="F616" s="27"/>
    </row>
    <row r="617" spans="6:6" x14ac:dyDescent="0.3">
      <c r="F617" s="27"/>
    </row>
    <row r="618" spans="6:6" x14ac:dyDescent="0.3">
      <c r="F618" s="27"/>
    </row>
    <row r="619" spans="6:6" x14ac:dyDescent="0.3">
      <c r="F619" s="27"/>
    </row>
    <row r="620" spans="6:6" x14ac:dyDescent="0.3">
      <c r="F620" s="27"/>
    </row>
    <row r="621" spans="6:6" x14ac:dyDescent="0.3">
      <c r="F621" s="27"/>
    </row>
    <row r="622" spans="6:6" x14ac:dyDescent="0.3">
      <c r="F622" s="27"/>
    </row>
    <row r="623" spans="6:6" x14ac:dyDescent="0.3">
      <c r="F623" s="27"/>
    </row>
    <row r="624" spans="6:6" x14ac:dyDescent="0.3">
      <c r="F624" s="27"/>
    </row>
    <row r="625" spans="6:6" x14ac:dyDescent="0.3">
      <c r="F625" s="27"/>
    </row>
    <row r="626" spans="6:6" x14ac:dyDescent="0.3">
      <c r="F626" s="27"/>
    </row>
    <row r="627" spans="6:6" x14ac:dyDescent="0.3">
      <c r="F627" s="27"/>
    </row>
    <row r="628" spans="6:6" x14ac:dyDescent="0.3">
      <c r="F628" s="27"/>
    </row>
    <row r="629" spans="6:6" x14ac:dyDescent="0.3">
      <c r="F629" s="27"/>
    </row>
    <row r="630" spans="6:6" x14ac:dyDescent="0.3">
      <c r="F630" s="27"/>
    </row>
    <row r="631" spans="6:6" x14ac:dyDescent="0.3">
      <c r="F631" s="27"/>
    </row>
    <row r="632" spans="6:6" x14ac:dyDescent="0.3">
      <c r="F632" s="27"/>
    </row>
    <row r="633" spans="6:6" x14ac:dyDescent="0.3">
      <c r="F633" s="27"/>
    </row>
    <row r="634" spans="6:6" x14ac:dyDescent="0.3">
      <c r="F634" s="27"/>
    </row>
    <row r="635" spans="6:6" x14ac:dyDescent="0.3">
      <c r="F635" s="27"/>
    </row>
    <row r="636" spans="6:6" x14ac:dyDescent="0.3">
      <c r="F636" s="27"/>
    </row>
    <row r="637" spans="6:6" x14ac:dyDescent="0.3">
      <c r="F637" s="27"/>
    </row>
    <row r="638" spans="6:6" x14ac:dyDescent="0.3">
      <c r="F638" s="27"/>
    </row>
    <row r="639" spans="6:6" x14ac:dyDescent="0.3">
      <c r="F639" s="27"/>
    </row>
    <row r="640" spans="6:6" x14ac:dyDescent="0.3">
      <c r="F640" s="27"/>
    </row>
    <row r="641" spans="6:6" x14ac:dyDescent="0.3">
      <c r="F641" s="27"/>
    </row>
    <row r="642" spans="6:6" x14ac:dyDescent="0.3">
      <c r="F642" s="27"/>
    </row>
    <row r="643" spans="6:6" x14ac:dyDescent="0.3">
      <c r="F643" s="27"/>
    </row>
    <row r="644" spans="6:6" x14ac:dyDescent="0.3">
      <c r="F644" s="27"/>
    </row>
    <row r="645" spans="6:6" x14ac:dyDescent="0.3">
      <c r="F645" s="27"/>
    </row>
    <row r="646" spans="6:6" x14ac:dyDescent="0.3">
      <c r="F646" s="27"/>
    </row>
    <row r="647" spans="6:6" x14ac:dyDescent="0.3">
      <c r="F647" s="27"/>
    </row>
    <row r="648" spans="6:6" x14ac:dyDescent="0.3">
      <c r="F648" s="27"/>
    </row>
    <row r="649" spans="6:6" x14ac:dyDescent="0.3">
      <c r="F649" s="27"/>
    </row>
    <row r="650" spans="6:6" x14ac:dyDescent="0.3">
      <c r="F650" s="27"/>
    </row>
    <row r="651" spans="6:6" x14ac:dyDescent="0.3">
      <c r="F651" s="27"/>
    </row>
    <row r="652" spans="6:6" x14ac:dyDescent="0.3">
      <c r="F652" s="27"/>
    </row>
    <row r="653" spans="6:6" x14ac:dyDescent="0.3">
      <c r="F653" s="27"/>
    </row>
    <row r="654" spans="6:6" x14ac:dyDescent="0.3">
      <c r="F654" s="27"/>
    </row>
    <row r="655" spans="6:6" x14ac:dyDescent="0.3">
      <c r="F655" s="27"/>
    </row>
    <row r="656" spans="6:6" x14ac:dyDescent="0.3">
      <c r="F656" s="27"/>
    </row>
    <row r="657" spans="6:6" x14ac:dyDescent="0.3">
      <c r="F657" s="27"/>
    </row>
    <row r="658" spans="6:6" x14ac:dyDescent="0.3">
      <c r="F658" s="27"/>
    </row>
    <row r="659" spans="6:6" x14ac:dyDescent="0.3">
      <c r="F659" s="27"/>
    </row>
    <row r="660" spans="6:6" x14ac:dyDescent="0.3">
      <c r="F660" s="27"/>
    </row>
    <row r="661" spans="6:6" x14ac:dyDescent="0.3">
      <c r="F661" s="27"/>
    </row>
    <row r="662" spans="6:6" x14ac:dyDescent="0.3">
      <c r="F662" s="27"/>
    </row>
    <row r="663" spans="6:6" x14ac:dyDescent="0.3">
      <c r="F663" s="27"/>
    </row>
    <row r="664" spans="6:6" x14ac:dyDescent="0.3">
      <c r="F664" s="27"/>
    </row>
    <row r="665" spans="6:6" x14ac:dyDescent="0.3">
      <c r="F665" s="27"/>
    </row>
    <row r="666" spans="6:6" x14ac:dyDescent="0.3">
      <c r="F666" s="27"/>
    </row>
    <row r="667" spans="6:6" x14ac:dyDescent="0.3">
      <c r="F667" s="27"/>
    </row>
    <row r="668" spans="6:6" x14ac:dyDescent="0.3">
      <c r="F668" s="27"/>
    </row>
    <row r="669" spans="6:6" x14ac:dyDescent="0.3">
      <c r="F669" s="27"/>
    </row>
    <row r="670" spans="6:6" x14ac:dyDescent="0.3">
      <c r="F670" s="27"/>
    </row>
    <row r="671" spans="6:6" x14ac:dyDescent="0.3">
      <c r="F671" s="27"/>
    </row>
    <row r="672" spans="6:6" x14ac:dyDescent="0.3">
      <c r="F672" s="27"/>
    </row>
    <row r="673" spans="6:6" x14ac:dyDescent="0.3">
      <c r="F673" s="27"/>
    </row>
    <row r="674" spans="6:6" x14ac:dyDescent="0.3">
      <c r="F674" s="27"/>
    </row>
    <row r="675" spans="6:6" x14ac:dyDescent="0.3">
      <c r="F675" s="27"/>
    </row>
    <row r="676" spans="6:6" x14ac:dyDescent="0.3">
      <c r="F676" s="27"/>
    </row>
    <row r="677" spans="6:6" x14ac:dyDescent="0.3">
      <c r="F677" s="27"/>
    </row>
    <row r="678" spans="6:6" x14ac:dyDescent="0.3">
      <c r="F678" s="27"/>
    </row>
    <row r="679" spans="6:6" x14ac:dyDescent="0.3">
      <c r="F679" s="27"/>
    </row>
    <row r="680" spans="6:6" x14ac:dyDescent="0.3">
      <c r="F680" s="27"/>
    </row>
    <row r="681" spans="6:6" x14ac:dyDescent="0.3">
      <c r="F681" s="27"/>
    </row>
    <row r="682" spans="6:6" x14ac:dyDescent="0.3">
      <c r="F682" s="27"/>
    </row>
    <row r="683" spans="6:6" x14ac:dyDescent="0.3">
      <c r="F683" s="27"/>
    </row>
    <row r="684" spans="6:6" x14ac:dyDescent="0.3">
      <c r="F684" s="27"/>
    </row>
    <row r="685" spans="6:6" x14ac:dyDescent="0.3">
      <c r="F685" s="27"/>
    </row>
    <row r="686" spans="6:6" x14ac:dyDescent="0.3">
      <c r="F686" s="27"/>
    </row>
    <row r="687" spans="6:6" x14ac:dyDescent="0.3">
      <c r="F687" s="27"/>
    </row>
    <row r="688" spans="6:6" x14ac:dyDescent="0.3">
      <c r="F688" s="27"/>
    </row>
    <row r="689" spans="6:6" x14ac:dyDescent="0.3">
      <c r="F689" s="27"/>
    </row>
    <row r="690" spans="6:6" x14ac:dyDescent="0.3">
      <c r="F690" s="27"/>
    </row>
  </sheetData>
  <mergeCells count="10">
    <mergeCell ref="A4:C4"/>
    <mergeCell ref="E4:F4"/>
    <mergeCell ref="A5:C5"/>
    <mergeCell ref="E5:F5"/>
    <mergeCell ref="A1:D1"/>
    <mergeCell ref="E1:F1"/>
    <mergeCell ref="A2:C2"/>
    <mergeCell ref="E2:F2"/>
    <mergeCell ref="A3:C3"/>
    <mergeCell ref="E3:F3"/>
  </mergeCells>
  <dataValidations count="1">
    <dataValidation type="list" allowBlank="1" showInputMessage="1" showErrorMessage="1" sqref="E7:E1939" xr:uid="{00000000-0002-0000-1300-000000000000}">
      <formula1>"فاتورة ضريبية,فاتورة غير ضريبية,سند"</formula1>
    </dataValidation>
  </dataValidations>
  <pageMargins left="0.7" right="1.17" top="0.75" bottom="0.75" header="0.3" footer="0.3"/>
  <pageSetup paperSize="257" orientation="portrait" horizontalDpi="203" verticalDpi="203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41"/>
  <sheetViews>
    <sheetView rightToLeft="1" workbookViewId="0">
      <selection activeCell="H20" sqref="H20"/>
    </sheetView>
  </sheetViews>
  <sheetFormatPr defaultColWidth="8.83203125" defaultRowHeight="17" x14ac:dyDescent="0.5"/>
  <cols>
    <col min="1" max="1" width="10.83203125" style="128" customWidth="1"/>
    <col min="2" max="2" width="28.33203125" style="128" customWidth="1"/>
    <col min="3" max="3" width="9.83203125" style="128" customWidth="1"/>
    <col min="4" max="4" width="6.33203125" style="128" customWidth="1"/>
    <col min="5" max="5" width="11.08203125" style="129" customWidth="1"/>
    <col min="6" max="6" width="10" style="130" customWidth="1"/>
    <col min="7" max="7" width="8.4140625" style="109" customWidth="1"/>
    <col min="8" max="8" width="8.83203125" style="109"/>
    <col min="9" max="9" width="17.4140625" style="113" customWidth="1"/>
    <col min="10" max="10" width="13.08203125" style="113" customWidth="1"/>
    <col min="11" max="13" width="8.83203125" style="109"/>
    <col min="14" max="16384" width="8.83203125" style="128"/>
  </cols>
  <sheetData>
    <row r="1" spans="1:10" ht="34.25" customHeight="1" x14ac:dyDescent="0.5">
      <c r="A1" s="286" t="s">
        <v>600</v>
      </c>
      <c r="B1" s="286"/>
      <c r="C1" s="286"/>
      <c r="D1" s="286"/>
      <c r="E1" s="286"/>
      <c r="F1" s="286"/>
    </row>
    <row r="2" spans="1:10" s="109" customFormat="1" ht="35.4" customHeight="1" x14ac:dyDescent="0.5">
      <c r="A2" s="110" t="s">
        <v>499</v>
      </c>
      <c r="B2" s="110" t="s">
        <v>556</v>
      </c>
      <c r="C2" s="110" t="s">
        <v>601</v>
      </c>
      <c r="D2" s="110" t="s">
        <v>602</v>
      </c>
      <c r="E2" s="111" t="s">
        <v>603</v>
      </c>
      <c r="F2" s="112" t="s">
        <v>604</v>
      </c>
      <c r="I2" s="113"/>
      <c r="J2" s="113"/>
    </row>
    <row r="3" spans="1:10" s="109" customFormat="1" ht="17" customHeight="1" x14ac:dyDescent="0.5">
      <c r="A3" s="282" t="s">
        <v>605</v>
      </c>
      <c r="B3" s="114" t="s">
        <v>606</v>
      </c>
      <c r="C3" s="114">
        <v>1500</v>
      </c>
      <c r="D3" s="114">
        <v>1</v>
      </c>
      <c r="E3" s="115">
        <f>D3*C3</f>
        <v>1500</v>
      </c>
      <c r="F3" s="116">
        <f>E3/30</f>
        <v>50</v>
      </c>
      <c r="I3" s="285" t="s">
        <v>646</v>
      </c>
      <c r="J3" s="285"/>
    </row>
    <row r="4" spans="1:10" s="109" customFormat="1" ht="17" customHeight="1" x14ac:dyDescent="0.5">
      <c r="A4" s="283"/>
      <c r="B4" s="114" t="s">
        <v>607</v>
      </c>
      <c r="C4" s="114">
        <v>100</v>
      </c>
      <c r="D4" s="114">
        <v>1</v>
      </c>
      <c r="E4" s="115">
        <f>D4*C4</f>
        <v>100</v>
      </c>
      <c r="F4" s="116">
        <f>E4/30</f>
        <v>3.3333333333333335</v>
      </c>
      <c r="I4" s="132" t="s">
        <v>648</v>
      </c>
      <c r="J4" s="133">
        <f>E41</f>
        <v>46378.333333333328</v>
      </c>
    </row>
    <row r="5" spans="1:10" s="109" customFormat="1" ht="17" customHeight="1" x14ac:dyDescent="0.5">
      <c r="A5" s="283"/>
      <c r="B5" s="114" t="s">
        <v>608</v>
      </c>
      <c r="C5" s="114">
        <v>500</v>
      </c>
      <c r="D5" s="114">
        <v>1</v>
      </c>
      <c r="E5" s="115">
        <f>D5*C5</f>
        <v>500</v>
      </c>
      <c r="F5" s="116">
        <f>E5/30</f>
        <v>16.666666666666668</v>
      </c>
      <c r="I5" s="132" t="s">
        <v>649</v>
      </c>
      <c r="J5" s="132">
        <f>J4*12</f>
        <v>556540</v>
      </c>
    </row>
    <row r="6" spans="1:10" s="109" customFormat="1" ht="17" customHeight="1" x14ac:dyDescent="0.5">
      <c r="A6" s="283"/>
      <c r="B6" s="114" t="s">
        <v>609</v>
      </c>
      <c r="C6" s="114">
        <v>184</v>
      </c>
      <c r="D6" s="114">
        <v>10</v>
      </c>
      <c r="E6" s="115">
        <f>C6*D6</f>
        <v>1840</v>
      </c>
      <c r="F6" s="116">
        <f>E6/30</f>
        <v>61.333333333333336</v>
      </c>
      <c r="I6" s="131"/>
      <c r="J6" s="131"/>
    </row>
    <row r="7" spans="1:10" s="109" customFormat="1" ht="17" customHeight="1" x14ac:dyDescent="0.5">
      <c r="A7" s="284"/>
      <c r="B7" s="117" t="s">
        <v>513</v>
      </c>
      <c r="C7" s="117"/>
      <c r="D7" s="117"/>
      <c r="E7" s="118">
        <f>SUM(E3:E6)</f>
        <v>3940</v>
      </c>
      <c r="F7" s="119">
        <f>SUM(F3:F6)</f>
        <v>131.33333333333334</v>
      </c>
      <c r="I7" s="131"/>
      <c r="J7" s="131"/>
    </row>
    <row r="8" spans="1:10" s="109" customFormat="1" ht="17" customHeight="1" x14ac:dyDescent="0.5">
      <c r="A8" s="282" t="s">
        <v>610</v>
      </c>
      <c r="B8" s="114" t="s">
        <v>611</v>
      </c>
      <c r="C8" s="114">
        <v>3000</v>
      </c>
      <c r="D8" s="114">
        <v>1</v>
      </c>
      <c r="E8" s="115">
        <f t="shared" ref="E8:E14" si="0">C8*D8</f>
        <v>3000</v>
      </c>
      <c r="F8" s="116">
        <f>E8/30</f>
        <v>100</v>
      </c>
      <c r="I8" s="131"/>
      <c r="J8" s="131"/>
    </row>
    <row r="9" spans="1:10" s="109" customFormat="1" ht="17" customHeight="1" x14ac:dyDescent="0.5">
      <c r="A9" s="283"/>
      <c r="B9" s="114" t="s">
        <v>612</v>
      </c>
      <c r="C9" s="114">
        <v>1800</v>
      </c>
      <c r="D9" s="114">
        <v>1</v>
      </c>
      <c r="E9" s="115">
        <f t="shared" si="0"/>
        <v>1800</v>
      </c>
      <c r="F9" s="116">
        <f t="shared" ref="F9:F14" si="1">E9/30</f>
        <v>60</v>
      </c>
      <c r="I9" s="131"/>
      <c r="J9" s="131"/>
    </row>
    <row r="10" spans="1:10" s="109" customFormat="1" ht="17" customHeight="1" x14ac:dyDescent="0.5">
      <c r="A10" s="283"/>
      <c r="B10" s="114" t="s">
        <v>613</v>
      </c>
      <c r="C10" s="114">
        <v>1800</v>
      </c>
      <c r="D10" s="114">
        <v>1</v>
      </c>
      <c r="E10" s="115">
        <f t="shared" si="0"/>
        <v>1800</v>
      </c>
      <c r="F10" s="116">
        <f t="shared" si="1"/>
        <v>60</v>
      </c>
      <c r="I10" s="131"/>
      <c r="J10" s="131"/>
    </row>
    <row r="11" spans="1:10" s="109" customFormat="1" ht="17" customHeight="1" x14ac:dyDescent="0.5">
      <c r="A11" s="283"/>
      <c r="B11" s="114" t="s">
        <v>614</v>
      </c>
      <c r="C11" s="114">
        <v>2000</v>
      </c>
      <c r="D11" s="114">
        <v>1</v>
      </c>
      <c r="E11" s="115">
        <f t="shared" si="0"/>
        <v>2000</v>
      </c>
      <c r="F11" s="116">
        <f t="shared" si="1"/>
        <v>66.666666666666671</v>
      </c>
      <c r="I11" s="113"/>
      <c r="J11" s="113"/>
    </row>
    <row r="12" spans="1:10" s="109" customFormat="1" ht="17" customHeight="1" x14ac:dyDescent="0.5">
      <c r="A12" s="283"/>
      <c r="B12" s="114" t="s">
        <v>615</v>
      </c>
      <c r="C12" s="114">
        <v>5700</v>
      </c>
      <c r="D12" s="114">
        <v>1</v>
      </c>
      <c r="E12" s="115">
        <f t="shared" si="0"/>
        <v>5700</v>
      </c>
      <c r="F12" s="116">
        <f t="shared" si="1"/>
        <v>190</v>
      </c>
      <c r="I12" s="113"/>
      <c r="J12" s="113"/>
    </row>
    <row r="13" spans="1:10" s="109" customFormat="1" ht="17" customHeight="1" x14ac:dyDescent="0.5">
      <c r="A13" s="283"/>
      <c r="B13" s="114" t="s">
        <v>616</v>
      </c>
      <c r="C13" s="114">
        <v>2300</v>
      </c>
      <c r="D13" s="114">
        <v>1</v>
      </c>
      <c r="E13" s="115">
        <f t="shared" si="0"/>
        <v>2300</v>
      </c>
      <c r="F13" s="116">
        <f t="shared" si="1"/>
        <v>76.666666666666671</v>
      </c>
      <c r="I13" s="113"/>
      <c r="J13" s="113"/>
    </row>
    <row r="14" spans="1:10" s="109" customFormat="1" ht="17" customHeight="1" x14ac:dyDescent="0.5">
      <c r="A14" s="283"/>
      <c r="B14" s="114" t="s">
        <v>617</v>
      </c>
      <c r="C14" s="114">
        <v>4000</v>
      </c>
      <c r="D14" s="114">
        <v>1</v>
      </c>
      <c r="E14" s="115">
        <f t="shared" si="0"/>
        <v>4000</v>
      </c>
      <c r="F14" s="116">
        <f t="shared" si="1"/>
        <v>133.33333333333334</v>
      </c>
      <c r="I14" s="113"/>
      <c r="J14" s="113"/>
    </row>
    <row r="15" spans="1:10" s="109" customFormat="1" ht="17" customHeight="1" x14ac:dyDescent="0.5">
      <c r="A15" s="284"/>
      <c r="B15" s="117" t="s">
        <v>513</v>
      </c>
      <c r="C15" s="117"/>
      <c r="D15" s="117"/>
      <c r="E15" s="118">
        <f>SUM(E8:E14)</f>
        <v>20600</v>
      </c>
      <c r="F15" s="119">
        <f>SUM(F8:F14)</f>
        <v>686.66666666666674</v>
      </c>
      <c r="I15" s="120" t="s">
        <v>618</v>
      </c>
      <c r="J15" s="121">
        <f>E7</f>
        <v>3940</v>
      </c>
    </row>
    <row r="16" spans="1:10" s="109" customFormat="1" ht="17" customHeight="1" x14ac:dyDescent="0.5">
      <c r="A16" s="282" t="s">
        <v>619</v>
      </c>
      <c r="B16" s="114" t="s">
        <v>620</v>
      </c>
      <c r="C16" s="114">
        <f>23500/6</f>
        <v>3916.6666666666665</v>
      </c>
      <c r="D16" s="114">
        <v>1</v>
      </c>
      <c r="E16" s="115">
        <v>3916</v>
      </c>
      <c r="F16" s="116">
        <f>E16/30</f>
        <v>130.53333333333333</v>
      </c>
      <c r="I16" s="120" t="s">
        <v>610</v>
      </c>
      <c r="J16" s="122">
        <f>E15</f>
        <v>20600</v>
      </c>
    </row>
    <row r="17" spans="1:10" s="109" customFormat="1" ht="17" customHeight="1" x14ac:dyDescent="0.5">
      <c r="A17" s="283"/>
      <c r="B17" s="114" t="s">
        <v>621</v>
      </c>
      <c r="C17" s="114">
        <v>0</v>
      </c>
      <c r="D17" s="114">
        <v>1</v>
      </c>
      <c r="E17" s="115">
        <v>0</v>
      </c>
      <c r="F17" s="116">
        <f>E17/24</f>
        <v>0</v>
      </c>
      <c r="I17" s="120"/>
      <c r="J17" s="120"/>
    </row>
    <row r="18" spans="1:10" s="109" customFormat="1" ht="17" customHeight="1" x14ac:dyDescent="0.5">
      <c r="A18" s="284"/>
      <c r="B18" s="117" t="s">
        <v>513</v>
      </c>
      <c r="C18" s="117"/>
      <c r="D18" s="117"/>
      <c r="E18" s="118">
        <f>SUM(E16:E17)</f>
        <v>3916</v>
      </c>
      <c r="F18" s="119">
        <f>SUM(F16:F17)</f>
        <v>130.53333333333333</v>
      </c>
      <c r="I18" s="120" t="s">
        <v>619</v>
      </c>
      <c r="J18" s="121">
        <f>E18</f>
        <v>3916</v>
      </c>
    </row>
    <row r="19" spans="1:10" s="109" customFormat="1" ht="17" customHeight="1" x14ac:dyDescent="0.5">
      <c r="A19" s="287" t="s">
        <v>518</v>
      </c>
      <c r="B19" s="114" t="s">
        <v>622</v>
      </c>
      <c r="C19" s="114">
        <v>500</v>
      </c>
      <c r="D19" s="114">
        <v>1</v>
      </c>
      <c r="E19" s="115">
        <f>C19*D19</f>
        <v>500</v>
      </c>
      <c r="F19" s="116">
        <f>E19/30</f>
        <v>16.666666666666668</v>
      </c>
      <c r="I19" s="120" t="s">
        <v>518</v>
      </c>
      <c r="J19" s="121">
        <f>E22</f>
        <v>4800</v>
      </c>
    </row>
    <row r="20" spans="1:10" s="109" customFormat="1" ht="17" customHeight="1" x14ac:dyDescent="0.5">
      <c r="A20" s="287"/>
      <c r="B20" s="114" t="s">
        <v>623</v>
      </c>
      <c r="C20" s="114">
        <v>1800</v>
      </c>
      <c r="D20" s="114">
        <v>1</v>
      </c>
      <c r="E20" s="115">
        <f>C20*D20</f>
        <v>1800</v>
      </c>
      <c r="F20" s="116">
        <f>E20/30</f>
        <v>60</v>
      </c>
      <c r="I20" s="120" t="s">
        <v>624</v>
      </c>
      <c r="J20" s="121">
        <f>E31</f>
        <v>11429.833333333332</v>
      </c>
    </row>
    <row r="21" spans="1:10" s="109" customFormat="1" ht="17" customHeight="1" x14ac:dyDescent="0.5">
      <c r="A21" s="287"/>
      <c r="B21" s="114" t="s">
        <v>625</v>
      </c>
      <c r="C21" s="114">
        <v>2500</v>
      </c>
      <c r="D21" s="114">
        <v>1</v>
      </c>
      <c r="E21" s="115">
        <f>C21*D21</f>
        <v>2500</v>
      </c>
      <c r="F21" s="116">
        <f>E21/30</f>
        <v>83.333333333333329</v>
      </c>
      <c r="I21" s="120" t="s">
        <v>626</v>
      </c>
      <c r="J21" s="122">
        <f>E38</f>
        <v>1692.5</v>
      </c>
    </row>
    <row r="22" spans="1:10" s="109" customFormat="1" ht="17" customHeight="1" x14ac:dyDescent="0.5">
      <c r="A22" s="287"/>
      <c r="B22" s="117" t="s">
        <v>513</v>
      </c>
      <c r="C22" s="117"/>
      <c r="D22" s="117"/>
      <c r="E22" s="118">
        <f>SUM(E19:E21)</f>
        <v>4800</v>
      </c>
      <c r="F22" s="119">
        <f>SUM(F19:F21)</f>
        <v>160</v>
      </c>
      <c r="I22" s="120" t="s">
        <v>627</v>
      </c>
      <c r="J22" s="121">
        <f>E40</f>
        <v>0</v>
      </c>
    </row>
    <row r="23" spans="1:10" s="109" customFormat="1" ht="17" customHeight="1" x14ac:dyDescent="0.5">
      <c r="A23" s="282" t="s">
        <v>628</v>
      </c>
      <c r="B23" s="114" t="s">
        <v>629</v>
      </c>
      <c r="C23" s="114">
        <v>9700</v>
      </c>
      <c r="D23" s="114">
        <v>6</v>
      </c>
      <c r="E23" s="115">
        <f>C23*D23/12</f>
        <v>4850</v>
      </c>
      <c r="F23" s="116">
        <f>E23/30</f>
        <v>161.66666666666666</v>
      </c>
      <c r="I23" s="113"/>
      <c r="J23" s="113"/>
    </row>
    <row r="24" spans="1:10" s="109" customFormat="1" ht="17" customHeight="1" x14ac:dyDescent="0.5">
      <c r="A24" s="283"/>
      <c r="B24" s="114" t="s">
        <v>630</v>
      </c>
      <c r="C24" s="114">
        <v>1250</v>
      </c>
      <c r="D24" s="114">
        <v>7</v>
      </c>
      <c r="E24" s="115">
        <f>C24*D24/12</f>
        <v>729.16666666666663</v>
      </c>
      <c r="F24" s="116">
        <f t="shared" ref="F24:F30" si="2">E24/30</f>
        <v>24.305555555555554</v>
      </c>
      <c r="I24" s="113"/>
      <c r="J24" s="113"/>
    </row>
    <row r="25" spans="1:10" s="109" customFormat="1" ht="17" customHeight="1" x14ac:dyDescent="0.5">
      <c r="A25" s="283"/>
      <c r="B25" s="123" t="s">
        <v>631</v>
      </c>
      <c r="C25" s="123">
        <f>0.02*SUM(E8:E13)+0.18*8000</f>
        <v>1772</v>
      </c>
      <c r="D25" s="123">
        <v>1</v>
      </c>
      <c r="E25" s="124">
        <f>C25*D25</f>
        <v>1772</v>
      </c>
      <c r="F25" s="116">
        <f t="shared" si="2"/>
        <v>59.06666666666667</v>
      </c>
      <c r="I25" s="113"/>
      <c r="J25" s="113"/>
    </row>
    <row r="26" spans="1:10" s="109" customFormat="1" ht="17" customHeight="1" x14ac:dyDescent="0.5">
      <c r="A26" s="283"/>
      <c r="B26" s="114" t="s">
        <v>632</v>
      </c>
      <c r="C26" s="114">
        <v>650</v>
      </c>
      <c r="D26" s="114">
        <v>8</v>
      </c>
      <c r="E26" s="115">
        <f>C26*D26/12</f>
        <v>433.33333333333331</v>
      </c>
      <c r="F26" s="116">
        <f t="shared" si="2"/>
        <v>14.444444444444445</v>
      </c>
      <c r="I26" s="113"/>
      <c r="J26" s="113"/>
    </row>
    <row r="27" spans="1:10" s="109" customFormat="1" ht="17" customHeight="1" x14ac:dyDescent="0.5">
      <c r="A27" s="283"/>
      <c r="B27" s="114" t="s">
        <v>633</v>
      </c>
      <c r="C27" s="114">
        <v>30</v>
      </c>
      <c r="D27" s="114">
        <v>7</v>
      </c>
      <c r="E27" s="115">
        <f>C27*D27</f>
        <v>210</v>
      </c>
      <c r="F27" s="116">
        <f t="shared" si="2"/>
        <v>7</v>
      </c>
      <c r="I27" s="113"/>
      <c r="J27" s="113"/>
    </row>
    <row r="28" spans="1:10" s="109" customFormat="1" ht="17" customHeight="1" x14ac:dyDescent="0.5">
      <c r="A28" s="283"/>
      <c r="B28" s="114" t="s">
        <v>634</v>
      </c>
      <c r="C28" s="114">
        <v>517</v>
      </c>
      <c r="D28" s="114">
        <v>1</v>
      </c>
      <c r="E28" s="115">
        <f>C28*D28</f>
        <v>517</v>
      </c>
      <c r="F28" s="116">
        <f t="shared" si="2"/>
        <v>17.233333333333334</v>
      </c>
      <c r="I28" s="113"/>
      <c r="J28" s="113"/>
    </row>
    <row r="29" spans="1:10" s="109" customFormat="1" ht="17" customHeight="1" x14ac:dyDescent="0.5">
      <c r="A29" s="283"/>
      <c r="B29" s="114" t="s">
        <v>635</v>
      </c>
      <c r="C29" s="114">
        <f>21*SUM(E8:E14)/30/12</f>
        <v>1201.6666666666667</v>
      </c>
      <c r="D29" s="114">
        <v>1</v>
      </c>
      <c r="E29" s="115">
        <f>C29*D29</f>
        <v>1201.6666666666667</v>
      </c>
      <c r="F29" s="116">
        <f t="shared" si="2"/>
        <v>40.055555555555557</v>
      </c>
      <c r="I29" s="113"/>
      <c r="J29" s="113"/>
    </row>
    <row r="30" spans="1:10" s="109" customFormat="1" ht="17" customHeight="1" x14ac:dyDescent="0.5">
      <c r="A30" s="283"/>
      <c r="B30" s="114" t="s">
        <v>636</v>
      </c>
      <c r="C30" s="114">
        <f>SUM(E8:E14)/12</f>
        <v>1716.6666666666667</v>
      </c>
      <c r="D30" s="114">
        <v>1</v>
      </c>
      <c r="E30" s="115">
        <f>C30*D30</f>
        <v>1716.6666666666667</v>
      </c>
      <c r="F30" s="116">
        <f t="shared" si="2"/>
        <v>57.222222222222221</v>
      </c>
      <c r="I30" s="113"/>
      <c r="J30" s="113"/>
    </row>
    <row r="31" spans="1:10" s="109" customFormat="1" ht="17" customHeight="1" x14ac:dyDescent="0.5">
      <c r="A31" s="284"/>
      <c r="B31" s="117" t="s">
        <v>513</v>
      </c>
      <c r="C31" s="117"/>
      <c r="D31" s="117"/>
      <c r="E31" s="118">
        <f>SUM(E23:E30)</f>
        <v>11429.833333333332</v>
      </c>
      <c r="F31" s="119">
        <f>SUM(F23:F30)</f>
        <v>380.99444444444441</v>
      </c>
      <c r="I31" s="113"/>
      <c r="J31" s="113"/>
    </row>
    <row r="32" spans="1:10" s="109" customFormat="1" x14ac:dyDescent="0.5">
      <c r="A32" s="282" t="s">
        <v>637</v>
      </c>
      <c r="B32" s="114" t="s">
        <v>638</v>
      </c>
      <c r="C32" s="114">
        <v>500</v>
      </c>
      <c r="D32" s="114">
        <v>1</v>
      </c>
      <c r="E32" s="115">
        <f t="shared" ref="E32:E37" si="3">C32*D32</f>
        <v>500</v>
      </c>
      <c r="F32" s="116">
        <f t="shared" ref="F32:F37" si="4">E32/30</f>
        <v>16.666666666666668</v>
      </c>
      <c r="I32" s="113"/>
      <c r="J32" s="113"/>
    </row>
    <row r="33" spans="1:10" s="109" customFormat="1" x14ac:dyDescent="0.5">
      <c r="A33" s="283"/>
      <c r="B33" s="114" t="s">
        <v>639</v>
      </c>
      <c r="C33" s="114">
        <f>2070/6</f>
        <v>345</v>
      </c>
      <c r="D33" s="114">
        <v>1</v>
      </c>
      <c r="E33" s="115">
        <f t="shared" si="3"/>
        <v>345</v>
      </c>
      <c r="F33" s="116">
        <f t="shared" si="4"/>
        <v>11.5</v>
      </c>
      <c r="I33" s="113"/>
      <c r="J33" s="113"/>
    </row>
    <row r="34" spans="1:10" s="109" customFormat="1" ht="17" customHeight="1" x14ac:dyDescent="0.5">
      <c r="A34" s="283"/>
      <c r="B34" s="114" t="s">
        <v>640</v>
      </c>
      <c r="C34" s="115">
        <f>500/12</f>
        <v>41.666666666666664</v>
      </c>
      <c r="D34" s="114">
        <v>1</v>
      </c>
      <c r="E34" s="115">
        <f t="shared" si="3"/>
        <v>41.666666666666664</v>
      </c>
      <c r="F34" s="116">
        <f t="shared" si="4"/>
        <v>1.3888888888888888</v>
      </c>
      <c r="I34" s="113"/>
      <c r="J34" s="113"/>
    </row>
    <row r="35" spans="1:10" s="109" customFormat="1" ht="17" customHeight="1" x14ac:dyDescent="0.5">
      <c r="A35" s="283"/>
      <c r="B35" s="114" t="s">
        <v>641</v>
      </c>
      <c r="C35" s="115">
        <f>2500/12</f>
        <v>208.33333333333334</v>
      </c>
      <c r="D35" s="114">
        <v>1</v>
      </c>
      <c r="E35" s="115">
        <f t="shared" si="3"/>
        <v>208.33333333333334</v>
      </c>
      <c r="F35" s="116">
        <f t="shared" si="4"/>
        <v>6.9444444444444446</v>
      </c>
      <c r="I35" s="113"/>
      <c r="J35" s="113"/>
    </row>
    <row r="36" spans="1:10" s="109" customFormat="1" ht="17" customHeight="1" x14ac:dyDescent="0.5">
      <c r="A36" s="283"/>
      <c r="B36" s="114" t="s">
        <v>642</v>
      </c>
      <c r="C36" s="115">
        <v>137.5</v>
      </c>
      <c r="D36" s="114">
        <v>1</v>
      </c>
      <c r="E36" s="115">
        <f t="shared" si="3"/>
        <v>137.5</v>
      </c>
      <c r="F36" s="116">
        <f t="shared" si="4"/>
        <v>4.583333333333333</v>
      </c>
      <c r="I36" s="113"/>
      <c r="J36" s="113"/>
    </row>
    <row r="37" spans="1:10" s="109" customFormat="1" ht="17" customHeight="1" x14ac:dyDescent="0.5">
      <c r="A37" s="283"/>
      <c r="B37" s="114" t="s">
        <v>643</v>
      </c>
      <c r="C37" s="115">
        <v>460</v>
      </c>
      <c r="D37" s="114">
        <v>1</v>
      </c>
      <c r="E37" s="115">
        <f t="shared" si="3"/>
        <v>460</v>
      </c>
      <c r="F37" s="116">
        <f t="shared" si="4"/>
        <v>15.333333333333334</v>
      </c>
      <c r="I37" s="113"/>
      <c r="J37" s="113"/>
    </row>
    <row r="38" spans="1:10" s="109" customFormat="1" ht="17" customHeight="1" x14ac:dyDescent="0.5">
      <c r="A38" s="284"/>
      <c r="B38" s="117" t="s">
        <v>513</v>
      </c>
      <c r="C38" s="117"/>
      <c r="D38" s="117"/>
      <c r="E38" s="118">
        <f>SUM(E32:E37)</f>
        <v>1692.5</v>
      </c>
      <c r="F38" s="119">
        <f>SUM(F32:F37)</f>
        <v>56.416666666666671</v>
      </c>
      <c r="I38" s="113"/>
      <c r="J38" s="113"/>
    </row>
    <row r="39" spans="1:10" s="109" customFormat="1" ht="17" customHeight="1" x14ac:dyDescent="0.5">
      <c r="A39" s="282" t="s">
        <v>627</v>
      </c>
      <c r="B39" s="114" t="s">
        <v>644</v>
      </c>
      <c r="C39" s="114">
        <v>0</v>
      </c>
      <c r="D39" s="114">
        <v>1</v>
      </c>
      <c r="E39" s="115">
        <v>0</v>
      </c>
      <c r="F39" s="116">
        <f>E39/30</f>
        <v>0</v>
      </c>
      <c r="I39" s="113"/>
      <c r="J39" s="113"/>
    </row>
    <row r="40" spans="1:10" s="109" customFormat="1" ht="17" customHeight="1" x14ac:dyDescent="0.5">
      <c r="A40" s="283"/>
      <c r="B40" s="117" t="s">
        <v>513</v>
      </c>
      <c r="C40" s="117"/>
      <c r="D40" s="117"/>
      <c r="E40" s="118">
        <f>SUM(E39:E39)</f>
        <v>0</v>
      </c>
      <c r="F40" s="119">
        <f>SUM(F39:F39)</f>
        <v>0</v>
      </c>
      <c r="I40" s="113"/>
      <c r="J40" s="113"/>
    </row>
    <row r="41" spans="1:10" s="109" customFormat="1" ht="33" customHeight="1" x14ac:dyDescent="0.5">
      <c r="A41" s="125"/>
      <c r="B41" s="125" t="s">
        <v>645</v>
      </c>
      <c r="C41" s="125"/>
      <c r="D41" s="125"/>
      <c r="E41" s="126">
        <f>E40+E38+E31+E22+E18+E15+E7</f>
        <v>46378.333333333328</v>
      </c>
      <c r="F41" s="127">
        <f>E41/30</f>
        <v>1545.9444444444443</v>
      </c>
      <c r="I41" s="113"/>
      <c r="J41" s="113"/>
    </row>
  </sheetData>
  <autoFilter ref="A2:F2" xr:uid="{00000000-0009-0000-0000-000014000000}">
    <sortState xmlns:xlrd2="http://schemas.microsoft.com/office/spreadsheetml/2017/richdata2" ref="A3:F37">
      <sortCondition ref="A2"/>
    </sortState>
  </autoFilter>
  <mergeCells count="9">
    <mergeCell ref="A32:A38"/>
    <mergeCell ref="A39:A40"/>
    <mergeCell ref="I3:J3"/>
    <mergeCell ref="A1:F1"/>
    <mergeCell ref="A3:A7"/>
    <mergeCell ref="A8:A15"/>
    <mergeCell ref="A16:A18"/>
    <mergeCell ref="A19:A22"/>
    <mergeCell ref="A23:A31"/>
  </mergeCells>
  <pageMargins left="0.7" right="0.79" top="0.55000000000000004" bottom="0.75" header="0.3" footer="0.3"/>
  <pageSetup paperSize="9" orientation="portrait" horizontalDpi="4294967293" verticalDpi="203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1:K43"/>
  <sheetViews>
    <sheetView rightToLeft="1" topLeftCell="C4" workbookViewId="0">
      <selection activeCell="J23" sqref="J23"/>
    </sheetView>
  </sheetViews>
  <sheetFormatPr defaultRowHeight="15.5" x14ac:dyDescent="0.3"/>
  <cols>
    <col min="2" max="2" width="25" style="18" customWidth="1"/>
    <col min="3" max="3" width="17.4140625" style="27" customWidth="1"/>
    <col min="8" max="8" width="19.4140625" customWidth="1"/>
    <col min="9" max="9" width="17.6640625" customWidth="1"/>
    <col min="10" max="10" width="14.4140625" customWidth="1"/>
    <col min="11" max="11" width="30.58203125" customWidth="1"/>
  </cols>
  <sheetData>
    <row r="1" spans="2:11" ht="15" customHeight="1" x14ac:dyDescent="0.3">
      <c r="B1" s="288" t="s">
        <v>372</v>
      </c>
      <c r="C1" s="288"/>
      <c r="H1" s="218" t="s">
        <v>373</v>
      </c>
      <c r="I1" s="218"/>
      <c r="J1" s="218"/>
      <c r="K1" s="218"/>
    </row>
    <row r="2" spans="2:11" ht="15" customHeight="1" x14ac:dyDescent="0.3">
      <c r="B2" s="288"/>
      <c r="C2" s="288"/>
      <c r="H2" s="218"/>
      <c r="I2" s="218"/>
      <c r="J2" s="218"/>
      <c r="K2" s="218"/>
    </row>
    <row r="3" spans="2:11" x14ac:dyDescent="0.3">
      <c r="B3" s="18" t="s">
        <v>7</v>
      </c>
      <c r="C3" s="27">
        <v>11.33589668008308</v>
      </c>
    </row>
    <row r="4" spans="2:11" x14ac:dyDescent="0.3">
      <c r="B4" s="18" t="s">
        <v>8</v>
      </c>
      <c r="C4" s="27">
        <v>7.5732799999999996</v>
      </c>
      <c r="H4" s="290" t="s">
        <v>374</v>
      </c>
      <c r="I4" s="290"/>
      <c r="J4" s="290"/>
      <c r="K4" s="290"/>
    </row>
    <row r="5" spans="2:11" ht="31" x14ac:dyDescent="0.3">
      <c r="B5" s="18" t="s">
        <v>9</v>
      </c>
      <c r="C5" s="27">
        <v>4.2775674766685956</v>
      </c>
      <c r="H5" s="53" t="s">
        <v>375</v>
      </c>
      <c r="I5" s="53" t="s">
        <v>45</v>
      </c>
      <c r="J5" s="53" t="s">
        <v>376</v>
      </c>
      <c r="K5" s="54" t="s">
        <v>377</v>
      </c>
    </row>
    <row r="6" spans="2:11" x14ac:dyDescent="0.3">
      <c r="B6" s="18" t="s">
        <v>10</v>
      </c>
      <c r="C6" s="27">
        <v>5.1389158136340258</v>
      </c>
      <c r="H6" s="18" t="s">
        <v>15</v>
      </c>
      <c r="I6" s="85">
        <f>'تكاليف المنتجات'!AH2</f>
        <v>1.1374836003051105</v>
      </c>
      <c r="J6" s="21">
        <v>0.66800000000000004</v>
      </c>
      <c r="K6" s="50">
        <f>(I6-J6)/3</f>
        <v>0.15649453343503683</v>
      </c>
    </row>
    <row r="7" spans="2:11" x14ac:dyDescent="0.3">
      <c r="H7" s="18" t="s">
        <v>16</v>
      </c>
      <c r="I7" s="85">
        <f>'تكاليف المنتجات'!AK2</f>
        <v>2.4518188882532415</v>
      </c>
      <c r="J7" s="21">
        <v>0.66800000000000004</v>
      </c>
      <c r="K7" s="50">
        <f t="shared" ref="K7:K16" si="0">(I7-J7)/3</f>
        <v>0.59460629608441373</v>
      </c>
    </row>
    <row r="8" spans="2:11" ht="15" customHeight="1" x14ac:dyDescent="0.3">
      <c r="B8" s="18" t="s">
        <v>11</v>
      </c>
      <c r="C8" s="27">
        <v>6.7387860498842702</v>
      </c>
      <c r="H8" s="18" t="s">
        <v>18</v>
      </c>
      <c r="I8" s="85">
        <f>'تكاليف المنتجات'!AQ2</f>
        <v>4.3667578947368417</v>
      </c>
      <c r="J8" s="21">
        <v>1.4410000000000001</v>
      </c>
      <c r="K8" s="50">
        <f t="shared" si="0"/>
        <v>0.97525263157894726</v>
      </c>
    </row>
    <row r="9" spans="2:11" ht="15" customHeight="1" x14ac:dyDescent="0.3">
      <c r="B9" s="18" t="s">
        <v>12</v>
      </c>
      <c r="C9" s="27">
        <v>4.4008416306491132</v>
      </c>
      <c r="H9" s="18" t="s">
        <v>378</v>
      </c>
      <c r="I9" s="85">
        <f>'تكاليف المنتجات'!BX2</f>
        <v>1.8655869008660033</v>
      </c>
      <c r="J9" s="21">
        <v>1.4410000000000001</v>
      </c>
      <c r="K9" s="50">
        <f t="shared" si="0"/>
        <v>0.14152896695533443</v>
      </c>
    </row>
    <row r="10" spans="2:11" x14ac:dyDescent="0.3">
      <c r="B10" s="18" t="s">
        <v>13</v>
      </c>
      <c r="C10" s="27">
        <v>3.7939195608749237</v>
      </c>
      <c r="H10" s="18" t="s">
        <v>28</v>
      </c>
      <c r="I10" s="85">
        <f>'تكاليف المنتجات'!BU2</f>
        <v>3.3522781409731341</v>
      </c>
      <c r="J10" s="21">
        <v>1.4410000000000001</v>
      </c>
      <c r="K10" s="50">
        <f t="shared" si="0"/>
        <v>0.63709271365771136</v>
      </c>
    </row>
    <row r="11" spans="2:11" ht="27.65" customHeight="1" x14ac:dyDescent="0.3">
      <c r="B11" s="18" t="s">
        <v>14</v>
      </c>
      <c r="C11" s="27">
        <v>2.9822299771167051</v>
      </c>
      <c r="H11" s="18" t="s">
        <v>379</v>
      </c>
      <c r="I11" s="85">
        <f>'تكاليف المنتجات'!BI2</f>
        <v>3.4456421540885738</v>
      </c>
      <c r="J11" s="21">
        <v>1.4410000000000001</v>
      </c>
      <c r="K11" s="50">
        <f t="shared" si="0"/>
        <v>0.66821405136285783</v>
      </c>
    </row>
    <row r="12" spans="2:11" x14ac:dyDescent="0.3">
      <c r="H12" s="18" t="s">
        <v>380</v>
      </c>
      <c r="I12" s="85">
        <f>'تكاليف المنتجات'!AW2</f>
        <v>2.1891231390033634</v>
      </c>
      <c r="J12" s="21">
        <v>0.84099999999999997</v>
      </c>
      <c r="K12" s="50">
        <f t="shared" si="0"/>
        <v>0.44937437966778782</v>
      </c>
    </row>
    <row r="13" spans="2:11" x14ac:dyDescent="0.3">
      <c r="B13" s="18" t="s">
        <v>15</v>
      </c>
      <c r="C13" s="27">
        <v>1.2424836003051105</v>
      </c>
      <c r="H13" s="18" t="s">
        <v>22</v>
      </c>
      <c r="I13" s="85">
        <f>'تكاليف المنتجات'!BC2</f>
        <v>1.4439199305791361</v>
      </c>
      <c r="J13" s="21">
        <v>0.84099999999999997</v>
      </c>
      <c r="K13" s="50">
        <f t="shared" si="0"/>
        <v>0.2009733101930454</v>
      </c>
    </row>
    <row r="14" spans="2:11" x14ac:dyDescent="0.35">
      <c r="B14" s="18" t="s">
        <v>16</v>
      </c>
      <c r="C14" s="27">
        <v>2.5568188882532419</v>
      </c>
      <c r="D14" s="26"/>
      <c r="H14" s="18" t="s">
        <v>25</v>
      </c>
      <c r="I14" s="51">
        <f>'تكاليف المنتجات'!BL2</f>
        <v>1.3607709427312775</v>
      </c>
      <c r="J14" s="21">
        <v>1.2050000000000001</v>
      </c>
      <c r="K14" s="50">
        <f t="shared" si="0"/>
        <v>5.1923647577092481E-2</v>
      </c>
    </row>
    <row r="15" spans="2:11" x14ac:dyDescent="0.35">
      <c r="B15" s="18" t="s">
        <v>17</v>
      </c>
      <c r="C15" s="27">
        <v>4.195239908239321</v>
      </c>
      <c r="D15" s="26"/>
      <c r="H15" s="18" t="s">
        <v>26</v>
      </c>
      <c r="I15" s="51">
        <f>'تكاليف المنتجات'!BO2</f>
        <v>2.2973437894736852</v>
      </c>
      <c r="J15" s="21">
        <v>1.2050000000000001</v>
      </c>
      <c r="K15" s="50">
        <f t="shared" si="0"/>
        <v>0.3641145964912284</v>
      </c>
    </row>
    <row r="16" spans="2:11" x14ac:dyDescent="0.35">
      <c r="B16" s="18" t="s">
        <v>18</v>
      </c>
      <c r="C16" s="27">
        <v>3.3717578947368398</v>
      </c>
      <c r="D16" s="26"/>
      <c r="H16" s="18" t="s">
        <v>27</v>
      </c>
      <c r="I16" s="51">
        <f>'تكاليف المنتجات'!BR2</f>
        <v>3.6220431444026153</v>
      </c>
      <c r="J16" s="21">
        <v>1.4410000000000001</v>
      </c>
      <c r="K16" s="50">
        <f t="shared" si="0"/>
        <v>0.72701438146753838</v>
      </c>
    </row>
    <row r="17" spans="2:11" x14ac:dyDescent="0.35">
      <c r="B17" s="18" t="s">
        <v>19</v>
      </c>
      <c r="C17" s="27">
        <v>1.4578911375534718</v>
      </c>
      <c r="H17" s="52"/>
      <c r="I17" s="52"/>
      <c r="J17" s="52"/>
      <c r="K17" s="52"/>
    </row>
    <row r="18" spans="2:11" x14ac:dyDescent="0.35">
      <c r="B18" s="18" t="s">
        <v>20</v>
      </c>
      <c r="C18" s="27">
        <v>2.2941231390033634</v>
      </c>
      <c r="H18" s="52"/>
      <c r="I18" s="52"/>
      <c r="J18" s="52"/>
      <c r="K18" s="52"/>
    </row>
    <row r="19" spans="2:11" x14ac:dyDescent="0.35">
      <c r="B19" s="18" t="s">
        <v>21</v>
      </c>
      <c r="C19" s="27">
        <v>9.3129272401433685</v>
      </c>
      <c r="H19" s="291" t="s">
        <v>381</v>
      </c>
      <c r="I19" s="291"/>
      <c r="J19" s="291"/>
      <c r="K19" s="291"/>
    </row>
    <row r="20" spans="2:11" x14ac:dyDescent="0.3">
      <c r="B20" s="18" t="s">
        <v>22</v>
      </c>
      <c r="C20" s="27">
        <v>1.5489199305791361</v>
      </c>
      <c r="H20" s="289" t="s">
        <v>327</v>
      </c>
      <c r="I20" s="289"/>
      <c r="J20" s="50">
        <f>K11+K7</f>
        <v>1.2628203474472715</v>
      </c>
      <c r="K20" s="18"/>
    </row>
    <row r="21" spans="2:11" x14ac:dyDescent="0.3">
      <c r="B21" s="18" t="s">
        <v>23</v>
      </c>
      <c r="C21" s="27">
        <v>3.1586773932112018</v>
      </c>
      <c r="H21" s="289" t="s">
        <v>328</v>
      </c>
      <c r="I21" s="289"/>
      <c r="J21" s="50">
        <f>K6+K15+K16</f>
        <v>1.2476235113938037</v>
      </c>
      <c r="K21" s="18"/>
    </row>
    <row r="22" spans="2:11" x14ac:dyDescent="0.3">
      <c r="H22" s="289" t="s">
        <v>329</v>
      </c>
      <c r="I22" s="289"/>
      <c r="J22" s="50">
        <f>K9+K12+K14</f>
        <v>0.64282699420021472</v>
      </c>
      <c r="K22" s="18"/>
    </row>
    <row r="23" spans="2:11" x14ac:dyDescent="0.3">
      <c r="B23" s="18" t="s">
        <v>24</v>
      </c>
      <c r="C23" s="27">
        <v>4.8094656835003384</v>
      </c>
      <c r="H23" s="289" t="s">
        <v>330</v>
      </c>
      <c r="I23" s="289"/>
      <c r="J23" s="50">
        <f>K10+K8+K13</f>
        <v>1.8133186554297041</v>
      </c>
      <c r="K23" s="18"/>
    </row>
    <row r="24" spans="2:11" x14ac:dyDescent="0.3">
      <c r="B24" s="18" t="s">
        <v>25</v>
      </c>
      <c r="C24" s="27">
        <v>1.4657709427312777</v>
      </c>
    </row>
    <row r="25" spans="2:11" x14ac:dyDescent="0.3">
      <c r="B25" s="18" t="s">
        <v>26</v>
      </c>
      <c r="C25" s="27">
        <v>2.4023437894736848</v>
      </c>
    </row>
    <row r="26" spans="2:11" x14ac:dyDescent="0.3">
      <c r="B26" s="18" t="s">
        <v>27</v>
      </c>
      <c r="C26" s="27">
        <v>3.7270431444026153</v>
      </c>
    </row>
    <row r="27" spans="2:11" x14ac:dyDescent="0.3">
      <c r="B27" s="18" t="s">
        <v>28</v>
      </c>
      <c r="C27" s="27">
        <v>3.4572781409731341</v>
      </c>
    </row>
    <row r="28" spans="2:11" x14ac:dyDescent="0.3">
      <c r="B28" s="18" t="s">
        <v>29</v>
      </c>
      <c r="C28" s="27">
        <v>1.9705869008660033</v>
      </c>
    </row>
    <row r="29" spans="2:11" x14ac:dyDescent="0.3">
      <c r="B29" s="18" t="s">
        <v>30</v>
      </c>
      <c r="C29" s="27">
        <v>3.6919223747493408</v>
      </c>
    </row>
    <row r="31" spans="2:11" x14ac:dyDescent="0.3">
      <c r="B31" s="18" t="s">
        <v>31</v>
      </c>
      <c r="C31" s="27">
        <v>0.26805874920087658</v>
      </c>
    </row>
    <row r="32" spans="2:11" x14ac:dyDescent="0.3">
      <c r="B32" s="18" t="s">
        <v>32</v>
      </c>
      <c r="C32" s="27">
        <v>0.20513913196641731</v>
      </c>
    </row>
    <row r="33" spans="2:3" x14ac:dyDescent="0.3">
      <c r="B33" s="18" t="s">
        <v>33</v>
      </c>
      <c r="C33" s="27">
        <v>0.38351999999999997</v>
      </c>
    </row>
    <row r="34" spans="2:3" x14ac:dyDescent="0.3">
      <c r="B34" s="18" t="s">
        <v>34</v>
      </c>
      <c r="C34" s="27">
        <v>0.15968624093698192</v>
      </c>
    </row>
    <row r="35" spans="2:3" x14ac:dyDescent="0.3">
      <c r="B35" s="18" t="s">
        <v>35</v>
      </c>
      <c r="C35" s="27">
        <v>0.16961197801928563</v>
      </c>
    </row>
    <row r="37" spans="2:3" x14ac:dyDescent="0.3">
      <c r="B37" s="18" t="s">
        <v>36</v>
      </c>
      <c r="C37" s="27">
        <v>3.637620358422939</v>
      </c>
    </row>
    <row r="38" spans="2:3" x14ac:dyDescent="0.3">
      <c r="B38" s="18" t="s">
        <v>37</v>
      </c>
      <c r="C38" s="27">
        <v>60.35060358422939</v>
      </c>
    </row>
    <row r="39" spans="2:3" x14ac:dyDescent="0.3">
      <c r="B39" s="18" t="s">
        <v>38</v>
      </c>
      <c r="C39" s="27">
        <v>4.8729168458781356</v>
      </c>
    </row>
    <row r="40" spans="2:3" x14ac:dyDescent="0.3">
      <c r="B40" s="18" t="s">
        <v>39</v>
      </c>
      <c r="C40" s="27">
        <v>1.6099500636999529</v>
      </c>
    </row>
    <row r="41" spans="2:3" x14ac:dyDescent="0.3">
      <c r="B41" s="18" t="s">
        <v>40</v>
      </c>
      <c r="C41" s="27">
        <v>0.20685851525174567</v>
      </c>
    </row>
    <row r="42" spans="2:3" x14ac:dyDescent="0.3">
      <c r="B42" s="18" t="s">
        <v>41</v>
      </c>
      <c r="C42" s="27">
        <v>2.7179764047800661</v>
      </c>
    </row>
    <row r="43" spans="2:3" x14ac:dyDescent="0.3">
      <c r="B43" s="18" t="s">
        <v>42</v>
      </c>
      <c r="C43" s="27">
        <v>2.534224618319151</v>
      </c>
    </row>
  </sheetData>
  <mergeCells count="8">
    <mergeCell ref="B1:C2"/>
    <mergeCell ref="H21:I21"/>
    <mergeCell ref="H22:I22"/>
    <mergeCell ref="H23:I23"/>
    <mergeCell ref="H4:K4"/>
    <mergeCell ref="H1:K2"/>
    <mergeCell ref="H19:K19"/>
    <mergeCell ref="H20:I20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3:L17"/>
  <sheetViews>
    <sheetView rightToLeft="1" topLeftCell="A4" zoomScale="130" zoomScaleNormal="130" workbookViewId="0">
      <selection activeCell="G6" sqref="G6"/>
    </sheetView>
  </sheetViews>
  <sheetFormatPr defaultRowHeight="14" x14ac:dyDescent="0.3"/>
  <cols>
    <col min="1" max="1" width="20.08203125" customWidth="1"/>
    <col min="4" max="4" width="18.9140625" bestFit="1" customWidth="1"/>
    <col min="9" max="9" width="10.6640625" bestFit="1" customWidth="1"/>
    <col min="10" max="10" width="13.4140625" bestFit="1" customWidth="1"/>
  </cols>
  <sheetData>
    <row r="3" spans="1:12" x14ac:dyDescent="0.3">
      <c r="A3" s="41" t="s">
        <v>382</v>
      </c>
      <c r="B3" s="42">
        <v>2800</v>
      </c>
    </row>
    <row r="4" spans="1:12" x14ac:dyDescent="0.3">
      <c r="A4" s="43" t="s">
        <v>383</v>
      </c>
      <c r="B4">
        <v>100</v>
      </c>
    </row>
    <row r="6" spans="1:12" x14ac:dyDescent="0.3">
      <c r="A6" s="41"/>
      <c r="B6" s="41" t="s">
        <v>384</v>
      </c>
      <c r="C6" s="41" t="s">
        <v>385</v>
      </c>
      <c r="D6" s="41" t="s">
        <v>386</v>
      </c>
      <c r="E6" s="41" t="s">
        <v>387</v>
      </c>
      <c r="F6" s="41" t="s">
        <v>47</v>
      </c>
      <c r="G6" s="41" t="s">
        <v>388</v>
      </c>
      <c r="H6" s="41" t="s">
        <v>389</v>
      </c>
      <c r="I6" s="41" t="s">
        <v>390</v>
      </c>
      <c r="J6" s="41" t="s">
        <v>391</v>
      </c>
      <c r="K6" s="41" t="s">
        <v>50</v>
      </c>
      <c r="L6" s="41" t="s">
        <v>392</v>
      </c>
    </row>
    <row r="7" spans="1:12" s="47" customFormat="1" x14ac:dyDescent="0.3">
      <c r="A7" s="44"/>
      <c r="B7" s="45">
        <v>20</v>
      </c>
      <c r="C7" s="45">
        <f>B7*$B$3/100</f>
        <v>560</v>
      </c>
      <c r="D7" s="45">
        <f>B7*$B$4*0.01</f>
        <v>20</v>
      </c>
      <c r="E7" s="45">
        <v>16</v>
      </c>
      <c r="F7" s="46">
        <f>E7-(E7/1.15)</f>
        <v>2.086956521739129</v>
      </c>
      <c r="G7" s="45">
        <f>E7*0.1</f>
        <v>1.6</v>
      </c>
      <c r="H7" s="46">
        <f>E7-F7-G7</f>
        <v>12.313043478260871</v>
      </c>
      <c r="I7" s="45">
        <v>3</v>
      </c>
      <c r="J7" s="46">
        <f>H7-I7</f>
        <v>9.3130434782608713</v>
      </c>
      <c r="K7" s="46">
        <f>C7/J7</f>
        <v>60.130718954248351</v>
      </c>
      <c r="L7" s="46">
        <f>E7*K7</f>
        <v>962.09150326797362</v>
      </c>
    </row>
    <row r="8" spans="1:12" s="47" customFormat="1" x14ac:dyDescent="0.3">
      <c r="A8" s="44"/>
      <c r="B8" s="45">
        <v>10</v>
      </c>
      <c r="C8" s="45">
        <f t="shared" ref="C8:C17" si="0">B8*$B$3/100</f>
        <v>280</v>
      </c>
      <c r="D8" s="45">
        <f t="shared" ref="D8:D17" si="1">B8*$B$4*0.01</f>
        <v>10</v>
      </c>
      <c r="E8" s="45">
        <v>13</v>
      </c>
      <c r="F8" s="46">
        <f t="shared" ref="F8:F17" si="2">E8-(E8/1.15)</f>
        <v>1.695652173913043</v>
      </c>
      <c r="G8" s="45">
        <f t="shared" ref="G8:G17" si="3">E8*0.1</f>
        <v>1.3</v>
      </c>
      <c r="H8" s="46">
        <f t="shared" ref="H8:H17" si="4">E8-F8-G8</f>
        <v>10.004347826086956</v>
      </c>
      <c r="I8" s="45">
        <v>3</v>
      </c>
      <c r="J8" s="46">
        <f t="shared" ref="J8:J17" si="5">H8-I8</f>
        <v>7.0043478260869563</v>
      </c>
      <c r="K8" s="46">
        <f t="shared" ref="K8:K17" si="6">C8/J8</f>
        <v>39.975170701427686</v>
      </c>
      <c r="L8" s="46">
        <f t="shared" ref="L8:L17" si="7">E8*K8</f>
        <v>519.67721911855995</v>
      </c>
    </row>
    <row r="9" spans="1:12" s="47" customFormat="1" x14ac:dyDescent="0.3">
      <c r="A9" s="44"/>
      <c r="B9" s="45">
        <v>5</v>
      </c>
      <c r="C9" s="45">
        <f t="shared" si="0"/>
        <v>140</v>
      </c>
      <c r="D9" s="45">
        <f t="shared" si="1"/>
        <v>5</v>
      </c>
      <c r="E9" s="45">
        <v>18</v>
      </c>
      <c r="F9" s="46">
        <f t="shared" si="2"/>
        <v>2.3478260869565197</v>
      </c>
      <c r="G9" s="45">
        <f t="shared" si="3"/>
        <v>1.8</v>
      </c>
      <c r="H9" s="46">
        <f t="shared" si="4"/>
        <v>13.85217391304348</v>
      </c>
      <c r="I9" s="45">
        <v>3</v>
      </c>
      <c r="J9" s="46">
        <f t="shared" si="5"/>
        <v>10.85217391304348</v>
      </c>
      <c r="K9" s="46">
        <f t="shared" si="6"/>
        <v>12.900641025641024</v>
      </c>
      <c r="L9" s="46">
        <f t="shared" si="7"/>
        <v>232.21153846153842</v>
      </c>
    </row>
    <row r="10" spans="1:12" s="47" customFormat="1" x14ac:dyDescent="0.3">
      <c r="A10" s="44"/>
      <c r="B10" s="45">
        <v>10</v>
      </c>
      <c r="C10" s="45">
        <f t="shared" si="0"/>
        <v>280</v>
      </c>
      <c r="D10" s="45">
        <f t="shared" si="1"/>
        <v>10</v>
      </c>
      <c r="E10" s="45">
        <v>14</v>
      </c>
      <c r="F10" s="46">
        <f t="shared" si="2"/>
        <v>1.8260869565217384</v>
      </c>
      <c r="G10" s="45">
        <f t="shared" si="3"/>
        <v>1.4000000000000001</v>
      </c>
      <c r="H10" s="46">
        <f t="shared" si="4"/>
        <v>10.773913043478261</v>
      </c>
      <c r="I10" s="45">
        <v>3</v>
      </c>
      <c r="J10" s="46">
        <f t="shared" si="5"/>
        <v>7.7739130434782613</v>
      </c>
      <c r="K10" s="46">
        <f t="shared" si="6"/>
        <v>36.017897091722595</v>
      </c>
      <c r="L10" s="46">
        <f t="shared" si="7"/>
        <v>504.25055928411632</v>
      </c>
    </row>
    <row r="11" spans="1:12" s="47" customFormat="1" x14ac:dyDescent="0.3">
      <c r="A11" s="44"/>
      <c r="B11" s="45">
        <v>20</v>
      </c>
      <c r="C11" s="45">
        <f t="shared" si="0"/>
        <v>560</v>
      </c>
      <c r="D11" s="45">
        <f t="shared" si="1"/>
        <v>20</v>
      </c>
      <c r="E11" s="45">
        <v>18</v>
      </c>
      <c r="F11" s="46">
        <f t="shared" si="2"/>
        <v>2.3478260869565197</v>
      </c>
      <c r="G11" s="45">
        <f t="shared" si="3"/>
        <v>1.8</v>
      </c>
      <c r="H11" s="46">
        <f t="shared" si="4"/>
        <v>13.85217391304348</v>
      </c>
      <c r="I11" s="45">
        <v>3</v>
      </c>
      <c r="J11" s="46">
        <f t="shared" si="5"/>
        <v>10.85217391304348</v>
      </c>
      <c r="K11" s="46">
        <f t="shared" si="6"/>
        <v>51.602564102564095</v>
      </c>
      <c r="L11" s="46">
        <f t="shared" si="7"/>
        <v>928.8461538461537</v>
      </c>
    </row>
    <row r="12" spans="1:12" s="47" customFormat="1" x14ac:dyDescent="0.3">
      <c r="A12" s="44"/>
      <c r="B12" s="45">
        <v>5</v>
      </c>
      <c r="C12" s="45">
        <f t="shared" si="0"/>
        <v>140</v>
      </c>
      <c r="D12" s="45">
        <f t="shared" si="1"/>
        <v>5</v>
      </c>
      <c r="E12" s="45">
        <v>28</v>
      </c>
      <c r="F12" s="46">
        <f t="shared" si="2"/>
        <v>3.6521739130434767</v>
      </c>
      <c r="G12" s="45">
        <f t="shared" si="3"/>
        <v>2.8000000000000003</v>
      </c>
      <c r="H12" s="46">
        <f t="shared" si="4"/>
        <v>21.547826086956523</v>
      </c>
      <c r="I12" s="45">
        <v>3</v>
      </c>
      <c r="J12" s="46">
        <f t="shared" si="5"/>
        <v>18.547826086956523</v>
      </c>
      <c r="K12" s="46">
        <f t="shared" si="6"/>
        <v>7.548054383497421</v>
      </c>
      <c r="L12" s="46">
        <f t="shared" si="7"/>
        <v>211.34552273792778</v>
      </c>
    </row>
    <row r="13" spans="1:12" s="47" customFormat="1" x14ac:dyDescent="0.3">
      <c r="A13" s="44"/>
      <c r="B13" s="45">
        <v>5</v>
      </c>
      <c r="C13" s="45">
        <f t="shared" si="0"/>
        <v>140</v>
      </c>
      <c r="D13" s="45">
        <f t="shared" si="1"/>
        <v>5</v>
      </c>
      <c r="E13" s="45">
        <v>23</v>
      </c>
      <c r="F13" s="46">
        <f t="shared" si="2"/>
        <v>3</v>
      </c>
      <c r="G13" s="45">
        <f t="shared" si="3"/>
        <v>2.3000000000000003</v>
      </c>
      <c r="H13" s="46">
        <f t="shared" si="4"/>
        <v>17.7</v>
      </c>
      <c r="I13" s="45">
        <v>3</v>
      </c>
      <c r="J13" s="46">
        <f t="shared" si="5"/>
        <v>14.7</v>
      </c>
      <c r="K13" s="46">
        <f t="shared" si="6"/>
        <v>9.5238095238095237</v>
      </c>
      <c r="L13" s="46">
        <f t="shared" si="7"/>
        <v>219.04761904761904</v>
      </c>
    </row>
    <row r="14" spans="1:12" s="47" customFormat="1" x14ac:dyDescent="0.3">
      <c r="A14" s="44"/>
      <c r="B14" s="45">
        <v>5</v>
      </c>
      <c r="C14" s="45">
        <f t="shared" si="0"/>
        <v>140</v>
      </c>
      <c r="D14" s="45">
        <f t="shared" si="1"/>
        <v>5</v>
      </c>
      <c r="E14" s="45">
        <v>33</v>
      </c>
      <c r="F14" s="46">
        <f t="shared" si="2"/>
        <v>4.3043478260869534</v>
      </c>
      <c r="G14" s="45">
        <f t="shared" si="3"/>
        <v>3.3000000000000003</v>
      </c>
      <c r="H14" s="46">
        <f t="shared" si="4"/>
        <v>25.395652173913046</v>
      </c>
      <c r="I14" s="45">
        <v>3</v>
      </c>
      <c r="J14" s="46">
        <f t="shared" si="5"/>
        <v>22.395652173913046</v>
      </c>
      <c r="K14" s="46">
        <f t="shared" si="6"/>
        <v>6.2512133566297798</v>
      </c>
      <c r="L14" s="46">
        <f t="shared" si="7"/>
        <v>206.29004076878275</v>
      </c>
    </row>
    <row r="15" spans="1:12" s="47" customFormat="1" x14ac:dyDescent="0.3">
      <c r="A15" s="44"/>
      <c r="B15" s="45">
        <v>5</v>
      </c>
      <c r="C15" s="45">
        <f t="shared" si="0"/>
        <v>140</v>
      </c>
      <c r="D15" s="45">
        <f t="shared" si="1"/>
        <v>5</v>
      </c>
      <c r="E15" s="45">
        <v>23</v>
      </c>
      <c r="F15" s="46">
        <f t="shared" si="2"/>
        <v>3</v>
      </c>
      <c r="G15" s="45">
        <f t="shared" si="3"/>
        <v>2.3000000000000003</v>
      </c>
      <c r="H15" s="46">
        <f t="shared" si="4"/>
        <v>17.7</v>
      </c>
      <c r="I15" s="45">
        <v>3</v>
      </c>
      <c r="J15" s="46">
        <f t="shared" si="5"/>
        <v>14.7</v>
      </c>
      <c r="K15" s="46">
        <f t="shared" si="6"/>
        <v>9.5238095238095237</v>
      </c>
      <c r="L15" s="46">
        <f t="shared" si="7"/>
        <v>219.04761904761904</v>
      </c>
    </row>
    <row r="16" spans="1:12" s="47" customFormat="1" x14ac:dyDescent="0.3">
      <c r="A16" s="44"/>
      <c r="B16" s="45">
        <v>5</v>
      </c>
      <c r="C16" s="45">
        <f t="shared" si="0"/>
        <v>140</v>
      </c>
      <c r="D16" s="45">
        <f t="shared" si="1"/>
        <v>5</v>
      </c>
      <c r="E16" s="45">
        <v>27</v>
      </c>
      <c r="F16" s="46">
        <f t="shared" si="2"/>
        <v>3.5217391304347814</v>
      </c>
      <c r="G16" s="45">
        <f t="shared" si="3"/>
        <v>2.7</v>
      </c>
      <c r="H16" s="46">
        <f t="shared" si="4"/>
        <v>20.778260869565219</v>
      </c>
      <c r="I16" s="45">
        <v>3</v>
      </c>
      <c r="J16" s="46">
        <f t="shared" si="5"/>
        <v>17.778260869565219</v>
      </c>
      <c r="K16" s="46">
        <f t="shared" si="6"/>
        <v>7.874786011249693</v>
      </c>
      <c r="L16" s="46">
        <f t="shared" si="7"/>
        <v>212.61922230374171</v>
      </c>
    </row>
    <row r="17" spans="1:12" s="47" customFormat="1" x14ac:dyDescent="0.3">
      <c r="A17" s="44"/>
      <c r="B17" s="45">
        <v>10</v>
      </c>
      <c r="C17" s="45">
        <f t="shared" si="0"/>
        <v>280</v>
      </c>
      <c r="D17" s="45">
        <f t="shared" si="1"/>
        <v>10</v>
      </c>
      <c r="E17" s="45">
        <v>43</v>
      </c>
      <c r="F17" s="46">
        <f t="shared" si="2"/>
        <v>5.6086956521739069</v>
      </c>
      <c r="G17" s="45">
        <f t="shared" si="3"/>
        <v>4.3</v>
      </c>
      <c r="H17" s="46">
        <f t="shared" si="4"/>
        <v>33.091304347826096</v>
      </c>
      <c r="I17" s="45">
        <v>3</v>
      </c>
      <c r="J17" s="46">
        <f t="shared" si="5"/>
        <v>30.091304347826096</v>
      </c>
      <c r="K17" s="46">
        <f t="shared" si="6"/>
        <v>9.3050137263401211</v>
      </c>
      <c r="L17" s="46">
        <f t="shared" si="7"/>
        <v>400.11559023262521</v>
      </c>
    </row>
  </sheetData>
  <pageMargins left="0.7" right="0.7" top="0.75" bottom="0.75" header="0.3" footer="0.3"/>
  <pageSetup orientation="portrait" r:id="rId1"/>
  <headerFooter>
    <oddHeader>&amp;L&amp;"Calibri"&amp;11&amp;K0078D7Classification: Mobily INTERNAL USE&amp;1#</oddHeader>
    <oddFooter>&amp;C&amp;1#&amp;"Calibri"&amp;11&amp;K0078D7INTERNAL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24</vt:i4>
      </vt:variant>
    </vt:vector>
  </HeadingPairs>
  <TitlesOfParts>
    <vt:vector size="24" baseType="lpstr">
      <vt:lpstr>تكاليف المنتجات</vt:lpstr>
      <vt:lpstr>قوائم المشاوي وخياراتها</vt:lpstr>
      <vt:lpstr>تكلفةالمشاوي واحتماليات الاطباق</vt:lpstr>
      <vt:lpstr>ملخص التكلفة (بدون المشاوي)</vt:lpstr>
      <vt:lpstr>قائمة التقارير</vt:lpstr>
      <vt:lpstr>الاصول الثابتة</vt:lpstr>
      <vt:lpstr>الميزانية الشهرية المتوقعة</vt:lpstr>
      <vt:lpstr>المخزون</vt:lpstr>
      <vt:lpstr>الايراد اليومي</vt:lpstr>
      <vt:lpstr>تطبيقات التوصيل</vt:lpstr>
      <vt:lpstr>الايراد الشهري</vt:lpstr>
      <vt:lpstr>قائمة الدخل</vt:lpstr>
      <vt:lpstr>التدفقات النقدية</vt:lpstr>
      <vt:lpstr>المركز المالي</vt:lpstr>
      <vt:lpstr>المصروفات التشغيلية</vt:lpstr>
      <vt:lpstr>ورقة1</vt:lpstr>
      <vt:lpstr>عهدة المصروفات</vt:lpstr>
      <vt:lpstr>مشتريات الموردين</vt:lpstr>
      <vt:lpstr>حسابات الموردين</vt:lpstr>
      <vt:lpstr>ملخص مشتريات</vt:lpstr>
      <vt:lpstr>نموذج تفاصيل العهدة</vt:lpstr>
      <vt:lpstr>المصروفات الثابتة</vt:lpstr>
      <vt:lpstr>حساب الاطباق الجانبية</vt:lpstr>
      <vt:lpstr>أهداف المنتجات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hamadd09152</dc:creator>
  <cp:keywords/>
  <dc:description/>
  <cp:lastModifiedBy>abu gassan</cp:lastModifiedBy>
  <cp:revision/>
  <cp:lastPrinted>2022-12-23T23:59:09Z</cp:lastPrinted>
  <dcterms:created xsi:type="dcterms:W3CDTF">2015-06-05T18:17:20Z</dcterms:created>
  <dcterms:modified xsi:type="dcterms:W3CDTF">2023-07-07T11:50:49Z</dcterms:modified>
  <cp:category/>
  <cp:contentStatus/>
</cp:coreProperties>
</file>