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8730"/>
  <workbookPr/>
  <mc:AlternateContent xmlns:mc="http://schemas.openxmlformats.org/markup-compatibility/2006">
    <mc:Choice Requires="x15">
      <x15ac:absPath xmlns:x15ac="http://schemas.microsoft.com/office/spreadsheetml/2010/11/ac" url="https://d.docs.live.net/3fffc026a04b74c6/سطح المكتب/"/>
    </mc:Choice>
  </mc:AlternateContent>
  <xr:revisionPtr revIDLastSave="87" documentId="11_2C44BDEC2040C98AC652E4893CB0C0001998AE2F" xr6:coauthVersionLast="47" xr6:coauthVersionMax="47" xr10:uidLastSave="{64287FBA-3707-4E36-970E-E478307A4A8D}"/>
  <bookViews>
    <workbookView xWindow="-108" yWindow="-108" windowWidth="23256" windowHeight="12456" xr2:uid="{00000000-000D-0000-FFFF-FFFF00000000}"/>
  </bookViews>
  <sheets>
    <sheet name="ورقة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I82" i="1" l="1"/>
  <c r="I83" i="1" s="1"/>
  <c r="H82" i="1"/>
  <c r="H83" i="1" s="1"/>
  <c r="G82" i="1"/>
  <c r="G83" i="1" s="1"/>
  <c r="J82" i="1"/>
  <c r="K80" i="1"/>
  <c r="K79" i="1"/>
  <c r="K78" i="1"/>
  <c r="K77" i="1"/>
  <c r="K76" i="1"/>
  <c r="K75" i="1"/>
  <c r="K74" i="1"/>
  <c r="K73" i="1"/>
  <c r="K72" i="1"/>
  <c r="K71" i="1"/>
  <c r="K70" i="1"/>
  <c r="K69" i="1"/>
  <c r="K68" i="1"/>
  <c r="K67" i="1"/>
  <c r="K66" i="1"/>
  <c r="K65" i="1"/>
  <c r="K64" i="1"/>
  <c r="K63" i="1"/>
  <c r="K62" i="1"/>
  <c r="K61" i="1"/>
  <c r="K60" i="1"/>
  <c r="J54" i="1"/>
  <c r="J55" i="1" s="1"/>
  <c r="I54" i="1"/>
  <c r="I55" i="1" s="1"/>
  <c r="H54" i="1"/>
  <c r="H55" i="1" s="1"/>
  <c r="G54" i="1"/>
  <c r="G55" i="1" s="1"/>
  <c r="K53" i="1"/>
  <c r="K52" i="1"/>
  <c r="K51" i="1"/>
  <c r="K50" i="1"/>
  <c r="K49" i="1"/>
  <c r="K48" i="1"/>
  <c r="K47" i="1"/>
  <c r="K46" i="1"/>
  <c r="K45" i="1"/>
  <c r="K44" i="1"/>
  <c r="K43" i="1"/>
  <c r="K42" i="1"/>
  <c r="K41" i="1"/>
  <c r="K40" i="1"/>
  <c r="K39" i="1"/>
  <c r="K38" i="1"/>
  <c r="K37" i="1"/>
  <c r="K36" i="1"/>
  <c r="K35" i="1"/>
  <c r="K34" i="1"/>
  <c r="K33" i="1"/>
  <c r="K32" i="1"/>
  <c r="J25" i="1"/>
  <c r="J26" i="1" s="1"/>
  <c r="I25" i="1"/>
  <c r="I26" i="1" s="1"/>
  <c r="H25" i="1"/>
  <c r="H26" i="1" s="1"/>
  <c r="G25" i="1"/>
  <c r="G26" i="1" s="1"/>
  <c r="K24" i="1"/>
  <c r="K23" i="1"/>
  <c r="K22" i="1"/>
  <c r="K21" i="1"/>
  <c r="K20" i="1"/>
  <c r="K19" i="1"/>
  <c r="K18" i="1"/>
  <c r="K17" i="1"/>
  <c r="K16" i="1"/>
  <c r="K15" i="1"/>
  <c r="K14" i="1"/>
  <c r="K13" i="1"/>
  <c r="K12" i="1"/>
  <c r="K11" i="1"/>
  <c r="K10" i="1"/>
  <c r="K9" i="1"/>
  <c r="K8" i="1"/>
  <c r="K7" i="1"/>
  <c r="K6" i="1"/>
  <c r="K5" i="1"/>
  <c r="K4" i="1"/>
  <c r="K82" i="1" l="1"/>
  <c r="K25" i="1"/>
  <c r="K26" i="1" s="1"/>
</calcChain>
</file>

<file path=xl/sharedStrings.xml><?xml version="1.0" encoding="utf-8"?>
<sst xmlns="http://schemas.openxmlformats.org/spreadsheetml/2006/main" count="91" uniqueCount="41">
  <si>
    <t>تقرير تكاليف  فرع</t>
  </si>
  <si>
    <t xml:space="preserve"> حطين</t>
  </si>
  <si>
    <t>اسم المصروف</t>
  </si>
  <si>
    <t>شهر يناير</t>
  </si>
  <si>
    <t>شهر فبراير</t>
  </si>
  <si>
    <t>شهر مارس</t>
  </si>
  <si>
    <t>شهر ابريل</t>
  </si>
  <si>
    <t>الإجمالي</t>
  </si>
  <si>
    <t>المبيعات</t>
  </si>
  <si>
    <t>مشتريات</t>
  </si>
  <si>
    <t>علانات</t>
  </si>
  <si>
    <t>عمولة التطبيقات</t>
  </si>
  <si>
    <t>الرواتب مؤظفين المطعم</t>
  </si>
  <si>
    <t>رواتب سعودة</t>
  </si>
  <si>
    <t>الإيجارات المحلات</t>
  </si>
  <si>
    <t>كهرباء المحلات</t>
  </si>
  <si>
    <t>تجديد الإقامة</t>
  </si>
  <si>
    <t>غاز</t>
  </si>
  <si>
    <t>كروات بلدية</t>
  </si>
  <si>
    <t>ترحيل  مؤظفين</t>
  </si>
  <si>
    <t>عائشة</t>
  </si>
  <si>
    <t>تامين طبي</t>
  </si>
  <si>
    <t>التامينات</t>
  </si>
  <si>
    <t>ايجار سكن  سكن الاعمال</t>
  </si>
  <si>
    <t>رواتب الإداريين</t>
  </si>
  <si>
    <t>علاج وأداء</t>
  </si>
  <si>
    <t>كهرباء سكن العمال</t>
  </si>
  <si>
    <t>هاتف ونترنت المحلات</t>
  </si>
  <si>
    <t>هاتف ونترنت الإداريين</t>
  </si>
  <si>
    <t>اجدمالي المصاريف</t>
  </si>
  <si>
    <t>ربح / خسائره</t>
  </si>
  <si>
    <t xml:space="preserve"> السلميانية</t>
  </si>
  <si>
    <t>كهرباء محل السلميانية</t>
  </si>
  <si>
    <t>رواتب الاادرين</t>
  </si>
  <si>
    <t>صيانة</t>
  </si>
  <si>
    <t>علاج ودواء</t>
  </si>
  <si>
    <t>اجمالي المصاريف</t>
  </si>
  <si>
    <t>ربح / خسائرة</t>
  </si>
  <si>
    <t xml:space="preserve"> الروضة</t>
  </si>
  <si>
    <t xml:space="preserve">الإيجارات المحلات </t>
  </si>
  <si>
    <t>علاج وادواء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</si>
</sst>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3" formatCode="_-* #,##0.00_-;\-* #,##0.00_-;_-* &quot;-&quot;??_-;_-@_-"/>
    <numFmt numFmtId="164" formatCode="_(* #,##0.00_);_(* \(#,##0.00\);_(* &quot;-&quot;??_);_(@_)"/>
  </numFmts>
  <fonts count="4" x14ac:knownFonts="1">
    <font>
      <sz val="11"/>
      <color theme="1"/>
      <name val="Arial"/>
      <family val="2"/>
      <scheme val="minor"/>
    </font>
    <font>
      <sz val="11"/>
      <color theme="1"/>
      <name val="Arial"/>
      <family val="2"/>
      <scheme val="minor"/>
    </font>
    <font>
      <b/>
      <sz val="11"/>
      <color theme="0"/>
      <name val="Arial"/>
      <family val="2"/>
      <scheme val="minor"/>
    </font>
    <font>
      <sz val="11"/>
      <color rgb="FFFF0000"/>
      <name val="Arial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rgb="FF00B0F0"/>
        <bgColor indexed="64"/>
      </patternFill>
    </fill>
    <fill>
      <patternFill patternType="solid">
        <fgColor rgb="FFFFC000"/>
        <bgColor indexed="64"/>
      </patternFill>
    </fill>
  </fills>
  <borders count="3">
    <border>
      <left/>
      <right/>
      <top/>
      <bottom/>
      <diagonal/>
    </border>
    <border>
      <left style="double">
        <color auto="1"/>
      </left>
      <right style="double">
        <color auto="1"/>
      </right>
      <top style="double">
        <color auto="1"/>
      </top>
      <bottom style="double">
        <color auto="1"/>
      </bottom>
      <diagonal/>
    </border>
    <border>
      <left style="double">
        <color auto="1"/>
      </left>
      <right style="double">
        <color auto="1"/>
      </right>
      <top/>
      <bottom/>
      <diagonal/>
    </border>
  </borders>
  <cellStyleXfs count="2">
    <xf numFmtId="0" fontId="0" fillId="0" borderId="0"/>
    <xf numFmtId="43" fontId="1" fillId="0" borderId="0" applyFont="0" applyFill="0" applyBorder="0" applyAlignment="0" applyProtection="0"/>
  </cellStyleXfs>
  <cellXfs count="17">
    <xf numFmtId="0" fontId="0" fillId="0" borderId="0" xfId="0"/>
    <xf numFmtId="0" fontId="0" fillId="0" borderId="0" xfId="0" applyAlignment="1">
      <alignment horizontal="right" indent="9"/>
    </xf>
    <xf numFmtId="0" fontId="2" fillId="2" borderId="1" xfId="0" applyFont="1" applyFill="1" applyBorder="1"/>
    <xf numFmtId="0" fontId="3" fillId="0" borderId="1" xfId="0" applyFont="1" applyBorder="1"/>
    <xf numFmtId="43" fontId="0" fillId="0" borderId="1" xfId="1" applyFont="1" applyBorder="1"/>
    <xf numFmtId="43" fontId="0" fillId="0" borderId="1" xfId="0" applyNumberFormat="1" applyBorder="1"/>
    <xf numFmtId="0" fontId="0" fillId="0" borderId="1" xfId="0" applyBorder="1"/>
    <xf numFmtId="43" fontId="0" fillId="0" borderId="0" xfId="1" applyFont="1"/>
    <xf numFmtId="43" fontId="3" fillId="0" borderId="1" xfId="1" applyFont="1" applyBorder="1"/>
    <xf numFmtId="0" fontId="0" fillId="2" borderId="1" xfId="0" applyFill="1" applyBorder="1"/>
    <xf numFmtId="43" fontId="0" fillId="2" borderId="1" xfId="0" applyNumberFormat="1" applyFill="1" applyBorder="1"/>
    <xf numFmtId="43" fontId="0" fillId="0" borderId="0" xfId="0" applyNumberFormat="1"/>
    <xf numFmtId="164" fontId="0" fillId="0" borderId="1" xfId="0" applyNumberFormat="1" applyBorder="1"/>
    <xf numFmtId="0" fontId="0" fillId="0" borderId="2" xfId="0" applyBorder="1"/>
    <xf numFmtId="0" fontId="0" fillId="3" borderId="1" xfId="0" applyFill="1" applyBorder="1"/>
    <xf numFmtId="164" fontId="0" fillId="3" borderId="1" xfId="0" applyNumberFormat="1" applyFill="1" applyBorder="1"/>
    <xf numFmtId="43" fontId="0" fillId="3" borderId="1" xfId="0" applyNumberFormat="1" applyFill="1" applyBorder="1"/>
  </cellXfs>
  <cellStyles count="2">
    <cellStyle name="Comma" xfId="1" builtinId="3"/>
    <cellStyle name="عادي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F1:N84"/>
  <sheetViews>
    <sheetView rightToLeft="1" tabSelected="1" topLeftCell="C1" zoomScale="130" workbookViewId="0">
      <selection activeCell="D62" sqref="D62"/>
    </sheetView>
  </sheetViews>
  <sheetFormatPr defaultRowHeight="13.8" x14ac:dyDescent="0.25"/>
  <cols>
    <col min="6" max="6" width="15.59765625" bestFit="1" customWidth="1"/>
    <col min="7" max="7" width="11.59765625" bestFit="1" customWidth="1"/>
    <col min="8" max="8" width="18.3984375" bestFit="1" customWidth="1"/>
    <col min="9" max="9" width="16" customWidth="1"/>
    <col min="10" max="10" width="15.5" customWidth="1"/>
    <col min="11" max="11" width="12.3984375" bestFit="1" customWidth="1"/>
    <col min="13" max="13" width="10.09765625" bestFit="1" customWidth="1"/>
    <col min="14" max="14" width="11.09765625" bestFit="1" customWidth="1"/>
  </cols>
  <sheetData>
    <row r="1" spans="6:14" x14ac:dyDescent="0.25">
      <c r="G1" s="1" t="s">
        <v>0</v>
      </c>
      <c r="H1" s="1" t="s">
        <v>1</v>
      </c>
      <c r="I1" s="1"/>
      <c r="J1" s="1"/>
    </row>
    <row r="2" spans="6:14" ht="14.4" thickBot="1" x14ac:dyDescent="0.3"/>
    <row r="3" spans="6:14" ht="15" thickTop="1" thickBot="1" x14ac:dyDescent="0.3">
      <c r="F3" s="2" t="s">
        <v>2</v>
      </c>
      <c r="G3" s="2" t="s">
        <v>3</v>
      </c>
      <c r="H3" s="2" t="s">
        <v>4</v>
      </c>
      <c r="I3" s="2" t="s">
        <v>5</v>
      </c>
      <c r="J3" s="2" t="s">
        <v>6</v>
      </c>
      <c r="K3" s="2" t="s">
        <v>7</v>
      </c>
    </row>
    <row r="4" spans="6:14" ht="15" thickTop="1" thickBot="1" x14ac:dyDescent="0.3">
      <c r="F4" s="3" t="s">
        <v>8</v>
      </c>
      <c r="G4" s="4">
        <v>212201.73913043481</v>
      </c>
      <c r="H4" s="4">
        <v>168285.21739130435</v>
      </c>
      <c r="I4" s="4">
        <v>129036.52173913045</v>
      </c>
      <c r="J4" s="4">
        <v>0</v>
      </c>
      <c r="K4" s="5">
        <f>G4+H4+I4+J4</f>
        <v>509523.47826086957</v>
      </c>
    </row>
    <row r="5" spans="6:14" ht="15" thickTop="1" thickBot="1" x14ac:dyDescent="0.3">
      <c r="F5" s="6" t="s">
        <v>9</v>
      </c>
      <c r="G5" s="6">
        <v>59802.322154734502</v>
      </c>
      <c r="H5" s="6">
        <v>52387.939172167833</v>
      </c>
      <c r="I5" s="4">
        <v>49529.832318938621</v>
      </c>
      <c r="J5" s="6">
        <v>0</v>
      </c>
      <c r="K5" s="5">
        <f t="shared" ref="K5:K24" si="0">G5+H5+I5+J5</f>
        <v>161720.09364584097</v>
      </c>
    </row>
    <row r="6" spans="6:14" ht="15" thickTop="1" thickBot="1" x14ac:dyDescent="0.3">
      <c r="F6" s="6" t="s">
        <v>10</v>
      </c>
      <c r="G6" s="6">
        <v>15166.58639413287</v>
      </c>
      <c r="H6" s="6">
        <v>8224.659480364151</v>
      </c>
      <c r="I6" s="4">
        <v>10179.144704285793</v>
      </c>
      <c r="J6" s="6">
        <v>0</v>
      </c>
      <c r="K6" s="5">
        <f t="shared" si="0"/>
        <v>33570.390578782812</v>
      </c>
    </row>
    <row r="7" spans="6:14" ht="15" thickTop="1" thickBot="1" x14ac:dyDescent="0.3">
      <c r="F7" s="6" t="s">
        <v>11</v>
      </c>
      <c r="G7" s="6">
        <v>15252.536666666667</v>
      </c>
      <c r="H7" s="6">
        <v>12228.14</v>
      </c>
      <c r="I7" s="4">
        <v>12856.554999999998</v>
      </c>
      <c r="J7" s="6"/>
      <c r="K7" s="5">
        <f t="shared" si="0"/>
        <v>40337.231666666667</v>
      </c>
    </row>
    <row r="8" spans="6:14" ht="15" thickTop="1" thickBot="1" x14ac:dyDescent="0.3">
      <c r="F8" s="3" t="s">
        <v>12</v>
      </c>
      <c r="G8" s="4">
        <v>49600</v>
      </c>
      <c r="H8" s="4">
        <v>49600</v>
      </c>
      <c r="I8" s="4">
        <v>49600</v>
      </c>
      <c r="J8" s="4">
        <v>0</v>
      </c>
      <c r="K8" s="4">
        <f t="shared" si="0"/>
        <v>148800</v>
      </c>
    </row>
    <row r="9" spans="6:14" ht="15" thickTop="1" thickBot="1" x14ac:dyDescent="0.3">
      <c r="F9" s="3" t="s">
        <v>13</v>
      </c>
      <c r="G9" s="4">
        <v>3000</v>
      </c>
      <c r="H9" s="4">
        <v>3000</v>
      </c>
      <c r="I9" s="4">
        <v>3000</v>
      </c>
      <c r="J9" s="4">
        <v>0</v>
      </c>
      <c r="K9" s="4">
        <f t="shared" si="0"/>
        <v>9000</v>
      </c>
    </row>
    <row r="10" spans="6:14" ht="15" thickTop="1" thickBot="1" x14ac:dyDescent="0.3">
      <c r="F10" s="6" t="s">
        <v>14</v>
      </c>
      <c r="G10" s="4">
        <v>18750</v>
      </c>
      <c r="H10" s="6">
        <v>18750</v>
      </c>
      <c r="I10" s="6">
        <v>18750</v>
      </c>
      <c r="J10" s="6">
        <v>0</v>
      </c>
      <c r="K10" s="5">
        <f t="shared" si="0"/>
        <v>56250</v>
      </c>
    </row>
    <row r="11" spans="6:14" ht="15" thickTop="1" thickBot="1" x14ac:dyDescent="0.3">
      <c r="F11" s="3" t="s">
        <v>15</v>
      </c>
      <c r="G11" s="4">
        <v>2174.02</v>
      </c>
      <c r="H11" s="6">
        <v>2635.75</v>
      </c>
      <c r="I11" s="6"/>
      <c r="J11" s="6"/>
      <c r="K11" s="5">
        <f t="shared" si="0"/>
        <v>4809.7700000000004</v>
      </c>
    </row>
    <row r="12" spans="6:14" ht="15" thickTop="1" thickBot="1" x14ac:dyDescent="0.3">
      <c r="F12" s="3" t="s">
        <v>16</v>
      </c>
      <c r="G12" s="4">
        <v>10344</v>
      </c>
      <c r="H12" s="4">
        <v>10344</v>
      </c>
      <c r="I12" s="4">
        <v>10344</v>
      </c>
      <c r="J12" s="4">
        <v>0</v>
      </c>
      <c r="K12" s="5">
        <f t="shared" si="0"/>
        <v>31032</v>
      </c>
      <c r="N12" s="7"/>
    </row>
    <row r="13" spans="6:14" ht="15" thickTop="1" thickBot="1" x14ac:dyDescent="0.3">
      <c r="F13" s="3" t="s">
        <v>17</v>
      </c>
      <c r="G13" s="8">
        <v>1700</v>
      </c>
      <c r="H13" s="3">
        <v>1500</v>
      </c>
      <c r="I13" s="3">
        <v>1420</v>
      </c>
      <c r="J13" s="3">
        <v>0</v>
      </c>
      <c r="K13" s="5">
        <f t="shared" si="0"/>
        <v>4620</v>
      </c>
    </row>
    <row r="14" spans="6:14" ht="15" thickTop="1" thickBot="1" x14ac:dyDescent="0.3">
      <c r="F14" s="6" t="s">
        <v>18</v>
      </c>
      <c r="G14" s="4">
        <v>467</v>
      </c>
      <c r="H14" s="6">
        <v>467</v>
      </c>
      <c r="I14" s="6">
        <v>467</v>
      </c>
      <c r="J14" s="6">
        <v>0</v>
      </c>
      <c r="K14" s="5">
        <f t="shared" si="0"/>
        <v>1401</v>
      </c>
    </row>
    <row r="15" spans="6:14" ht="15" thickTop="1" thickBot="1" x14ac:dyDescent="0.3">
      <c r="F15" s="3" t="s">
        <v>19</v>
      </c>
      <c r="G15" s="4">
        <v>3750</v>
      </c>
      <c r="H15" s="6">
        <v>3750</v>
      </c>
      <c r="I15" s="6">
        <v>3750</v>
      </c>
      <c r="J15" s="6">
        <v>0</v>
      </c>
      <c r="K15" s="5">
        <f t="shared" si="0"/>
        <v>11250</v>
      </c>
    </row>
    <row r="16" spans="6:14" ht="15" thickTop="1" thickBot="1" x14ac:dyDescent="0.3">
      <c r="F16" s="6" t="s">
        <v>20</v>
      </c>
      <c r="G16" s="4">
        <v>1500</v>
      </c>
      <c r="H16" s="6">
        <v>1500</v>
      </c>
      <c r="I16" s="6">
        <v>1500</v>
      </c>
      <c r="J16" s="6">
        <v>0</v>
      </c>
      <c r="K16" s="5">
        <f t="shared" si="0"/>
        <v>4500</v>
      </c>
    </row>
    <row r="17" spans="6:11" ht="15" thickTop="1" thickBot="1" x14ac:dyDescent="0.3">
      <c r="F17" s="6" t="s">
        <v>21</v>
      </c>
      <c r="G17" s="4">
        <v>100.33333333333334</v>
      </c>
      <c r="H17" s="6">
        <v>100.33</v>
      </c>
      <c r="I17" s="6">
        <v>100.33</v>
      </c>
      <c r="J17" s="6">
        <v>0</v>
      </c>
      <c r="K17" s="5">
        <f t="shared" si="0"/>
        <v>300.99333333333334</v>
      </c>
    </row>
    <row r="18" spans="6:11" ht="15" thickTop="1" thickBot="1" x14ac:dyDescent="0.3">
      <c r="F18" s="6" t="s">
        <v>22</v>
      </c>
      <c r="G18" s="4">
        <v>2962.33</v>
      </c>
      <c r="H18" s="6">
        <v>2925.33</v>
      </c>
      <c r="I18" s="6">
        <v>2617</v>
      </c>
      <c r="J18" s="6">
        <v>0</v>
      </c>
      <c r="K18" s="5">
        <f t="shared" si="0"/>
        <v>8504.66</v>
      </c>
    </row>
    <row r="19" spans="6:11" ht="15" thickTop="1" thickBot="1" x14ac:dyDescent="0.3">
      <c r="F19" s="6" t="s">
        <v>23</v>
      </c>
      <c r="G19" s="4">
        <v>1250</v>
      </c>
      <c r="H19" s="6">
        <v>1250</v>
      </c>
      <c r="I19" s="6">
        <v>1250</v>
      </c>
      <c r="J19" s="6">
        <v>0</v>
      </c>
      <c r="K19" s="5">
        <f t="shared" si="0"/>
        <v>3750</v>
      </c>
    </row>
    <row r="20" spans="6:11" ht="15" thickTop="1" thickBot="1" x14ac:dyDescent="0.3">
      <c r="F20" s="3" t="s">
        <v>24</v>
      </c>
      <c r="G20" s="4">
        <v>1733.33</v>
      </c>
      <c r="H20" s="4">
        <v>1733.33</v>
      </c>
      <c r="I20" s="4">
        <v>1733.33</v>
      </c>
      <c r="J20" s="4">
        <v>0</v>
      </c>
      <c r="K20" s="5">
        <f t="shared" si="0"/>
        <v>5199.99</v>
      </c>
    </row>
    <row r="21" spans="6:11" ht="15" thickTop="1" thickBot="1" x14ac:dyDescent="0.3">
      <c r="F21" s="6" t="s">
        <v>25</v>
      </c>
      <c r="G21" s="4">
        <v>270</v>
      </c>
      <c r="H21" s="6">
        <v>500</v>
      </c>
      <c r="I21" s="6">
        <v>300</v>
      </c>
      <c r="J21" s="6">
        <v>0</v>
      </c>
      <c r="K21" s="5">
        <f t="shared" si="0"/>
        <v>1070</v>
      </c>
    </row>
    <row r="22" spans="6:11" ht="15" thickTop="1" thickBot="1" x14ac:dyDescent="0.3">
      <c r="F22" s="6" t="s">
        <v>26</v>
      </c>
      <c r="G22" s="4">
        <v>187.5</v>
      </c>
      <c r="H22" s="6">
        <v>610</v>
      </c>
      <c r="I22" s="6">
        <v>525</v>
      </c>
      <c r="J22" s="6">
        <v>0</v>
      </c>
      <c r="K22" s="5">
        <f t="shared" si="0"/>
        <v>1322.5</v>
      </c>
    </row>
    <row r="23" spans="6:11" ht="15" thickTop="1" thickBot="1" x14ac:dyDescent="0.3">
      <c r="F23" s="6" t="s">
        <v>27</v>
      </c>
      <c r="G23" s="4">
        <v>600</v>
      </c>
      <c r="H23" s="6">
        <v>600</v>
      </c>
      <c r="I23" s="6">
        <v>600</v>
      </c>
      <c r="J23" s="6">
        <v>0</v>
      </c>
      <c r="K23" s="5">
        <f t="shared" si="0"/>
        <v>1800</v>
      </c>
    </row>
    <row r="24" spans="6:11" ht="15" thickTop="1" thickBot="1" x14ac:dyDescent="0.3">
      <c r="F24" s="3" t="s">
        <v>28</v>
      </c>
      <c r="G24" s="4">
        <v>135</v>
      </c>
      <c r="H24" s="6">
        <v>135</v>
      </c>
      <c r="I24" s="6">
        <v>135</v>
      </c>
      <c r="J24" s="6">
        <v>0</v>
      </c>
      <c r="K24" s="5">
        <f t="shared" si="0"/>
        <v>405</v>
      </c>
    </row>
    <row r="25" spans="6:11" ht="15" thickTop="1" thickBot="1" x14ac:dyDescent="0.3">
      <c r="F25" s="6" t="s">
        <v>29</v>
      </c>
      <c r="G25" s="6">
        <f>SUM(G5:G24)</f>
        <v>188744.95854886735</v>
      </c>
      <c r="H25" s="6">
        <f t="shared" ref="H25:K25" si="1">SUM(H5:H24)</f>
        <v>172241.47865253195</v>
      </c>
      <c r="I25" s="6">
        <f t="shared" si="1"/>
        <v>168657.19202322437</v>
      </c>
      <c r="J25" s="6">
        <f t="shared" si="1"/>
        <v>0</v>
      </c>
      <c r="K25" s="6">
        <f t="shared" si="1"/>
        <v>529643.62922462379</v>
      </c>
    </row>
    <row r="26" spans="6:11" ht="15" thickTop="1" thickBot="1" x14ac:dyDescent="0.3">
      <c r="F26" s="9" t="s">
        <v>30</v>
      </c>
      <c r="G26" s="10">
        <f>G4-G25</f>
        <v>23456.780581567466</v>
      </c>
      <c r="H26" s="10">
        <f t="shared" ref="H26:K26" si="2">H4-H25</f>
        <v>-3956.2612612275989</v>
      </c>
      <c r="I26" s="10">
        <f t="shared" si="2"/>
        <v>-39620.670284093925</v>
      </c>
      <c r="J26" s="10">
        <f t="shared" si="2"/>
        <v>0</v>
      </c>
      <c r="K26" s="10">
        <f t="shared" si="2"/>
        <v>-20120.150963754219</v>
      </c>
    </row>
    <row r="27" spans="6:11" ht="14.4" thickTop="1" x14ac:dyDescent="0.25"/>
    <row r="29" spans="6:11" x14ac:dyDescent="0.25">
      <c r="I29" t="s">
        <v>31</v>
      </c>
    </row>
    <row r="30" spans="6:11" ht="14.4" thickBot="1" x14ac:dyDescent="0.3"/>
    <row r="31" spans="6:11" ht="15" thickTop="1" thickBot="1" x14ac:dyDescent="0.3">
      <c r="F31" s="2" t="s">
        <v>2</v>
      </c>
      <c r="G31" s="2" t="s">
        <v>3</v>
      </c>
      <c r="H31" s="2" t="s">
        <v>4</v>
      </c>
      <c r="I31" s="2" t="s">
        <v>5</v>
      </c>
      <c r="J31" s="2" t="s">
        <v>6</v>
      </c>
      <c r="K31" s="2" t="s">
        <v>7</v>
      </c>
    </row>
    <row r="32" spans="6:11" ht="15" thickTop="1" thickBot="1" x14ac:dyDescent="0.3">
      <c r="F32" s="3" t="s">
        <v>8</v>
      </c>
      <c r="G32" s="4">
        <v>122239.13043478262</v>
      </c>
      <c r="H32" s="4">
        <v>70467.826086956527</v>
      </c>
      <c r="I32" s="4">
        <v>44660.869565217392</v>
      </c>
      <c r="J32" s="4">
        <v>0</v>
      </c>
      <c r="K32" s="4">
        <f>SUM(G32:J32)</f>
        <v>237367.82608695654</v>
      </c>
    </row>
    <row r="33" spans="6:14" ht="15" thickTop="1" thickBot="1" x14ac:dyDescent="0.3">
      <c r="F33" s="6" t="s">
        <v>9</v>
      </c>
      <c r="G33" s="4">
        <v>34449.217466978931</v>
      </c>
      <c r="H33" s="4">
        <v>21936.948734209713</v>
      </c>
      <c r="I33" s="4">
        <v>17142.785243818314</v>
      </c>
      <c r="J33" s="4">
        <v>0</v>
      </c>
      <c r="K33" s="4">
        <f t="shared" ref="K33:K53" si="3">SUM(G33:J33)</f>
        <v>73528.951445006955</v>
      </c>
    </row>
    <row r="34" spans="6:14" ht="15" thickTop="1" thickBot="1" x14ac:dyDescent="0.3">
      <c r="F34" s="6" t="s">
        <v>10</v>
      </c>
      <c r="G34" s="6">
        <v>8736.7348640966284</v>
      </c>
      <c r="H34" s="6">
        <v>3443.9975350840709</v>
      </c>
      <c r="I34" s="6">
        <v>3523.1068522030723</v>
      </c>
      <c r="J34" s="6">
        <v>0</v>
      </c>
      <c r="K34" s="4">
        <f t="shared" si="3"/>
        <v>15703.839251383772</v>
      </c>
    </row>
    <row r="35" spans="6:14" ht="15" thickTop="1" thickBot="1" x14ac:dyDescent="0.3">
      <c r="F35" s="6" t="s">
        <v>11</v>
      </c>
      <c r="G35" s="6">
        <v>11612.726666666666</v>
      </c>
      <c r="H35" s="6">
        <v>8806.91</v>
      </c>
      <c r="I35" s="6">
        <v>7412.3149999999996</v>
      </c>
      <c r="J35" s="6">
        <v>0</v>
      </c>
      <c r="K35" s="4">
        <f t="shared" si="3"/>
        <v>27831.951666666664</v>
      </c>
      <c r="M35" s="11"/>
      <c r="N35" s="7"/>
    </row>
    <row r="36" spans="6:14" ht="15" thickTop="1" thickBot="1" x14ac:dyDescent="0.3">
      <c r="F36" s="3" t="s">
        <v>12</v>
      </c>
      <c r="G36" s="4">
        <v>19900</v>
      </c>
      <c r="H36" s="4">
        <v>19900</v>
      </c>
      <c r="I36" s="4">
        <v>19900</v>
      </c>
      <c r="J36" s="4">
        <v>0</v>
      </c>
      <c r="K36" s="4">
        <f t="shared" si="3"/>
        <v>59700</v>
      </c>
    </row>
    <row r="37" spans="6:14" ht="15" thickTop="1" thickBot="1" x14ac:dyDescent="0.3">
      <c r="F37" s="3" t="s">
        <v>13</v>
      </c>
      <c r="G37" s="4">
        <v>3000</v>
      </c>
      <c r="H37" s="4">
        <v>3000</v>
      </c>
      <c r="I37" s="4">
        <v>3000</v>
      </c>
      <c r="J37" s="4">
        <v>0</v>
      </c>
      <c r="K37" s="4">
        <f t="shared" si="3"/>
        <v>9000</v>
      </c>
    </row>
    <row r="38" spans="6:14" ht="15" thickTop="1" thickBot="1" x14ac:dyDescent="0.3">
      <c r="F38" s="6" t="s">
        <v>14</v>
      </c>
      <c r="G38" s="4">
        <v>4166.666666666667</v>
      </c>
      <c r="H38" s="4">
        <v>4166.666666666667</v>
      </c>
      <c r="I38" s="4">
        <v>4166.666666666667</v>
      </c>
      <c r="J38" s="4">
        <v>0</v>
      </c>
      <c r="K38" s="4">
        <f t="shared" si="3"/>
        <v>12500</v>
      </c>
    </row>
    <row r="39" spans="6:14" ht="15" thickTop="1" thickBot="1" x14ac:dyDescent="0.3">
      <c r="F39" s="6" t="s">
        <v>32</v>
      </c>
      <c r="G39" s="6">
        <v>1179.3599999999999</v>
      </c>
      <c r="H39" s="6">
        <v>1205.1300000000001</v>
      </c>
      <c r="I39" s="6">
        <v>941.68</v>
      </c>
      <c r="J39" s="6">
        <v>0</v>
      </c>
      <c r="K39" s="4">
        <f t="shared" si="3"/>
        <v>3326.1699999999996</v>
      </c>
    </row>
    <row r="40" spans="6:14" ht="15" thickTop="1" thickBot="1" x14ac:dyDescent="0.3">
      <c r="F40" s="3" t="s">
        <v>16</v>
      </c>
      <c r="G40" s="4">
        <v>3448</v>
      </c>
      <c r="H40" s="4">
        <v>3448</v>
      </c>
      <c r="I40" s="4">
        <v>3448</v>
      </c>
      <c r="J40" s="4">
        <v>0</v>
      </c>
      <c r="K40" s="4">
        <f t="shared" si="3"/>
        <v>10344</v>
      </c>
    </row>
    <row r="41" spans="6:14" ht="15" thickTop="1" thickBot="1" x14ac:dyDescent="0.3">
      <c r="F41" s="3" t="s">
        <v>17</v>
      </c>
      <c r="G41" s="6">
        <v>820</v>
      </c>
      <c r="H41" s="6">
        <v>900</v>
      </c>
      <c r="I41" s="6">
        <v>1000</v>
      </c>
      <c r="J41" s="6">
        <v>0</v>
      </c>
      <c r="K41" s="4">
        <f t="shared" si="3"/>
        <v>2720</v>
      </c>
    </row>
    <row r="42" spans="6:14" ht="15" thickTop="1" thickBot="1" x14ac:dyDescent="0.3">
      <c r="F42" s="3" t="s">
        <v>18</v>
      </c>
      <c r="G42" s="6">
        <v>292</v>
      </c>
      <c r="H42" s="6">
        <v>292</v>
      </c>
      <c r="I42" s="6">
        <v>292</v>
      </c>
      <c r="J42" s="6">
        <v>0</v>
      </c>
      <c r="K42" s="4">
        <f t="shared" si="3"/>
        <v>876</v>
      </c>
    </row>
    <row r="43" spans="6:14" ht="15" thickTop="1" thickBot="1" x14ac:dyDescent="0.3">
      <c r="F43" s="6"/>
      <c r="G43" s="6"/>
      <c r="H43" s="6"/>
      <c r="I43" s="6"/>
      <c r="J43" s="6">
        <v>0</v>
      </c>
      <c r="K43" s="4">
        <f t="shared" si="3"/>
        <v>0</v>
      </c>
    </row>
    <row r="44" spans="6:14" ht="15" thickTop="1" thickBot="1" x14ac:dyDescent="0.3">
      <c r="F44" s="6" t="s">
        <v>20</v>
      </c>
      <c r="G44" s="6">
        <v>750</v>
      </c>
      <c r="H44" s="6">
        <v>750</v>
      </c>
      <c r="I44" s="6">
        <v>750</v>
      </c>
      <c r="J44" s="6">
        <v>0</v>
      </c>
      <c r="K44" s="4">
        <f t="shared" si="3"/>
        <v>2250</v>
      </c>
    </row>
    <row r="45" spans="6:14" ht="15" thickTop="1" thickBot="1" x14ac:dyDescent="0.3">
      <c r="F45" s="6" t="s">
        <v>21</v>
      </c>
      <c r="G45" s="6">
        <v>57.33</v>
      </c>
      <c r="H45" s="6">
        <v>57.33</v>
      </c>
      <c r="I45" s="6">
        <v>57.33</v>
      </c>
      <c r="J45" s="6">
        <v>0</v>
      </c>
      <c r="K45" s="4">
        <f t="shared" si="3"/>
        <v>171.99</v>
      </c>
    </row>
    <row r="46" spans="6:14" ht="15" thickTop="1" thickBot="1" x14ac:dyDescent="0.3">
      <c r="F46" s="6" t="s">
        <v>22</v>
      </c>
      <c r="G46" s="6">
        <v>2962.33</v>
      </c>
      <c r="H46" s="6">
        <v>2925.33</v>
      </c>
      <c r="I46" s="6">
        <v>2617</v>
      </c>
      <c r="J46" s="6">
        <v>0</v>
      </c>
      <c r="K46" s="4">
        <f t="shared" si="3"/>
        <v>8504.66</v>
      </c>
    </row>
    <row r="47" spans="6:14" ht="15" thickTop="1" thickBot="1" x14ac:dyDescent="0.3">
      <c r="F47" s="3" t="s">
        <v>23</v>
      </c>
      <c r="G47" s="6">
        <v>2500</v>
      </c>
      <c r="H47" s="6">
        <v>2500</v>
      </c>
      <c r="I47" s="6">
        <v>2500</v>
      </c>
      <c r="J47" s="6">
        <v>0</v>
      </c>
      <c r="K47" s="4">
        <f t="shared" si="3"/>
        <v>7500</v>
      </c>
    </row>
    <row r="48" spans="6:14" ht="15" thickTop="1" thickBot="1" x14ac:dyDescent="0.3">
      <c r="F48" s="6" t="s">
        <v>33</v>
      </c>
      <c r="G48" s="4">
        <v>1733.3333</v>
      </c>
      <c r="H48" s="4">
        <v>1733.3333</v>
      </c>
      <c r="I48" s="6">
        <v>1733.3333</v>
      </c>
      <c r="J48" s="6">
        <v>0</v>
      </c>
      <c r="K48" s="4">
        <f t="shared" si="3"/>
        <v>5199.9998999999998</v>
      </c>
    </row>
    <row r="49" spans="6:11" ht="15" thickTop="1" thickBot="1" x14ac:dyDescent="0.3">
      <c r="F49" s="6" t="s">
        <v>34</v>
      </c>
      <c r="G49" s="6"/>
      <c r="H49" s="6"/>
      <c r="I49" s="6"/>
      <c r="J49" s="6">
        <v>0</v>
      </c>
      <c r="K49" s="4">
        <f>SUM(G49:J49)</f>
        <v>0</v>
      </c>
    </row>
    <row r="50" spans="6:11" ht="15" thickTop="1" thickBot="1" x14ac:dyDescent="0.3">
      <c r="F50" s="6" t="s">
        <v>26</v>
      </c>
      <c r="G50" s="6">
        <v>629.5</v>
      </c>
      <c r="H50" s="6">
        <v>629.5</v>
      </c>
      <c r="I50" s="6">
        <v>629.5</v>
      </c>
      <c r="J50" s="13">
        <v>0</v>
      </c>
      <c r="K50" s="4">
        <f t="shared" si="3"/>
        <v>1888.5</v>
      </c>
    </row>
    <row r="51" spans="6:11" ht="15" thickTop="1" thickBot="1" x14ac:dyDescent="0.3">
      <c r="F51" s="6" t="s">
        <v>27</v>
      </c>
      <c r="G51" s="6">
        <v>500</v>
      </c>
      <c r="H51" s="6">
        <v>500</v>
      </c>
      <c r="I51" s="6">
        <v>500</v>
      </c>
      <c r="J51" s="6">
        <v>0</v>
      </c>
      <c r="K51" s="4">
        <f t="shared" si="3"/>
        <v>1500</v>
      </c>
    </row>
    <row r="52" spans="6:11" ht="15" thickTop="1" thickBot="1" x14ac:dyDescent="0.3">
      <c r="F52" s="6" t="s">
        <v>28</v>
      </c>
      <c r="G52" s="4">
        <v>135</v>
      </c>
      <c r="H52" s="6">
        <v>135</v>
      </c>
      <c r="I52" s="6">
        <v>135</v>
      </c>
      <c r="J52" s="6">
        <v>0</v>
      </c>
      <c r="K52" s="4">
        <f t="shared" si="3"/>
        <v>405</v>
      </c>
    </row>
    <row r="53" spans="6:11" ht="15" thickTop="1" thickBot="1" x14ac:dyDescent="0.3">
      <c r="F53" s="6" t="s">
        <v>35</v>
      </c>
      <c r="G53" s="6"/>
      <c r="H53" s="6">
        <v>500</v>
      </c>
      <c r="I53" s="6"/>
      <c r="J53" s="6"/>
      <c r="K53" s="4">
        <f t="shared" si="3"/>
        <v>500</v>
      </c>
    </row>
    <row r="54" spans="6:11" ht="15" thickTop="1" thickBot="1" x14ac:dyDescent="0.3">
      <c r="F54" s="14" t="s">
        <v>36</v>
      </c>
      <c r="G54" s="15">
        <f>SUM(G33:G53)</f>
        <v>96872.198964408904</v>
      </c>
      <c r="H54" s="15">
        <f>SUM(H33:H53)</f>
        <v>76830.146235960448</v>
      </c>
      <c r="I54" s="15">
        <f>SUM(I33:I53)</f>
        <v>69748.717062688054</v>
      </c>
      <c r="J54" s="15">
        <f>SUM(J33:J53)</f>
        <v>0</v>
      </c>
      <c r="K54" s="14"/>
    </row>
    <row r="55" spans="6:11" ht="15" thickTop="1" thickBot="1" x14ac:dyDescent="0.3">
      <c r="F55" s="14" t="s">
        <v>37</v>
      </c>
      <c r="G55" s="16">
        <f>G32-G54</f>
        <v>25366.931470373718</v>
      </c>
      <c r="H55" s="16">
        <f>H32-H54</f>
        <v>-6362.320149003921</v>
      </c>
      <c r="I55" s="16">
        <f>I32-I54</f>
        <v>-25087.847497470662</v>
      </c>
      <c r="J55" s="16">
        <f>J32-J54</f>
        <v>0</v>
      </c>
      <c r="K55" s="14"/>
    </row>
    <row r="56" spans="6:11" ht="14.4" thickTop="1" x14ac:dyDescent="0.25"/>
    <row r="57" spans="6:11" x14ac:dyDescent="0.25">
      <c r="I57" t="s">
        <v>38</v>
      </c>
    </row>
    <row r="58" spans="6:11" ht="14.4" thickBot="1" x14ac:dyDescent="0.3"/>
    <row r="59" spans="6:11" ht="15" thickTop="1" thickBot="1" x14ac:dyDescent="0.3">
      <c r="F59" s="2" t="s">
        <v>2</v>
      </c>
      <c r="G59" s="2" t="s">
        <v>3</v>
      </c>
      <c r="H59" s="2" t="s">
        <v>4</v>
      </c>
      <c r="I59" s="2" t="s">
        <v>5</v>
      </c>
      <c r="J59" s="2" t="s">
        <v>6</v>
      </c>
      <c r="K59" s="2" t="s">
        <v>7</v>
      </c>
    </row>
    <row r="60" spans="6:11" ht="15" thickTop="1" thickBot="1" x14ac:dyDescent="0.3">
      <c r="F60" s="6" t="s">
        <v>8</v>
      </c>
      <c r="G60" s="4">
        <v>77231.304347826095</v>
      </c>
      <c r="H60" s="4">
        <v>47701.739130434784</v>
      </c>
      <c r="I60" s="4">
        <v>35832.17391304348</v>
      </c>
      <c r="J60" s="4">
        <v>0</v>
      </c>
      <c r="K60" s="12">
        <f>SUM(G60:J60)</f>
        <v>160765.21739130435</v>
      </c>
    </row>
    <row r="61" spans="6:11" ht="15" thickTop="1" thickBot="1" x14ac:dyDescent="0.3">
      <c r="F61" s="6" t="s">
        <v>9</v>
      </c>
      <c r="G61" s="4">
        <v>21765.190813069185</v>
      </c>
      <c r="H61" s="4">
        <v>14849.764267535502</v>
      </c>
      <c r="I61" s="4">
        <v>13753.947654634372</v>
      </c>
      <c r="J61" s="4">
        <v>0</v>
      </c>
      <c r="K61" s="12">
        <f t="shared" ref="K61:K80" si="4">SUM(G61:J61)</f>
        <v>50368.902735239062</v>
      </c>
    </row>
    <row r="62" spans="6:11" ht="15" thickTop="1" thickBot="1" x14ac:dyDescent="0.3">
      <c r="F62" s="6" t="s">
        <v>10</v>
      </c>
      <c r="G62" s="4">
        <v>5519.9135243791998</v>
      </c>
      <c r="H62" s="4">
        <v>2331.3429845517767</v>
      </c>
      <c r="I62" s="4">
        <v>2826.648443511137</v>
      </c>
      <c r="J62" s="6">
        <v>0</v>
      </c>
      <c r="K62" s="12">
        <f t="shared" si="4"/>
        <v>10677.904952442113</v>
      </c>
    </row>
    <row r="63" spans="6:11" ht="15" thickTop="1" thickBot="1" x14ac:dyDescent="0.3">
      <c r="F63" s="6" t="s">
        <v>11</v>
      </c>
      <c r="G63" s="4">
        <v>21918.786666666667</v>
      </c>
      <c r="H63" s="4">
        <v>13849.310000000001</v>
      </c>
      <c r="I63" s="4">
        <v>11365.009999999998</v>
      </c>
      <c r="J63" s="6">
        <v>0</v>
      </c>
      <c r="K63" s="12">
        <f t="shared" si="4"/>
        <v>47133.106666666659</v>
      </c>
    </row>
    <row r="64" spans="6:11" ht="15" thickTop="1" thickBot="1" x14ac:dyDescent="0.3">
      <c r="F64" s="3" t="s">
        <v>12</v>
      </c>
      <c r="G64" s="3">
        <v>10200</v>
      </c>
      <c r="H64" s="3">
        <v>10200</v>
      </c>
      <c r="I64" s="3">
        <v>10200</v>
      </c>
      <c r="J64" s="3">
        <v>0</v>
      </c>
      <c r="K64" s="12">
        <f t="shared" si="4"/>
        <v>30600</v>
      </c>
    </row>
    <row r="65" spans="6:14" ht="15" thickTop="1" thickBot="1" x14ac:dyDescent="0.3">
      <c r="F65" s="3" t="s">
        <v>13</v>
      </c>
      <c r="G65" s="3">
        <v>3000</v>
      </c>
      <c r="H65" s="3">
        <v>3000</v>
      </c>
      <c r="I65" s="3">
        <v>3000</v>
      </c>
      <c r="J65" s="3">
        <v>0</v>
      </c>
      <c r="K65" s="12">
        <f t="shared" si="4"/>
        <v>9000</v>
      </c>
    </row>
    <row r="66" spans="6:14" ht="15" thickTop="1" thickBot="1" x14ac:dyDescent="0.3">
      <c r="F66" s="3" t="s">
        <v>39</v>
      </c>
      <c r="G66" s="3">
        <v>5167</v>
      </c>
      <c r="H66" s="3">
        <v>5167</v>
      </c>
      <c r="I66" s="3">
        <v>5167</v>
      </c>
      <c r="J66" s="3">
        <v>0</v>
      </c>
      <c r="K66" s="12">
        <f t="shared" si="4"/>
        <v>15501</v>
      </c>
    </row>
    <row r="67" spans="6:14" ht="15" thickTop="1" thickBot="1" x14ac:dyDescent="0.3">
      <c r="F67" s="3" t="s">
        <v>15</v>
      </c>
      <c r="G67" s="3">
        <v>559</v>
      </c>
      <c r="H67" s="3">
        <v>559</v>
      </c>
      <c r="I67" s="3">
        <v>559</v>
      </c>
      <c r="J67" s="3">
        <v>0</v>
      </c>
      <c r="K67" s="12">
        <f t="shared" si="4"/>
        <v>1677</v>
      </c>
    </row>
    <row r="68" spans="6:14" ht="15" thickTop="1" thickBot="1" x14ac:dyDescent="0.3">
      <c r="F68" s="3" t="s">
        <v>16</v>
      </c>
      <c r="G68" s="3">
        <v>2586</v>
      </c>
      <c r="H68" s="3">
        <v>2586</v>
      </c>
      <c r="I68" s="3">
        <v>2586</v>
      </c>
      <c r="J68" s="3">
        <v>0</v>
      </c>
      <c r="K68" s="12">
        <f t="shared" si="4"/>
        <v>7758</v>
      </c>
    </row>
    <row r="69" spans="6:14" ht="15" thickTop="1" thickBot="1" x14ac:dyDescent="0.3">
      <c r="F69" s="3" t="s">
        <v>17</v>
      </c>
      <c r="G69" s="3">
        <v>850</v>
      </c>
      <c r="H69" s="3">
        <v>580</v>
      </c>
      <c r="I69" s="3">
        <v>350</v>
      </c>
      <c r="J69" s="3">
        <v>0</v>
      </c>
      <c r="K69" s="12">
        <f t="shared" si="4"/>
        <v>1780</v>
      </c>
      <c r="N69" s="7"/>
    </row>
    <row r="70" spans="6:14" ht="15" thickTop="1" thickBot="1" x14ac:dyDescent="0.3">
      <c r="F70" s="3" t="s">
        <v>18</v>
      </c>
      <c r="G70" s="3">
        <v>175</v>
      </c>
      <c r="H70" s="3">
        <v>175</v>
      </c>
      <c r="I70" s="3">
        <v>175</v>
      </c>
      <c r="J70" s="3">
        <v>0</v>
      </c>
      <c r="K70" s="12">
        <f t="shared" si="4"/>
        <v>525</v>
      </c>
    </row>
    <row r="71" spans="6:14" ht="15" thickTop="1" thickBot="1" x14ac:dyDescent="0.3">
      <c r="F71" s="3" t="s">
        <v>19</v>
      </c>
      <c r="G71" s="3">
        <v>3750</v>
      </c>
      <c r="H71" s="3">
        <v>3750</v>
      </c>
      <c r="I71" s="3">
        <v>3750</v>
      </c>
      <c r="J71" s="3">
        <v>0</v>
      </c>
      <c r="K71" s="12">
        <f t="shared" si="4"/>
        <v>11250</v>
      </c>
    </row>
    <row r="72" spans="6:14" ht="15" thickTop="1" thickBot="1" x14ac:dyDescent="0.3">
      <c r="F72" s="6" t="s">
        <v>20</v>
      </c>
      <c r="G72" s="3">
        <v>750</v>
      </c>
      <c r="H72" s="3">
        <v>750</v>
      </c>
      <c r="I72" s="3">
        <v>750</v>
      </c>
      <c r="J72" s="3">
        <v>0</v>
      </c>
      <c r="K72" s="12">
        <f t="shared" si="4"/>
        <v>2250</v>
      </c>
    </row>
    <row r="73" spans="6:14" ht="15" thickTop="1" thickBot="1" x14ac:dyDescent="0.3">
      <c r="F73" s="6" t="s">
        <v>21</v>
      </c>
      <c r="G73" s="8">
        <v>29</v>
      </c>
      <c r="H73" s="3">
        <v>29</v>
      </c>
      <c r="I73" s="3">
        <v>29</v>
      </c>
      <c r="J73" s="3">
        <v>0</v>
      </c>
      <c r="K73" s="12">
        <f t="shared" si="4"/>
        <v>87</v>
      </c>
    </row>
    <row r="74" spans="6:14" ht="15" thickTop="1" thickBot="1" x14ac:dyDescent="0.3">
      <c r="F74" s="6" t="s">
        <v>22</v>
      </c>
      <c r="G74" s="6">
        <v>2962.33</v>
      </c>
      <c r="H74" s="6">
        <v>2925.33</v>
      </c>
      <c r="I74" s="6">
        <v>2617</v>
      </c>
      <c r="J74" s="6"/>
      <c r="K74" s="12">
        <f t="shared" si="4"/>
        <v>8504.66</v>
      </c>
    </row>
    <row r="75" spans="6:14" ht="15" thickTop="1" thickBot="1" x14ac:dyDescent="0.3">
      <c r="F75" s="3" t="s">
        <v>23</v>
      </c>
      <c r="G75" s="4">
        <v>1250</v>
      </c>
      <c r="H75" s="6">
        <v>1250</v>
      </c>
      <c r="I75" s="6">
        <v>1250</v>
      </c>
      <c r="J75" s="6">
        <v>0</v>
      </c>
      <c r="K75" s="12">
        <f t="shared" si="4"/>
        <v>3750</v>
      </c>
    </row>
    <row r="76" spans="6:14" ht="15" thickTop="1" thickBot="1" x14ac:dyDescent="0.3">
      <c r="F76" s="3" t="s">
        <v>33</v>
      </c>
      <c r="G76" s="4">
        <v>1733.3333</v>
      </c>
      <c r="H76" s="6">
        <v>1733.33</v>
      </c>
      <c r="I76" s="6">
        <v>1733.33</v>
      </c>
      <c r="J76" s="4">
        <v>0</v>
      </c>
      <c r="K76" s="12">
        <f t="shared" si="4"/>
        <v>5199.9933000000001</v>
      </c>
    </row>
    <row r="77" spans="6:14" ht="15" thickTop="1" thickBot="1" x14ac:dyDescent="0.3">
      <c r="F77" s="6" t="s">
        <v>34</v>
      </c>
      <c r="G77" s="6"/>
      <c r="H77" s="6"/>
      <c r="I77" s="6"/>
      <c r="J77" s="6">
        <v>0</v>
      </c>
      <c r="K77" s="12">
        <f t="shared" si="4"/>
        <v>0</v>
      </c>
    </row>
    <row r="78" spans="6:14" ht="15" thickTop="1" thickBot="1" x14ac:dyDescent="0.3">
      <c r="F78" s="3" t="s">
        <v>26</v>
      </c>
      <c r="G78" s="6">
        <v>187.5</v>
      </c>
      <c r="H78" s="6">
        <v>610</v>
      </c>
      <c r="I78" s="6">
        <v>525</v>
      </c>
      <c r="J78" s="6"/>
      <c r="K78" s="12">
        <f t="shared" si="4"/>
        <v>1322.5</v>
      </c>
    </row>
    <row r="79" spans="6:14" ht="15" thickTop="1" thickBot="1" x14ac:dyDescent="0.3">
      <c r="F79" s="3" t="s">
        <v>27</v>
      </c>
      <c r="G79" s="6">
        <v>500</v>
      </c>
      <c r="H79" s="6">
        <v>500</v>
      </c>
      <c r="I79" s="6">
        <v>500</v>
      </c>
      <c r="J79" s="6">
        <v>0</v>
      </c>
      <c r="K79" s="12">
        <f t="shared" si="4"/>
        <v>1500</v>
      </c>
    </row>
    <row r="80" spans="6:14" ht="15" thickTop="1" thickBot="1" x14ac:dyDescent="0.3">
      <c r="F80" s="3" t="s">
        <v>28</v>
      </c>
      <c r="G80" s="6">
        <v>135</v>
      </c>
      <c r="H80" s="6">
        <v>135</v>
      </c>
      <c r="I80" s="6">
        <v>135</v>
      </c>
      <c r="J80" s="6">
        <v>0</v>
      </c>
      <c r="K80" s="12">
        <f t="shared" si="4"/>
        <v>405</v>
      </c>
    </row>
    <row r="81" spans="6:11" ht="15" thickTop="1" thickBot="1" x14ac:dyDescent="0.3">
      <c r="F81" s="3" t="s">
        <v>40</v>
      </c>
      <c r="G81" s="6">
        <v>800</v>
      </c>
      <c r="H81" s="6">
        <v>300</v>
      </c>
      <c r="I81" s="6">
        <v>500</v>
      </c>
      <c r="J81" s="6"/>
      <c r="K81" s="6"/>
    </row>
    <row r="82" spans="6:11" ht="15" thickTop="1" thickBot="1" x14ac:dyDescent="0.3">
      <c r="F82" s="6" t="s">
        <v>36</v>
      </c>
      <c r="G82" s="5">
        <f>SUM(G61:G81)</f>
        <v>83838.054304115052</v>
      </c>
      <c r="H82" s="5">
        <f>SUM(H61:H81)</f>
        <v>65280.077252087285</v>
      </c>
      <c r="I82" s="5">
        <f>SUM(I61:I81)</f>
        <v>61771.93609814551</v>
      </c>
      <c r="J82" s="5">
        <f t="shared" ref="J82:K82" si="5">SUM(J61:J81)</f>
        <v>0</v>
      </c>
      <c r="K82" s="5">
        <f t="shared" si="5"/>
        <v>209290.06765434783</v>
      </c>
    </row>
    <row r="83" spans="6:11" ht="15" thickTop="1" thickBot="1" x14ac:dyDescent="0.3">
      <c r="F83" s="6"/>
      <c r="G83" s="5">
        <f>G60-G82</f>
        <v>-6606.749956288957</v>
      </c>
      <c r="H83" s="5">
        <f>H60-H82</f>
        <v>-17578.338121652501</v>
      </c>
      <c r="I83" s="5">
        <f>I60-I82</f>
        <v>-25939.76218510203</v>
      </c>
      <c r="J83" s="6"/>
      <c r="K83" s="6"/>
    </row>
    <row r="84" spans="6:11" ht="14.4" thickTop="1" x14ac:dyDescent="0.25"/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أوراق العمل</vt:lpstr>
      </vt:variant>
      <vt:variant>
        <vt:i4>1</vt:i4>
      </vt:variant>
    </vt:vector>
  </HeadingPairs>
  <TitlesOfParts>
    <vt:vector size="1" baseType="lpstr">
      <vt:lpstr>ورقة1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adeeb ashameeri</dc:creator>
  <cp:lastModifiedBy>adeeb ashameeri</cp:lastModifiedBy>
  <dcterms:created xsi:type="dcterms:W3CDTF">2015-06-05T18:17:20Z</dcterms:created>
  <dcterms:modified xsi:type="dcterms:W3CDTF">2025-05-04T23:12:28Z</dcterms:modified>
</cp:coreProperties>
</file>