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fffc026a04b74c6/سطح المكتب/مجلد جديد/الموارد البشرية/نماذج/"/>
    </mc:Choice>
  </mc:AlternateContent>
  <xr:revisionPtr revIDLastSave="833" documentId="8_{23318C78-1EB8-4DB1-ABC1-743D4557C720}" xr6:coauthVersionLast="47" xr6:coauthVersionMax="47" xr10:uidLastSave="{6EF972BF-F87D-48C6-88C7-857FDEFDA1CE}"/>
  <bookViews>
    <workbookView xWindow="-120" yWindow="-120" windowWidth="29040" windowHeight="15840" tabRatio="624" firstSheet="2" activeTab="2" xr2:uid="{00000000-000D-0000-FFFF-FFFF00000000}"/>
  </bookViews>
  <sheets>
    <sheet name="قائمة الموظفين" sheetId="1" r:id="rId1"/>
    <sheet name="10001" sheetId="4" r:id="rId2"/>
    <sheet name="10000" sheetId="3" r:id="rId3"/>
    <sheet name="10002" sheetId="5" r:id="rId4"/>
    <sheet name="10003" sheetId="6" r:id="rId5"/>
    <sheet name="10004" sheetId="7" r:id="rId6"/>
    <sheet name="10005" sheetId="8" r:id="rId7"/>
    <sheet name="10006" sheetId="9" r:id="rId8"/>
    <sheet name="10007" sheetId="10" r:id="rId9"/>
    <sheet name="10008" sheetId="11" r:id="rId10"/>
    <sheet name="10009" sheetId="12" r:id="rId11"/>
    <sheet name="10011" sheetId="14" r:id="rId12"/>
    <sheet name="10010" sheetId="13" r:id="rId13"/>
    <sheet name="10012" sheetId="15" r:id="rId14"/>
    <sheet name="10013" sheetId="16" r:id="rId15"/>
    <sheet name="10014" sheetId="17" r:id="rId16"/>
    <sheet name="10015" sheetId="18" r:id="rId17"/>
    <sheet name="10016" sheetId="19" r:id="rId18"/>
    <sheet name="10017" sheetId="20" r:id="rId19"/>
    <sheet name="10018" sheetId="21" r:id="rId20"/>
    <sheet name="10019" sheetId="22" r:id="rId21"/>
    <sheet name="10020" sheetId="23" r:id="rId22"/>
    <sheet name="10021" sheetId="24" r:id="rId23"/>
    <sheet name="10022" sheetId="25" r:id="rId24"/>
    <sheet name="10023" sheetId="26" r:id="rId25"/>
    <sheet name="10024" sheetId="27" r:id="rId26"/>
    <sheet name="10025" sheetId="28" r:id="rId27"/>
    <sheet name="10026" sheetId="29" r:id="rId28"/>
    <sheet name="10027" sheetId="30" r:id="rId29"/>
    <sheet name="10028" sheetId="31" r:id="rId30"/>
    <sheet name="10029" sheetId="32" r:id="rId31"/>
    <sheet name="10030" sheetId="33" r:id="rId32"/>
    <sheet name="10031" sheetId="34" r:id="rId33"/>
    <sheet name="10032" sheetId="35" r:id="rId34"/>
    <sheet name="10033" sheetId="36" r:id="rId35"/>
    <sheet name="10034" sheetId="37" r:id="rId36"/>
    <sheet name="10035" sheetId="38" r:id="rId37"/>
    <sheet name="10036" sheetId="39" r:id="rId38"/>
    <sheet name="10037" sheetId="40" r:id="rId39"/>
    <sheet name="10038" sheetId="41" r:id="rId40"/>
    <sheet name="10039" sheetId="42" r:id="rId41"/>
    <sheet name="10040" sheetId="43" r:id="rId42"/>
    <sheet name="10041" sheetId="44" r:id="rId43"/>
    <sheet name="10042" sheetId="45" r:id="rId44"/>
    <sheet name="10043" sheetId="46" r:id="rId45"/>
    <sheet name="10044" sheetId="47" r:id="rId46"/>
    <sheet name="10045" sheetId="48" r:id="rId47"/>
    <sheet name="10046" sheetId="49" r:id="rId48"/>
    <sheet name="10047" sheetId="50" r:id="rId49"/>
    <sheet name="10048" sheetId="51" r:id="rId50"/>
    <sheet name="10049" sheetId="52" r:id="rId51"/>
    <sheet name="10050" sheetId="53" r:id="rId52"/>
    <sheet name="10051" sheetId="54" r:id="rId53"/>
    <sheet name="10052" sheetId="55" r:id="rId54"/>
    <sheet name="10053" sheetId="56" r:id="rId55"/>
    <sheet name="10054" sheetId="57" r:id="rId56"/>
    <sheet name="10055" sheetId="58" r:id="rId57"/>
    <sheet name="10056" sheetId="59" r:id="rId58"/>
    <sheet name="10057" sheetId="60" r:id="rId59"/>
    <sheet name="10058" sheetId="61" r:id="rId60"/>
    <sheet name="10059" sheetId="62" r:id="rId61"/>
    <sheet name="10060" sheetId="63" r:id="rId62"/>
    <sheet name="10061" sheetId="64" r:id="rId63"/>
    <sheet name="10062" sheetId="65" r:id="rId64"/>
    <sheet name="10063" sheetId="66" r:id="rId65"/>
    <sheet name="10064" sheetId="67" r:id="rId66"/>
    <sheet name="10065" sheetId="68" r:id="rId67"/>
    <sheet name="10066" sheetId="69" r:id="rId68"/>
    <sheet name="10067" sheetId="70" r:id="rId69"/>
    <sheet name="10068" sheetId="71" r:id="rId70"/>
    <sheet name="10069" sheetId="72" r:id="rId71"/>
    <sheet name="10070" sheetId="73" r:id="rId72"/>
    <sheet name="10071" sheetId="74" r:id="rId73"/>
    <sheet name="10072" sheetId="75" r:id="rId74"/>
    <sheet name="10073" sheetId="76" r:id="rId75"/>
    <sheet name="10074" sheetId="77" r:id="rId76"/>
    <sheet name="10075" sheetId="78" r:id="rId77"/>
    <sheet name="10076" sheetId="79" r:id="rId78"/>
    <sheet name="10077" sheetId="80" r:id="rId79"/>
    <sheet name="10078" sheetId="81" r:id="rId80"/>
    <sheet name="10079" sheetId="82" r:id="rId81"/>
  </sheets>
  <externalReferences>
    <externalReference r:id="rId82"/>
  </externalReferences>
  <definedNames>
    <definedName name="_xlnm._FilterDatabase" localSheetId="0" hidden="1">'قائمة الموظفين'!$A$3:$N$3</definedName>
    <definedName name="baxv" localSheetId="2">[1]!الجدول2[[#Headers],[#Data]]</definedName>
    <definedName name="baxv" localSheetId="1">[1]!الجدول2[[#Headers],[#Data]]</definedName>
    <definedName name="baxv" localSheetId="3">[1]!الجدول2[[#Headers],[#Data]]</definedName>
    <definedName name="baxv" localSheetId="4">[1]!الجدول2[[#Headers],[#Data]]</definedName>
    <definedName name="baxv" localSheetId="5">[1]!الجدول2[[#Headers],[#Data]]</definedName>
    <definedName name="baxv" localSheetId="6">[1]!الجدول2[[#Headers],[#Data]]</definedName>
    <definedName name="baxv" localSheetId="7">[1]!الجدول2[[#Headers],[#Data]]</definedName>
    <definedName name="baxv" localSheetId="8">[1]!الجدول2[[#Headers],[#Data]]</definedName>
    <definedName name="baxv" localSheetId="9">[1]!الجدول2[[#Headers],[#Data]]</definedName>
    <definedName name="baxv" localSheetId="10">[1]!الجدول2[[#Headers],[#Data]]</definedName>
    <definedName name="baxv" localSheetId="12">[1]!الجدول2[[#Headers],[#Data]]</definedName>
    <definedName name="baxv" localSheetId="11">[1]!الجدول2[[#Headers],[#Data]]</definedName>
    <definedName name="baxv" localSheetId="13">[1]!الجدول2[[#Headers],[#Data]]</definedName>
    <definedName name="baxv" localSheetId="14">[1]!الجدول2[[#Headers],[#Data]]</definedName>
    <definedName name="baxv" localSheetId="15">[1]!الجدول2[[#Headers],[#Data]]</definedName>
    <definedName name="baxv" localSheetId="16">[1]!الجدول2[[#Headers],[#Data]]</definedName>
    <definedName name="baxv" localSheetId="17">[1]!الجدول2[[#Headers],[#Data]]</definedName>
    <definedName name="baxv" localSheetId="18">[1]!الجدول2[[#Headers],[#Data]]</definedName>
    <definedName name="baxv" localSheetId="19">[1]!الجدول2[[#Headers],[#Data]]</definedName>
    <definedName name="baxv" localSheetId="20">[1]!الجدول2[[#Headers],[#Data]]</definedName>
    <definedName name="baxv" localSheetId="21">[1]!الجدول2[[#Headers],[#Data]]</definedName>
    <definedName name="baxv" localSheetId="22">[1]!الجدول2[[#Headers],[#Data]]</definedName>
    <definedName name="baxv" localSheetId="23">[1]!الجدول2[[#Headers],[#Data]]</definedName>
    <definedName name="baxv" localSheetId="24">[1]!الجدول2[[#Headers],[#Data]]</definedName>
    <definedName name="baxv" localSheetId="25">[1]!الجدول2[[#Headers],[#Data]]</definedName>
    <definedName name="baxv" localSheetId="26">[1]!الجدول2[[#Headers],[#Data]]</definedName>
    <definedName name="baxv" localSheetId="27">[1]!الجدول2[[#Headers],[#Data]]</definedName>
    <definedName name="baxv" localSheetId="28">[1]!الجدول2[[#Headers],[#Data]]</definedName>
    <definedName name="baxv" localSheetId="29">[1]!الجدول2[[#Headers],[#Data]]</definedName>
    <definedName name="baxv" localSheetId="30">[1]!الجدول2[[#Headers],[#Data]]</definedName>
    <definedName name="baxv" localSheetId="31">[1]!الجدول2[[#Headers],[#Data]]</definedName>
    <definedName name="baxv" localSheetId="32">[1]!الجدول2[[#Headers],[#Data]]</definedName>
    <definedName name="baxv" localSheetId="33">[1]!الجدول2[[#Headers],[#Data]]</definedName>
    <definedName name="baxv" localSheetId="34">[1]!الجدول2[[#Headers],[#Data]]</definedName>
    <definedName name="baxv" localSheetId="35">[1]!الجدول2[[#Headers],[#Data]]</definedName>
    <definedName name="baxv" localSheetId="36">[1]!الجدول2[[#Headers],[#Data]]</definedName>
    <definedName name="baxv" localSheetId="37">[1]!الجدول2[[#Headers],[#Data]]</definedName>
    <definedName name="baxv" localSheetId="38">[1]!الجدول2[[#Headers],[#Data]]</definedName>
    <definedName name="baxv" localSheetId="39">[1]!الجدول2[[#Headers],[#Data]]</definedName>
    <definedName name="baxv" localSheetId="40">[1]!الجدول2[[#Headers],[#Data]]</definedName>
    <definedName name="baxv" localSheetId="41">[1]!الجدول2[[#Headers],[#Data]]</definedName>
    <definedName name="baxv" localSheetId="42">[1]!الجدول2[[#Headers],[#Data]]</definedName>
    <definedName name="baxv" localSheetId="43">[1]!الجدول2[[#Headers],[#Data]]</definedName>
    <definedName name="baxv" localSheetId="44">[1]!الجدول2[[#Headers],[#Data]]</definedName>
    <definedName name="baxv" localSheetId="45">[1]!الجدول2[[#Headers],[#Data]]</definedName>
    <definedName name="baxv" localSheetId="46">[1]!الجدول2[[#Headers],[#Data]]</definedName>
    <definedName name="baxv" localSheetId="47">[1]!الجدول2[[#Headers],[#Data]]</definedName>
    <definedName name="baxv" localSheetId="48">[1]!الجدول2[[#Headers],[#Data]]</definedName>
    <definedName name="baxv" localSheetId="49">[1]!الجدول2[[#Headers],[#Data]]</definedName>
    <definedName name="baxv" localSheetId="50">[1]!الجدول2[[#Headers],[#Data]]</definedName>
    <definedName name="baxv" localSheetId="51">[1]!الجدول2[[#Headers],[#Data]]</definedName>
    <definedName name="baxv" localSheetId="52">[1]!الجدول2[[#Headers],[#Data]]</definedName>
    <definedName name="baxv" localSheetId="53">[1]!الجدول2[[#Headers],[#Data]]</definedName>
    <definedName name="baxv" localSheetId="54">[1]!الجدول2[[#Headers],[#Data]]</definedName>
    <definedName name="baxv" localSheetId="55">[1]!الجدول2[[#Headers],[#Data]]</definedName>
    <definedName name="baxv" localSheetId="56">[1]!الجدول2[[#Headers],[#Data]]</definedName>
    <definedName name="baxv" localSheetId="57">[1]!الجدول2[[#Headers],[#Data]]</definedName>
    <definedName name="baxv" localSheetId="58">[1]!الجدول2[[#Headers],[#Data]]</definedName>
    <definedName name="baxv" localSheetId="59">[1]!الجدول2[[#Headers],[#Data]]</definedName>
    <definedName name="baxv" localSheetId="60">[1]!الجدول2[[#Headers],[#Data]]</definedName>
    <definedName name="baxv" localSheetId="61">[1]!الجدول2[[#Headers],[#Data]]</definedName>
    <definedName name="baxv" localSheetId="62">[1]!الجدول2[[#Headers],[#Data]]</definedName>
    <definedName name="baxv" localSheetId="63">[1]!الجدول2[[#Headers],[#Data]]</definedName>
    <definedName name="baxv" localSheetId="64">[1]!الجدول2[[#Headers],[#Data]]</definedName>
    <definedName name="baxv" localSheetId="65">[1]!الجدول2[[#Headers],[#Data]]</definedName>
    <definedName name="baxv" localSheetId="66">[1]!الجدول2[[#Headers],[#Data]]</definedName>
    <definedName name="baxv" localSheetId="67">[1]!الجدول2[[#Headers],[#Data]]</definedName>
    <definedName name="baxv" localSheetId="68">[1]!الجدول2[[#Headers],[#Data]]</definedName>
    <definedName name="baxv" localSheetId="69">[1]!الجدول2[[#Headers],[#Data]]</definedName>
    <definedName name="baxv" localSheetId="70">[1]!الجدول2[[#Headers],[#Data]]</definedName>
    <definedName name="baxv" localSheetId="71">[1]!الجدول2[[#Headers],[#Data]]</definedName>
    <definedName name="baxv" localSheetId="72">[1]!الجدول2[[#Headers],[#Data]]</definedName>
    <definedName name="baxv" localSheetId="73">[1]!الجدول2[[#Headers],[#Data]]</definedName>
    <definedName name="baxv" localSheetId="74">[1]!الجدول2[[#Headers],[#Data]]</definedName>
    <definedName name="baxv" localSheetId="75">[1]!الجدول2[[#Headers],[#Data]]</definedName>
    <definedName name="baxv" localSheetId="76">[1]!الجدول2[[#Headers],[#Data]]</definedName>
    <definedName name="baxv" localSheetId="77">[1]!الجدول2[[#Headers],[#Data]]</definedName>
    <definedName name="baxv" localSheetId="78">[1]!الجدول2[[#Headers],[#Data]]</definedName>
    <definedName name="baxv" localSheetId="79">[1]!الجدول2[[#Headers],[#Data]]</definedName>
    <definedName name="baxv" localSheetId="80">[1]!الجدول2[[#Headers],[#Data]]</definedName>
    <definedName name="baxv">[1]!الجدول2[[#Headers],[#Data]]</definedName>
    <definedName name="change" localSheetId="1">Table1[[#Headers],[#Data],[السكن]:[مستحقات نهاية الخدمة]]</definedName>
    <definedName name="change" localSheetId="3">Table1[[#Headers],[#Data],[السكن]:[مستحقات نهاية الخدمة]]</definedName>
    <definedName name="change" localSheetId="4">Table1[[#Headers],[#Data],[السكن]:[مستحقات نهاية الخدمة]]</definedName>
    <definedName name="change" localSheetId="5">Table1[[#Headers],[#Data],[السكن]:[مستحقات نهاية الخدمة]]</definedName>
    <definedName name="change" localSheetId="6">Table1[[#Headers],[#Data],[السكن]:[مستحقات نهاية الخدمة]]</definedName>
    <definedName name="change" localSheetId="7">Table1[[#Headers],[#Data],[السكن]:[مستحقات نهاية الخدمة]]</definedName>
    <definedName name="change" localSheetId="8">Table1[[#Headers],[#Data],[السكن]:[مستحقات نهاية الخدمة]]</definedName>
    <definedName name="change" localSheetId="9">Table1[[#Headers],[#Data],[السكن]:[مستحقات نهاية الخدمة]]</definedName>
    <definedName name="change" localSheetId="12">Table1[[#Headers],[#Data],[السكن]:[مستحقات نهاية الخدمة]]</definedName>
    <definedName name="change" localSheetId="11">Table1[[#Headers],[#Data],[السكن]:[مستحقات نهاية الخدمة]]</definedName>
    <definedName name="change" localSheetId="13">Table1[[#Headers],[#Data],[السكن]:[مستحقات نهاية الخدمة]]</definedName>
    <definedName name="change" localSheetId="14">Table1[[#Headers],[#Data],[السكن]:[مستحقات نهاية الخدمة]]</definedName>
    <definedName name="change" localSheetId="15">Table1[[#Headers],[#Data],[السكن]:[مستحقات نهاية الخدمة]]</definedName>
    <definedName name="change" localSheetId="16">Table1[[#Headers],[#Data],[السكن]:[مستحقات نهاية الخدمة]]</definedName>
    <definedName name="change" localSheetId="17">Table1[[#Headers],[#Data],[السكن]:[مستحقات نهاية الخدمة]]</definedName>
    <definedName name="change" localSheetId="18">Table1[[#Headers],[#Data],[السكن]:[مستحقات نهاية الخدمة]]</definedName>
    <definedName name="change" localSheetId="19">Table1[[#Headers],[#Data],[السكن]:[مستحقات نهاية الخدمة]]</definedName>
    <definedName name="change" localSheetId="20">Table1[[#Headers],[#Data],[السكن]:[مستحقات نهاية الخدمة]]</definedName>
    <definedName name="change" localSheetId="22">Table1[[#Headers],[#Data],[السكن]:[مستحقات نهاية الخدمة]]</definedName>
    <definedName name="change" localSheetId="23">Table1[[#Headers],[#Data],[السكن]:[مستحقات نهاية الخدمة]]</definedName>
    <definedName name="change" localSheetId="24">Table1[[#Headers],[#Data],[السكن]:[مستحقات نهاية الخدمة]]</definedName>
    <definedName name="change" localSheetId="25">Table1[[#Headers],[#Data],[السكن]:[مستحقات نهاية الخدمة]]</definedName>
    <definedName name="change" localSheetId="26">Table1[[#Headers],[#Data],[السكن]:[مستحقات نهاية الخدمة]]</definedName>
    <definedName name="change" localSheetId="27">Table1[[#Headers],[#Data],[السكن]:[مستحقات نهاية الخدمة]]</definedName>
    <definedName name="change" localSheetId="28">Table1[[#Headers],[#Data],[السكن]:[مستحقات نهاية الخدمة]]</definedName>
    <definedName name="change" localSheetId="29">Table1[[#Headers],[#Data],[السكن]:[مستحقات نهاية الخدمة]]</definedName>
    <definedName name="change" localSheetId="30">Table1[[#Headers],[#Data],[السكن]:[مستحقات نهاية الخدمة]]</definedName>
    <definedName name="change" localSheetId="31">Table1[[#Headers],[#Data],[السكن]:[مستحقات نهاية الخدمة]]</definedName>
    <definedName name="change" localSheetId="32">Table1[[#Headers],[#Data],[السكن]:[مستحقات نهاية الخدمة]]</definedName>
    <definedName name="change" localSheetId="33">Table1[[#Headers],[#Data],[السكن]:[مستحقات نهاية الخدمة]]</definedName>
    <definedName name="change" localSheetId="34">Table1[[#Headers],[#Data],[السكن]:[مستحقات نهاية الخدمة]]</definedName>
    <definedName name="change" localSheetId="36">Table1[[#Headers],[#Data],[السكن]:[مستحقات نهاية الخدمة]]</definedName>
    <definedName name="change" localSheetId="37">Table1[[#Headers],[#Data],[السكن]:[مستحقات نهاية الخدمة]]</definedName>
    <definedName name="change" localSheetId="38">Table1[[#Headers],[#Data],[السكن]:[مستحقات نهاية الخدمة]]</definedName>
    <definedName name="change" localSheetId="39">Table1[[#Headers],[#Data],[السكن]:[مستحقات نهاية الخدمة]]</definedName>
    <definedName name="change" localSheetId="40">Table1[[#Headers],[#Data],[السكن]:[مستحقات نهاية الخدمة]]</definedName>
    <definedName name="change" localSheetId="41">Table1[[#Headers],[#Data],[السكن]:[مستحقات نهاية الخدمة]]</definedName>
    <definedName name="change" localSheetId="42">Table1[[#Headers],[#Data],[السكن]:[مستحقات نهاية الخدمة]]</definedName>
    <definedName name="change" localSheetId="43">Table1[[#Headers],[#Data],[السكن]:[مستحقات نهاية الخدمة]]</definedName>
    <definedName name="change" localSheetId="44">Table1[[#Headers],[#Data],[السكن]:[مستحقات نهاية الخدمة]]</definedName>
    <definedName name="change" localSheetId="45">Table1[[#Headers],[#Data],[السكن]:[مستحقات نهاية الخدمة]]</definedName>
    <definedName name="change" localSheetId="46">Table1[[#Headers],[#Data],[السكن]:[مستحقات نهاية الخدمة]]</definedName>
    <definedName name="change" localSheetId="47">Table1[[#Headers],[#Data],[السكن]:[مستحقات نهاية الخدمة]]</definedName>
    <definedName name="change" localSheetId="48">Table1[[#Headers],[#Data],[السكن]:[مستحقات نهاية الخدمة]]</definedName>
    <definedName name="change" localSheetId="49">Table1[[#Headers],[#Data],[السكن]:[مستحقات نهاية الخدمة]]</definedName>
    <definedName name="change" localSheetId="50">Table1[[#Headers],[#Data],[السكن]:[مستحقات نهاية الخدمة]]</definedName>
    <definedName name="change" localSheetId="52">Table1[[#Headers],[#Data],[السكن]:[مستحقات نهاية الخدمة]]</definedName>
    <definedName name="change" localSheetId="53">Table1[[#Headers],[#Data],[السكن]:[مستحقات نهاية الخدمة]]</definedName>
    <definedName name="change" localSheetId="54">Table1[[#Headers],[#Data],[السكن]:[مستحقات نهاية الخدمة]]</definedName>
    <definedName name="change" localSheetId="55">Table1[[#Headers],[#Data],[السكن]:[مستحقات نهاية الخدمة]]</definedName>
    <definedName name="change" localSheetId="56">Table1[[#Headers],[#Data],[السكن]:[مستحقات نهاية الخدمة]]</definedName>
    <definedName name="change" localSheetId="57">Table1[[#Headers],[#Data],[السكن]:[مستحقات نهاية الخدمة]]</definedName>
    <definedName name="change" localSheetId="58">Table1[[#Headers],[#Data],[السكن]:[مستحقات نهاية الخدمة]]</definedName>
    <definedName name="change" localSheetId="59">Table1[[#Headers],[#Data],[السكن]:[مستحقات نهاية الخدمة]]</definedName>
    <definedName name="change" localSheetId="60">Table1[[#Headers],[#Data],[السكن]:[مستحقات نهاية الخدمة]]</definedName>
    <definedName name="change" localSheetId="61">Table1[[#Headers],[#Data],[السكن]:[مستحقات نهاية الخدمة]]</definedName>
    <definedName name="change" localSheetId="62">Table1[[#Headers],[#Data],[السكن]:[مستحقات نهاية الخدمة]]</definedName>
    <definedName name="change" localSheetId="63">Table1[[#Headers],[#Data],[السكن]:[مستحقات نهاية الخدمة]]</definedName>
    <definedName name="change" localSheetId="64">Table1[[#Headers],[#Data],[السكن]:[مستحقات نهاية الخدمة]]</definedName>
    <definedName name="change" localSheetId="65">Table1[[#Headers],[#Data],[السكن]:[مستحقات نهاية الخدمة]]</definedName>
    <definedName name="change" localSheetId="66">Table1[[#Headers],[#Data],[السكن]:[مستحقات نهاية الخدمة]]</definedName>
    <definedName name="change" localSheetId="68">Table1[[#Headers],[#Data],[السكن]:[مستحقات نهاية الخدمة]]</definedName>
    <definedName name="change" localSheetId="69">Table1[[#Headers],[#Data],[السكن]:[مستحقات نهاية الخدمة]]</definedName>
    <definedName name="change" localSheetId="70">Table1[[#Headers],[#Data],[السكن]:[مستحقات نهاية الخدمة]]</definedName>
    <definedName name="change" localSheetId="71">Table1[[#Headers],[#Data],[السكن]:[مستحقات نهاية الخدمة]]</definedName>
    <definedName name="change" localSheetId="72">Table1[[#Headers],[#Data],[السكن]:[مستحقات نهاية الخدمة]]</definedName>
    <definedName name="change" localSheetId="73">Table1[[#Headers],[#Data],[السكن]:[مستحقات نهاية الخدمة]]</definedName>
    <definedName name="change" localSheetId="74">Table1[[#Headers],[#Data],[السكن]:[مستحقات نهاية الخدمة]]</definedName>
    <definedName name="change" localSheetId="75">Table1[[#Headers],[#Data],[السكن]:[مستحقات نهاية الخدمة]]</definedName>
    <definedName name="change" localSheetId="76">Table1[[#Headers],[#Data],[السكن]:[مستحقات نهاية الخدمة]]</definedName>
    <definedName name="change" localSheetId="77">Table1[[#Headers],[#Data],[السكن]:[مستحقات نهاية الخدمة]]</definedName>
    <definedName name="change" localSheetId="78">Table1[[#Headers],[#Data],[السكن]:[مستحقات نهاية الخدمة]]</definedName>
    <definedName name="change" localSheetId="79">Table1[[#Headers],[#Data],[السكن]:[مستحقات نهاية الخدمة]]</definedName>
    <definedName name="change" localSheetId="80">Table1[[#Headers],[#Data],[السكن]:[مستحقات نهاية الخدمة]]</definedName>
    <definedName name="change">Table1[[#Headers],[#Data],[السكن]:[مستحقات نهاية الخدمة]]</definedName>
    <definedName name="_xlnm.Print_Area" localSheetId="2">'10000'!$B$1:$F$49</definedName>
    <definedName name="_xlnm.Print_Area" localSheetId="1">'10001'!$B$1:$F$49</definedName>
    <definedName name="_xlnm.Print_Area" localSheetId="3">'10002'!$B$1:$F$49</definedName>
    <definedName name="_xlnm.Print_Area" localSheetId="4">'10003'!$B$1:$F$49</definedName>
    <definedName name="_xlnm.Print_Area" localSheetId="5">'10004'!$B$1:$F$49</definedName>
    <definedName name="_xlnm.Print_Area" localSheetId="6">'10005'!$B$1:$F$49</definedName>
    <definedName name="_xlnm.Print_Area" localSheetId="7">'10006'!$B$1:$F$49</definedName>
    <definedName name="_xlnm.Print_Area" localSheetId="8">'10007'!$B$1:$F$49</definedName>
    <definedName name="_xlnm.Print_Area" localSheetId="9">'10008'!$B$1:$F$49</definedName>
    <definedName name="_xlnm.Print_Area" localSheetId="10">'10009'!$B$1:$F$49</definedName>
    <definedName name="_xlnm.Print_Area" localSheetId="12">'10010'!$B$1:$F$49</definedName>
    <definedName name="_xlnm.Print_Area" localSheetId="11">'10011'!$B$1:$F$49</definedName>
    <definedName name="_xlnm.Print_Area" localSheetId="13">'10012'!$B$1:$F$49</definedName>
    <definedName name="_xlnm.Print_Area" localSheetId="14">'10013'!$B$1:$F$49</definedName>
    <definedName name="_xlnm.Print_Area" localSheetId="15">'10014'!$B$1:$F$49</definedName>
    <definedName name="_xlnm.Print_Area" localSheetId="16">'10015'!$B$1:$F$49</definedName>
    <definedName name="_xlnm.Print_Area" localSheetId="17">'10016'!$B$1:$F$49</definedName>
    <definedName name="_xlnm.Print_Area" localSheetId="18">'10017'!$B$1:$F$49</definedName>
    <definedName name="_xlnm.Print_Area" localSheetId="19">'10018'!$B$1:$F$49</definedName>
    <definedName name="_xlnm.Print_Area" localSheetId="20">'10019'!$B$1:$F$49</definedName>
    <definedName name="_xlnm.Print_Area" localSheetId="21">'10020'!$B$1:$F$49</definedName>
    <definedName name="_xlnm.Print_Area" localSheetId="22">'10021'!$B$1:$F$49</definedName>
    <definedName name="_xlnm.Print_Area" localSheetId="23">'10022'!$B$1:$F$49</definedName>
    <definedName name="_xlnm.Print_Area" localSheetId="24">'10023'!$B$1:$F$49</definedName>
    <definedName name="_xlnm.Print_Area" localSheetId="25">'10024'!$B$1:$F$49</definedName>
    <definedName name="_xlnm.Print_Area" localSheetId="26">'10025'!$B$1:$F$49</definedName>
    <definedName name="_xlnm.Print_Area" localSheetId="27">'10026'!$B$1:$F$49</definedName>
    <definedName name="_xlnm.Print_Area" localSheetId="28">'10027'!$B$1:$F$49</definedName>
    <definedName name="_xlnm.Print_Area" localSheetId="29">'10028'!$B$1:$F$49</definedName>
    <definedName name="_xlnm.Print_Area" localSheetId="30">'10029'!$B$1:$F$49</definedName>
    <definedName name="_xlnm.Print_Area" localSheetId="31">'10030'!$B$1:$F$49</definedName>
    <definedName name="_xlnm.Print_Area" localSheetId="32">'10031'!$B$1:$F$49</definedName>
    <definedName name="_xlnm.Print_Area" localSheetId="33">'10032'!$B$1:$F$49</definedName>
    <definedName name="_xlnm.Print_Area" localSheetId="34">'10033'!$B$1:$F$49</definedName>
    <definedName name="_xlnm.Print_Area" localSheetId="35">'10034'!$B$1:$F$49</definedName>
    <definedName name="_xlnm.Print_Area" localSheetId="36">'10035'!$B$1:$F$49</definedName>
    <definedName name="_xlnm.Print_Area" localSheetId="37">'10036'!$B$1:$F$49</definedName>
    <definedName name="_xlnm.Print_Area" localSheetId="38">'10037'!$B$1:$F$49</definedName>
    <definedName name="_xlnm.Print_Area" localSheetId="39">'10038'!$B$1:$F$49</definedName>
    <definedName name="_xlnm.Print_Area" localSheetId="40">'10039'!$B$1:$F$49</definedName>
    <definedName name="_xlnm.Print_Area" localSheetId="41">'10040'!$B$1:$F$49</definedName>
    <definedName name="_xlnm.Print_Area" localSheetId="42">'10041'!$B$1:$F$49</definedName>
    <definedName name="_xlnm.Print_Area" localSheetId="43">'10042'!$B$1:$F$49</definedName>
    <definedName name="_xlnm.Print_Area" localSheetId="44">'10043'!$B$1:$F$49</definedName>
    <definedName name="_xlnm.Print_Area" localSheetId="45">'10044'!$B$1:$F$49</definedName>
    <definedName name="_xlnm.Print_Area" localSheetId="46">'10045'!$B$1:$F$49</definedName>
    <definedName name="_xlnm.Print_Area" localSheetId="47">'10046'!$B$1:$F$49</definedName>
    <definedName name="_xlnm.Print_Area" localSheetId="48">'10047'!$B$1:$F$49</definedName>
    <definedName name="_xlnm.Print_Area" localSheetId="49">'10048'!$B$1:$F$49</definedName>
    <definedName name="_xlnm.Print_Area" localSheetId="50">'10049'!$B$1:$F$49</definedName>
    <definedName name="_xlnm.Print_Area" localSheetId="51">'10050'!$B$1:$F$49</definedName>
    <definedName name="_xlnm.Print_Area" localSheetId="52">'10051'!$B$1:$F$49</definedName>
    <definedName name="_xlnm.Print_Area" localSheetId="53">'10052'!$B$1:$F$49</definedName>
    <definedName name="_xlnm.Print_Area" localSheetId="54">'10053'!$B$1:$F$49</definedName>
    <definedName name="_xlnm.Print_Area" localSheetId="55">'10054'!$B$1:$F$49</definedName>
    <definedName name="_xlnm.Print_Area" localSheetId="56">'10055'!$B$1:$F$49</definedName>
    <definedName name="_xlnm.Print_Area" localSheetId="57">'10056'!$B$1:$F$49</definedName>
    <definedName name="_xlnm.Print_Area" localSheetId="58">'10057'!$B$1:$F$49</definedName>
    <definedName name="_xlnm.Print_Area" localSheetId="59">'10058'!$B$1:$F$49</definedName>
    <definedName name="_xlnm.Print_Area" localSheetId="60">'10059'!$B$1:$F$49</definedName>
    <definedName name="_xlnm.Print_Area" localSheetId="61">'10060'!$B$1:$F$49</definedName>
    <definedName name="_xlnm.Print_Area" localSheetId="62">'10061'!$B$1:$F$49</definedName>
    <definedName name="_xlnm.Print_Area" localSheetId="63">'10062'!$B$1:$F$49</definedName>
    <definedName name="_xlnm.Print_Area" localSheetId="64">'10063'!$B$1:$F$49</definedName>
    <definedName name="_xlnm.Print_Area" localSheetId="65">'10064'!$B$1:$F$49</definedName>
    <definedName name="_xlnm.Print_Area" localSheetId="66">'10065'!$B$1:$F$49</definedName>
    <definedName name="_xlnm.Print_Area" localSheetId="67">'10066'!$B$1:$F$49</definedName>
    <definedName name="_xlnm.Print_Area" localSheetId="68">'10067'!$B$1:$F$49</definedName>
    <definedName name="_xlnm.Print_Area" localSheetId="69">'10068'!$B$1:$F$49</definedName>
    <definedName name="_xlnm.Print_Area" localSheetId="70">'10069'!$B$1:$F$49</definedName>
    <definedName name="_xlnm.Print_Area" localSheetId="71">'10070'!$B$1:$F$49</definedName>
    <definedName name="_xlnm.Print_Area" localSheetId="72">'10071'!$B$1:$F$49</definedName>
    <definedName name="_xlnm.Print_Area" localSheetId="73">'10072'!$B$1:$F$49</definedName>
    <definedName name="_xlnm.Print_Area" localSheetId="74">'10073'!$B$1:$F$49</definedName>
    <definedName name="_xlnm.Print_Area" localSheetId="75">'10074'!$B$1:$F$49</definedName>
    <definedName name="_xlnm.Print_Area" localSheetId="76">'10075'!$B$1:$F$49</definedName>
    <definedName name="_xlnm.Print_Area" localSheetId="77">'10076'!$B$1:$F$49</definedName>
    <definedName name="_xlnm.Print_Area" localSheetId="78">'10077'!$B$1:$F$49</definedName>
    <definedName name="_xlnm.Print_Area" localSheetId="79">'10078'!$B$1:$F$49</definedName>
    <definedName name="_xlnm.Print_Area" localSheetId="80">'10079'!$B$1:$F$49</definedName>
    <definedName name="_xlnm.Print_Area" localSheetId="0">'قائمة الموظفين'!$A$1:$T$83</definedName>
    <definedName name="_xlnm.Print_Titles" localSheetId="0">'قائمة الموظفين'!$1:$3</definedName>
    <definedName name="score" localSheetId="1">Table1[[#Headers],[#Data]]</definedName>
    <definedName name="score" localSheetId="3">Table1[[#Headers],[#Data]]</definedName>
    <definedName name="score" localSheetId="4">Table1[[#Headers],[#Data]]</definedName>
    <definedName name="score" localSheetId="5">Table1[[#Headers],[#Data]]</definedName>
    <definedName name="score" localSheetId="6">Table1[[#Headers],[#Data]]</definedName>
    <definedName name="score" localSheetId="7">Table1[[#Headers],[#Data]]</definedName>
    <definedName name="score" localSheetId="8">Table1[[#Headers],[#Data]]</definedName>
    <definedName name="score" localSheetId="9">Table1[[#Headers],[#Data]]</definedName>
    <definedName name="score" localSheetId="12">Table1[[#Headers],[#Data]]</definedName>
    <definedName name="score" localSheetId="11">Table1[[#Headers],[#Data]]</definedName>
    <definedName name="score" localSheetId="13">Table1[[#Headers],[#Data]]</definedName>
    <definedName name="score" localSheetId="14">Table1[[#Headers],[#Data]]</definedName>
    <definedName name="score" localSheetId="15">Table1[[#Headers],[#Data]]</definedName>
    <definedName name="score" localSheetId="16">Table1[[#Headers],[#Data]]</definedName>
    <definedName name="score" localSheetId="17">Table1[[#Headers],[#Data]]</definedName>
    <definedName name="score" localSheetId="18">Table1[[#Headers],[#Data]]</definedName>
    <definedName name="score" localSheetId="19">Table1[[#Headers],[#Data]]</definedName>
    <definedName name="score" localSheetId="20">Table1[[#Headers],[#Data]]</definedName>
    <definedName name="score" localSheetId="22">Table1[[#Headers],[#Data]]</definedName>
    <definedName name="score" localSheetId="23">Table1[[#Headers],[#Data]]</definedName>
    <definedName name="score" localSheetId="24">Table1[[#Headers],[#Data]]</definedName>
    <definedName name="score" localSheetId="25">Table1[[#Headers],[#Data]]</definedName>
    <definedName name="score" localSheetId="26">Table1[[#Headers],[#Data]]</definedName>
    <definedName name="score" localSheetId="27">Table1[[#Headers],[#Data]]</definedName>
    <definedName name="score" localSheetId="28">Table1[[#Headers],[#Data]]</definedName>
    <definedName name="score" localSheetId="29">Table1[[#Headers],[#Data]]</definedName>
    <definedName name="score" localSheetId="30">Table1[[#Headers],[#Data]]</definedName>
    <definedName name="score" localSheetId="31">Table1[[#Headers],[#Data]]</definedName>
    <definedName name="score" localSheetId="32">Table1[[#Headers],[#Data]]</definedName>
    <definedName name="score" localSheetId="33">Table1[[#Headers],[#Data]]</definedName>
    <definedName name="score" localSheetId="34">Table1[[#Headers],[#Data]]</definedName>
    <definedName name="score" localSheetId="36">Table1[[#Headers],[#Data]]</definedName>
    <definedName name="score" localSheetId="37">Table1[[#Headers],[#Data]]</definedName>
    <definedName name="score" localSheetId="38">Table1[[#Headers],[#Data]]</definedName>
    <definedName name="score" localSheetId="39">Table1[[#Headers],[#Data]]</definedName>
    <definedName name="score" localSheetId="40">Table1[[#Headers],[#Data]]</definedName>
    <definedName name="score" localSheetId="41">Table1[[#Headers],[#Data]]</definedName>
    <definedName name="score" localSheetId="42">Table1[[#Headers],[#Data]]</definedName>
    <definedName name="score" localSheetId="43">Table1[[#Headers],[#Data]]</definedName>
    <definedName name="score" localSheetId="44">Table1[[#Headers],[#Data]]</definedName>
    <definedName name="score" localSheetId="45">Table1[[#Headers],[#Data]]</definedName>
    <definedName name="score" localSheetId="46">Table1[[#Headers],[#Data]]</definedName>
    <definedName name="score" localSheetId="47">Table1[[#Headers],[#Data]]</definedName>
    <definedName name="score" localSheetId="48">Table1[[#Headers],[#Data]]</definedName>
    <definedName name="score" localSheetId="49">Table1[[#Headers],[#Data]]</definedName>
    <definedName name="score" localSheetId="50">Table1[[#Headers],[#Data]]</definedName>
    <definedName name="score" localSheetId="52">Table1[[#Headers],[#Data]]</definedName>
    <definedName name="score" localSheetId="53">Table1[[#Headers],[#Data]]</definedName>
    <definedName name="score" localSheetId="54">Table1[[#Headers],[#Data]]</definedName>
    <definedName name="score" localSheetId="55">Table1[[#Headers],[#Data]]</definedName>
    <definedName name="score" localSheetId="56">Table1[[#Headers],[#Data]]</definedName>
    <definedName name="score" localSheetId="57">Table1[[#Headers],[#Data]]</definedName>
    <definedName name="score" localSheetId="58">Table1[[#Headers],[#Data]]</definedName>
    <definedName name="score" localSheetId="59">Table1[[#Headers],[#Data]]</definedName>
    <definedName name="score" localSheetId="60">Table1[[#Headers],[#Data]]</definedName>
    <definedName name="score" localSheetId="61">Table1[[#Headers],[#Data]]</definedName>
    <definedName name="score" localSheetId="62">Table1[[#Headers],[#Data]]</definedName>
    <definedName name="score" localSheetId="63">Table1[[#Headers],[#Data]]</definedName>
    <definedName name="score" localSheetId="64">Table1[[#Headers],[#Data]]</definedName>
    <definedName name="score" localSheetId="65">Table1[[#Headers],[#Data]]</definedName>
    <definedName name="score" localSheetId="66">Table1[[#Headers],[#Data]]</definedName>
    <definedName name="score" localSheetId="68">Table1[[#Headers],[#Data]]</definedName>
    <definedName name="score" localSheetId="69">Table1[[#Headers],[#Data]]</definedName>
    <definedName name="score" localSheetId="70">Table1[[#Headers],[#Data]]</definedName>
    <definedName name="score" localSheetId="71">Table1[[#Headers],[#Data]]</definedName>
    <definedName name="score" localSheetId="72">Table1[[#Headers],[#Data]]</definedName>
    <definedName name="score" localSheetId="73">Table1[[#Headers],[#Data]]</definedName>
    <definedName name="score" localSheetId="74">Table1[[#Headers],[#Data]]</definedName>
    <definedName name="score" localSheetId="75">Table1[[#Headers],[#Data]]</definedName>
    <definedName name="score" localSheetId="76">Table1[[#Headers],[#Data]]</definedName>
    <definedName name="score" localSheetId="77">Table1[[#Headers],[#Data]]</definedName>
    <definedName name="score" localSheetId="78">Table1[[#Headers],[#Data]]</definedName>
    <definedName name="score" localSheetId="79">Table1[[#Headers],[#Data]]</definedName>
    <definedName name="score" localSheetId="80">Table1[[#Headers],[#Data]]</definedName>
    <definedName name="score">Table1[[#Headers],[#Data]]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1" l="1"/>
  <c r="Q82" i="1"/>
  <c r="Q80" i="1"/>
  <c r="Q79" i="1"/>
  <c r="Q78" i="1"/>
  <c r="Q77" i="1"/>
  <c r="Q75" i="1"/>
  <c r="Q74" i="1"/>
  <c r="Q71" i="1"/>
  <c r="Q70" i="1"/>
  <c r="Q69" i="1"/>
  <c r="Q68" i="1"/>
  <c r="Q13" i="1"/>
  <c r="Q14" i="1"/>
  <c r="E14" i="4"/>
  <c r="E49" i="82"/>
  <c r="E48" i="82"/>
  <c r="E47" i="82"/>
  <c r="E46" i="82"/>
  <c r="E45" i="82"/>
  <c r="E44" i="82"/>
  <c r="E43" i="82"/>
  <c r="E42" i="82"/>
  <c r="E37" i="82"/>
  <c r="E36" i="82"/>
  <c r="E35" i="82"/>
  <c r="E34" i="82"/>
  <c r="E33" i="82"/>
  <c r="E32" i="82"/>
  <c r="E31" i="82"/>
  <c r="E30" i="82"/>
  <c r="E29" i="82"/>
  <c r="E28" i="82"/>
  <c r="E27" i="82"/>
  <c r="E26" i="82"/>
  <c r="E25" i="82"/>
  <c r="E24" i="82"/>
  <c r="E23" i="82"/>
  <c r="E22" i="82"/>
  <c r="E21" i="82"/>
  <c r="E20" i="82"/>
  <c r="E19" i="82"/>
  <c r="E18" i="82"/>
  <c r="E17" i="82"/>
  <c r="E16" i="82"/>
  <c r="E15" i="82"/>
  <c r="E14" i="82"/>
  <c r="E13" i="82"/>
  <c r="E12" i="82"/>
  <c r="C6" i="82"/>
  <c r="D9" i="82" s="1"/>
  <c r="F9" i="82" s="1"/>
  <c r="C5" i="82"/>
  <c r="C4" i="82"/>
  <c r="E49" i="81"/>
  <c r="E48" i="81"/>
  <c r="E47" i="81"/>
  <c r="E46" i="81"/>
  <c r="E45" i="81"/>
  <c r="E44" i="81"/>
  <c r="E43" i="81"/>
  <c r="E42" i="81"/>
  <c r="E37" i="81"/>
  <c r="E36" i="81"/>
  <c r="E35" i="81"/>
  <c r="E34" i="81"/>
  <c r="E33" i="81"/>
  <c r="E32" i="81"/>
  <c r="E31" i="81"/>
  <c r="E30" i="81"/>
  <c r="E29" i="81"/>
  <c r="E28" i="81"/>
  <c r="E27" i="81"/>
  <c r="E26" i="81"/>
  <c r="E25" i="81"/>
  <c r="E24" i="81"/>
  <c r="E23" i="81"/>
  <c r="E22" i="81"/>
  <c r="E21" i="81"/>
  <c r="E20" i="81"/>
  <c r="E19" i="81"/>
  <c r="E18" i="81"/>
  <c r="E17" i="81"/>
  <c r="E16" i="81"/>
  <c r="E15" i="81"/>
  <c r="E14" i="81"/>
  <c r="E13" i="81"/>
  <c r="E12" i="81"/>
  <c r="C6" i="81"/>
  <c r="D9" i="81" s="1"/>
  <c r="F9" i="81" s="1"/>
  <c r="C5" i="81"/>
  <c r="C4" i="81"/>
  <c r="F3" i="81"/>
  <c r="F5" i="81" s="1"/>
  <c r="E49" i="80"/>
  <c r="E48" i="80"/>
  <c r="E47" i="80"/>
  <c r="E46" i="80"/>
  <c r="E45" i="80"/>
  <c r="E44" i="80"/>
  <c r="E43" i="80"/>
  <c r="E42" i="80"/>
  <c r="E36" i="80"/>
  <c r="E35" i="80"/>
  <c r="E34" i="80"/>
  <c r="E33" i="80"/>
  <c r="E32" i="80"/>
  <c r="E31" i="80"/>
  <c r="E30" i="80"/>
  <c r="E29" i="80"/>
  <c r="E28" i="80"/>
  <c r="E27" i="80"/>
  <c r="E26" i="80"/>
  <c r="E25" i="80"/>
  <c r="E24" i="80"/>
  <c r="E23" i="80"/>
  <c r="E22" i="80"/>
  <c r="E21" i="80"/>
  <c r="E20" i="80"/>
  <c r="E19" i="80"/>
  <c r="E18" i="80"/>
  <c r="E17" i="80"/>
  <c r="E16" i="80"/>
  <c r="E15" i="80"/>
  <c r="E14" i="80"/>
  <c r="E13" i="80"/>
  <c r="E12" i="80"/>
  <c r="C6" i="80"/>
  <c r="D9" i="80" s="1"/>
  <c r="C5" i="80"/>
  <c r="C4" i="80"/>
  <c r="F3" i="80"/>
  <c r="F5" i="80" s="1"/>
  <c r="E49" i="79"/>
  <c r="E48" i="79"/>
  <c r="E47" i="79"/>
  <c r="E46" i="79"/>
  <c r="E45" i="79"/>
  <c r="E44" i="79"/>
  <c r="E43" i="79"/>
  <c r="E42" i="79"/>
  <c r="E37" i="79"/>
  <c r="E36" i="79"/>
  <c r="E35" i="79"/>
  <c r="E34" i="79"/>
  <c r="E33" i="79"/>
  <c r="E32" i="79"/>
  <c r="E31" i="79"/>
  <c r="E30" i="79"/>
  <c r="E29" i="79"/>
  <c r="E28" i="79"/>
  <c r="E27" i="79"/>
  <c r="E26" i="79"/>
  <c r="E25" i="79"/>
  <c r="E24" i="79"/>
  <c r="E23" i="79"/>
  <c r="E22" i="79"/>
  <c r="E21" i="79"/>
  <c r="E20" i="79"/>
  <c r="E19" i="79"/>
  <c r="E18" i="79"/>
  <c r="E17" i="79"/>
  <c r="E16" i="79"/>
  <c r="E15" i="79"/>
  <c r="E14" i="79"/>
  <c r="E13" i="79"/>
  <c r="E12" i="79"/>
  <c r="C6" i="79"/>
  <c r="D9" i="79" s="1"/>
  <c r="F9" i="79" s="1"/>
  <c r="C5" i="79"/>
  <c r="C4" i="79"/>
  <c r="E49" i="78"/>
  <c r="E48" i="78"/>
  <c r="E47" i="78"/>
  <c r="E46" i="78"/>
  <c r="E45" i="78"/>
  <c r="E44" i="78"/>
  <c r="E43" i="78"/>
  <c r="E42" i="78"/>
  <c r="E37" i="78"/>
  <c r="E36" i="78"/>
  <c r="E35" i="78"/>
  <c r="E34" i="78"/>
  <c r="E33" i="78"/>
  <c r="E32" i="78"/>
  <c r="E31" i="78"/>
  <c r="E30" i="78"/>
  <c r="E29" i="78"/>
  <c r="E28" i="78"/>
  <c r="E27" i="78"/>
  <c r="E26" i="78"/>
  <c r="E25" i="78"/>
  <c r="E24" i="78"/>
  <c r="E23" i="78"/>
  <c r="E22" i="78"/>
  <c r="E21" i="78"/>
  <c r="E20" i="78"/>
  <c r="E19" i="78"/>
  <c r="E18" i="78"/>
  <c r="E17" i="78"/>
  <c r="E16" i="78"/>
  <c r="E15" i="78"/>
  <c r="E14" i="78"/>
  <c r="E13" i="78"/>
  <c r="E12" i="78"/>
  <c r="C6" i="78"/>
  <c r="D9" i="78" s="1"/>
  <c r="F9" i="78" s="1"/>
  <c r="C5" i="78"/>
  <c r="C4" i="78"/>
  <c r="F3" i="78"/>
  <c r="F4" i="78" s="1"/>
  <c r="F6" i="78" s="1"/>
  <c r="E49" i="77"/>
  <c r="E48" i="77"/>
  <c r="E47" i="77"/>
  <c r="E46" i="77"/>
  <c r="E45" i="77"/>
  <c r="E44" i="77"/>
  <c r="E43" i="77"/>
  <c r="E42" i="77"/>
  <c r="E36" i="77"/>
  <c r="E35" i="77"/>
  <c r="E34" i="77"/>
  <c r="E33" i="77"/>
  <c r="E32" i="77"/>
  <c r="E31" i="77"/>
  <c r="E30" i="77"/>
  <c r="E29" i="77"/>
  <c r="E28" i="77"/>
  <c r="E27" i="77"/>
  <c r="E26" i="77"/>
  <c r="E25" i="77"/>
  <c r="E24" i="77"/>
  <c r="E23" i="77"/>
  <c r="E22" i="77"/>
  <c r="E21" i="77"/>
  <c r="E20" i="77"/>
  <c r="E19" i="77"/>
  <c r="E18" i="77"/>
  <c r="E17" i="77"/>
  <c r="E16" i="77"/>
  <c r="E15" i="77"/>
  <c r="E14" i="77"/>
  <c r="E13" i="77"/>
  <c r="E12" i="77"/>
  <c r="E37" i="77" s="1"/>
  <c r="C6" i="77"/>
  <c r="F3" i="77" s="1"/>
  <c r="C5" i="77"/>
  <c r="C4" i="77"/>
  <c r="E49" i="76"/>
  <c r="E48" i="76"/>
  <c r="E47" i="76"/>
  <c r="E46" i="76"/>
  <c r="E45" i="76"/>
  <c r="E44" i="76"/>
  <c r="E43" i="76"/>
  <c r="E42" i="76"/>
  <c r="E36" i="76"/>
  <c r="E35" i="76"/>
  <c r="E34" i="76"/>
  <c r="E33" i="76"/>
  <c r="E32" i="76"/>
  <c r="E31" i="76"/>
  <c r="E30" i="76"/>
  <c r="E29" i="76"/>
  <c r="E28" i="76"/>
  <c r="E27" i="76"/>
  <c r="E26" i="76"/>
  <c r="E25" i="76"/>
  <c r="E24" i="76"/>
  <c r="E23" i="76"/>
  <c r="E22" i="76"/>
  <c r="E21" i="76"/>
  <c r="E20" i="76"/>
  <c r="E19" i="76"/>
  <c r="E18" i="76"/>
  <c r="E17" i="76"/>
  <c r="E16" i="76"/>
  <c r="E15" i="76"/>
  <c r="E14" i="76"/>
  <c r="E13" i="76"/>
  <c r="E37" i="76" s="1"/>
  <c r="E12" i="76"/>
  <c r="C6" i="76"/>
  <c r="D9" i="76" s="1"/>
  <c r="F9" i="76" s="1"/>
  <c r="C5" i="76"/>
  <c r="C4" i="76"/>
  <c r="E49" i="75"/>
  <c r="E48" i="75"/>
  <c r="E47" i="75"/>
  <c r="E46" i="75"/>
  <c r="E45" i="75"/>
  <c r="E44" i="75"/>
  <c r="E43" i="75"/>
  <c r="E42" i="75"/>
  <c r="E36" i="75"/>
  <c r="E35" i="75"/>
  <c r="E34" i="75"/>
  <c r="E33" i="75"/>
  <c r="E32" i="75"/>
  <c r="E31" i="75"/>
  <c r="E30" i="75"/>
  <c r="E29" i="75"/>
  <c r="E28" i="75"/>
  <c r="E27" i="75"/>
  <c r="E26" i="75"/>
  <c r="E25" i="75"/>
  <c r="E24" i="75"/>
  <c r="E23" i="75"/>
  <c r="E22" i="75"/>
  <c r="E21" i="75"/>
  <c r="E20" i="75"/>
  <c r="E19" i="75"/>
  <c r="E18" i="75"/>
  <c r="E17" i="75"/>
  <c r="E16" i="75"/>
  <c r="E15" i="75"/>
  <c r="E14" i="75"/>
  <c r="E13" i="75"/>
  <c r="E12" i="75"/>
  <c r="E37" i="75" s="1"/>
  <c r="Q76" i="1" s="1"/>
  <c r="C6" i="75"/>
  <c r="F3" i="75" s="1"/>
  <c r="C5" i="75"/>
  <c r="C4" i="75"/>
  <c r="E49" i="74"/>
  <c r="E48" i="74"/>
  <c r="E47" i="74"/>
  <c r="E46" i="74"/>
  <c r="E45" i="74"/>
  <c r="E44" i="74"/>
  <c r="E43" i="74"/>
  <c r="E42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37" i="74" s="1"/>
  <c r="E12" i="74"/>
  <c r="C6" i="74"/>
  <c r="D9" i="74" s="1"/>
  <c r="C5" i="74"/>
  <c r="C4" i="74"/>
  <c r="E49" i="73"/>
  <c r="E48" i="73"/>
  <c r="E47" i="73"/>
  <c r="E46" i="73"/>
  <c r="E45" i="73"/>
  <c r="E44" i="73"/>
  <c r="E43" i="73"/>
  <c r="E42" i="73"/>
  <c r="E36" i="73"/>
  <c r="E35" i="73"/>
  <c r="E34" i="73"/>
  <c r="E33" i="73"/>
  <c r="E32" i="73"/>
  <c r="E31" i="73"/>
  <c r="E30" i="73"/>
  <c r="E29" i="73"/>
  <c r="E28" i="73"/>
  <c r="E27" i="73"/>
  <c r="E26" i="73"/>
  <c r="E25" i="73"/>
  <c r="E24" i="73"/>
  <c r="E23" i="73"/>
  <c r="E22" i="73"/>
  <c r="E21" i="73"/>
  <c r="E20" i="73"/>
  <c r="E19" i="73"/>
  <c r="E18" i="73"/>
  <c r="E17" i="73"/>
  <c r="E16" i="73"/>
  <c r="E15" i="73"/>
  <c r="E14" i="73"/>
  <c r="E13" i="73"/>
  <c r="E12" i="73"/>
  <c r="E37" i="73" s="1"/>
  <c r="C6" i="73"/>
  <c r="F3" i="73" s="1"/>
  <c r="C5" i="73"/>
  <c r="C4" i="73"/>
  <c r="E49" i="72"/>
  <c r="E48" i="72"/>
  <c r="E47" i="72"/>
  <c r="E46" i="72"/>
  <c r="E45" i="72"/>
  <c r="E44" i="72"/>
  <c r="E43" i="72"/>
  <c r="E42" i="72"/>
  <c r="E36" i="72"/>
  <c r="E35" i="72"/>
  <c r="E34" i="72"/>
  <c r="E33" i="72"/>
  <c r="E32" i="72"/>
  <c r="E31" i="72"/>
  <c r="E30" i="72"/>
  <c r="E29" i="72"/>
  <c r="E28" i="72"/>
  <c r="E27" i="72"/>
  <c r="E26" i="72"/>
  <c r="E25" i="72"/>
  <c r="E24" i="72"/>
  <c r="E23" i="72"/>
  <c r="E22" i="72"/>
  <c r="E21" i="72"/>
  <c r="E20" i="72"/>
  <c r="E19" i="72"/>
  <c r="E18" i="72"/>
  <c r="E17" i="72"/>
  <c r="E16" i="72"/>
  <c r="E15" i="72"/>
  <c r="E14" i="72"/>
  <c r="E13" i="72"/>
  <c r="E12" i="72"/>
  <c r="C6" i="72"/>
  <c r="D9" i="72" s="1"/>
  <c r="C5" i="72"/>
  <c r="C4" i="72"/>
  <c r="E49" i="71"/>
  <c r="E48" i="71"/>
  <c r="E47" i="71"/>
  <c r="E46" i="71"/>
  <c r="E45" i="71"/>
  <c r="E44" i="71"/>
  <c r="E43" i="71"/>
  <c r="E42" i="71"/>
  <c r="E36" i="71"/>
  <c r="E35" i="71"/>
  <c r="E34" i="71"/>
  <c r="E33" i="71"/>
  <c r="E32" i="71"/>
  <c r="E31" i="71"/>
  <c r="E30" i="71"/>
  <c r="E29" i="71"/>
  <c r="E28" i="71"/>
  <c r="E27" i="71"/>
  <c r="E26" i="71"/>
  <c r="E25" i="71"/>
  <c r="E24" i="71"/>
  <c r="E23" i="71"/>
  <c r="E22" i="71"/>
  <c r="E21" i="71"/>
  <c r="E20" i="71"/>
  <c r="E19" i="71"/>
  <c r="E18" i="71"/>
  <c r="E17" i="71"/>
  <c r="E16" i="71"/>
  <c r="E15" i="71"/>
  <c r="E14" i="71"/>
  <c r="E13" i="71"/>
  <c r="E12" i="71"/>
  <c r="E37" i="71" s="1"/>
  <c r="Q72" i="1" s="1"/>
  <c r="C6" i="71"/>
  <c r="F3" i="71" s="1"/>
  <c r="C5" i="71"/>
  <c r="C4" i="71"/>
  <c r="E49" i="70"/>
  <c r="E48" i="70"/>
  <c r="E47" i="70"/>
  <c r="E46" i="70"/>
  <c r="E45" i="70"/>
  <c r="E44" i="70"/>
  <c r="E43" i="70"/>
  <c r="E42" i="70"/>
  <c r="E36" i="70"/>
  <c r="E35" i="70"/>
  <c r="E34" i="70"/>
  <c r="E33" i="70"/>
  <c r="E32" i="70"/>
  <c r="E31" i="70"/>
  <c r="E30" i="70"/>
  <c r="E29" i="70"/>
  <c r="E28" i="70"/>
  <c r="E27" i="70"/>
  <c r="E26" i="70"/>
  <c r="E25" i="70"/>
  <c r="E24" i="70"/>
  <c r="E23" i="70"/>
  <c r="E22" i="70"/>
  <c r="E21" i="70"/>
  <c r="E20" i="70"/>
  <c r="E19" i="70"/>
  <c r="E18" i="70"/>
  <c r="E17" i="70"/>
  <c r="E16" i="70"/>
  <c r="E15" i="70"/>
  <c r="E14" i="70"/>
  <c r="E13" i="70"/>
  <c r="E12" i="70"/>
  <c r="E37" i="70" s="1"/>
  <c r="C6" i="70"/>
  <c r="D9" i="70" s="1"/>
  <c r="F9" i="70" s="1"/>
  <c r="C5" i="70"/>
  <c r="C4" i="70"/>
  <c r="E49" i="69"/>
  <c r="E48" i="69"/>
  <c r="E47" i="69"/>
  <c r="E46" i="69"/>
  <c r="E45" i="69"/>
  <c r="E44" i="69"/>
  <c r="E43" i="69"/>
  <c r="E42" i="69"/>
  <c r="E36" i="69"/>
  <c r="E35" i="69"/>
  <c r="E34" i="69"/>
  <c r="E33" i="69"/>
  <c r="E32" i="69"/>
  <c r="E31" i="69"/>
  <c r="E30" i="69"/>
  <c r="E29" i="69"/>
  <c r="E28" i="69"/>
  <c r="E27" i="69"/>
  <c r="E26" i="69"/>
  <c r="E25" i="69"/>
  <c r="E24" i="69"/>
  <c r="E23" i="69"/>
  <c r="E22" i="69"/>
  <c r="E21" i="69"/>
  <c r="E20" i="69"/>
  <c r="E19" i="69"/>
  <c r="E18" i="69"/>
  <c r="E17" i="69"/>
  <c r="E16" i="69"/>
  <c r="E15" i="69"/>
  <c r="E14" i="69"/>
  <c r="E13" i="69"/>
  <c r="E12" i="69"/>
  <c r="E37" i="69" s="1"/>
  <c r="C6" i="69"/>
  <c r="D9" i="69" s="1"/>
  <c r="C5" i="69"/>
  <c r="C4" i="69"/>
  <c r="E49" i="68"/>
  <c r="E48" i="68"/>
  <c r="E47" i="68"/>
  <c r="E46" i="68"/>
  <c r="E45" i="68"/>
  <c r="E44" i="68"/>
  <c r="E43" i="68"/>
  <c r="E42" i="68"/>
  <c r="E36" i="68"/>
  <c r="E35" i="68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37" i="68" s="1"/>
  <c r="E12" i="68"/>
  <c r="C6" i="68"/>
  <c r="D9" i="68" s="1"/>
  <c r="F9" i="68" s="1"/>
  <c r="C5" i="68"/>
  <c r="C4" i="68"/>
  <c r="E49" i="67"/>
  <c r="E48" i="67"/>
  <c r="E47" i="67"/>
  <c r="E46" i="67"/>
  <c r="E45" i="67"/>
  <c r="E44" i="67"/>
  <c r="E43" i="67"/>
  <c r="E42" i="67"/>
  <c r="E36" i="67"/>
  <c r="E35" i="67"/>
  <c r="E34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37" i="67" s="1"/>
  <c r="C6" i="67"/>
  <c r="F3" i="67" s="1"/>
  <c r="C5" i="67"/>
  <c r="C4" i="67"/>
  <c r="E49" i="66"/>
  <c r="E48" i="66"/>
  <c r="E47" i="66"/>
  <c r="E46" i="66"/>
  <c r="E45" i="66"/>
  <c r="E44" i="66"/>
  <c r="E43" i="66"/>
  <c r="E42" i="66"/>
  <c r="E36" i="66"/>
  <c r="E35" i="66"/>
  <c r="E34" i="66"/>
  <c r="E33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37" i="66" s="1"/>
  <c r="Q67" i="1" s="1"/>
  <c r="C6" i="66"/>
  <c r="D9" i="66" s="1"/>
  <c r="C5" i="66"/>
  <c r="C4" i="66"/>
  <c r="E49" i="65"/>
  <c r="E48" i="65"/>
  <c r="E47" i="65"/>
  <c r="E46" i="65"/>
  <c r="E45" i="65"/>
  <c r="E44" i="65"/>
  <c r="E43" i="65"/>
  <c r="E42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37" i="65" s="1"/>
  <c r="Q66" i="1" s="1"/>
  <c r="C6" i="65"/>
  <c r="F3" i="65" s="1"/>
  <c r="C5" i="65"/>
  <c r="C4" i="65"/>
  <c r="E49" i="64"/>
  <c r="E48" i="64"/>
  <c r="E47" i="64"/>
  <c r="E46" i="64"/>
  <c r="E45" i="64"/>
  <c r="E44" i="64"/>
  <c r="E43" i="64"/>
  <c r="E42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C6" i="64"/>
  <c r="F3" i="64" s="1"/>
  <c r="C5" i="64"/>
  <c r="C4" i="64"/>
  <c r="E49" i="63"/>
  <c r="E48" i="63"/>
  <c r="E47" i="63"/>
  <c r="E46" i="63"/>
  <c r="E45" i="63"/>
  <c r="E44" i="63"/>
  <c r="E43" i="63"/>
  <c r="E42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37" i="63" s="1"/>
  <c r="Q64" i="1" s="1"/>
  <c r="C6" i="63"/>
  <c r="F3" i="63" s="1"/>
  <c r="C5" i="63"/>
  <c r="C4" i="63"/>
  <c r="E49" i="62"/>
  <c r="E48" i="62"/>
  <c r="E47" i="62"/>
  <c r="E46" i="62"/>
  <c r="E45" i="62"/>
  <c r="E44" i="62"/>
  <c r="E43" i="62"/>
  <c r="E42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37" i="62" s="1"/>
  <c r="Q63" i="1" s="1"/>
  <c r="C6" i="62"/>
  <c r="D9" i="62" s="1"/>
  <c r="C5" i="62"/>
  <c r="C4" i="62"/>
  <c r="E49" i="61"/>
  <c r="E48" i="61"/>
  <c r="E47" i="61"/>
  <c r="E46" i="61"/>
  <c r="E45" i="61"/>
  <c r="E44" i="61"/>
  <c r="E43" i="61"/>
  <c r="E42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37" i="61" s="1"/>
  <c r="Q62" i="1" s="1"/>
  <c r="C6" i="61"/>
  <c r="D9" i="61" s="1"/>
  <c r="C5" i="61"/>
  <c r="C4" i="61"/>
  <c r="E49" i="60"/>
  <c r="E48" i="60"/>
  <c r="E47" i="60"/>
  <c r="E46" i="60"/>
  <c r="E45" i="60"/>
  <c r="E44" i="60"/>
  <c r="E43" i="60"/>
  <c r="E42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C6" i="60"/>
  <c r="D9" i="60" s="1"/>
  <c r="C5" i="60"/>
  <c r="C4" i="60"/>
  <c r="E49" i="59"/>
  <c r="E48" i="59"/>
  <c r="E47" i="59"/>
  <c r="E46" i="59"/>
  <c r="E45" i="59"/>
  <c r="E44" i="59"/>
  <c r="E43" i="59"/>
  <c r="E42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37" i="59" s="1"/>
  <c r="Q60" i="1" s="1"/>
  <c r="C6" i="59"/>
  <c r="F3" i="59" s="1"/>
  <c r="C5" i="59"/>
  <c r="C4" i="59"/>
  <c r="E49" i="58"/>
  <c r="E48" i="58"/>
  <c r="E47" i="58"/>
  <c r="E46" i="58"/>
  <c r="E45" i="58"/>
  <c r="E44" i="58"/>
  <c r="E43" i="58"/>
  <c r="E42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37" i="58" s="1"/>
  <c r="Q59" i="1" s="1"/>
  <c r="C6" i="58"/>
  <c r="D9" i="58" s="1"/>
  <c r="F9" i="58" s="1"/>
  <c r="C5" i="58"/>
  <c r="C4" i="58"/>
  <c r="E49" i="57"/>
  <c r="E48" i="57"/>
  <c r="E47" i="57"/>
  <c r="E46" i="57"/>
  <c r="E45" i="57"/>
  <c r="E44" i="57"/>
  <c r="E43" i="57"/>
  <c r="E42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37" i="57" s="1"/>
  <c r="Q58" i="1" s="1"/>
  <c r="C6" i="57"/>
  <c r="D9" i="57" s="1"/>
  <c r="F9" i="57" s="1"/>
  <c r="C5" i="57"/>
  <c r="C4" i="57"/>
  <c r="E49" i="56"/>
  <c r="E48" i="56"/>
  <c r="E47" i="56"/>
  <c r="E46" i="56"/>
  <c r="E45" i="56"/>
  <c r="E44" i="56"/>
  <c r="E43" i="56"/>
  <c r="E42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C6" i="56"/>
  <c r="D9" i="56" s="1"/>
  <c r="C5" i="56"/>
  <c r="C4" i="56"/>
  <c r="E49" i="55"/>
  <c r="E48" i="55"/>
  <c r="E47" i="55"/>
  <c r="E46" i="55"/>
  <c r="E45" i="55"/>
  <c r="E44" i="55"/>
  <c r="E43" i="55"/>
  <c r="E42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37" i="55" s="1"/>
  <c r="Q56" i="1" s="1"/>
  <c r="C6" i="55"/>
  <c r="F3" i="55" s="1"/>
  <c r="C5" i="55"/>
  <c r="C4" i="55"/>
  <c r="E49" i="54"/>
  <c r="E48" i="54"/>
  <c r="E47" i="54"/>
  <c r="E46" i="54"/>
  <c r="E45" i="54"/>
  <c r="E44" i="54"/>
  <c r="E43" i="54"/>
  <c r="E42" i="54"/>
  <c r="E36" i="54"/>
  <c r="E35" i="54"/>
  <c r="E34" i="54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37" i="54" s="1"/>
  <c r="Q55" i="1" s="1"/>
  <c r="C6" i="54"/>
  <c r="D9" i="54" s="1"/>
  <c r="C5" i="54"/>
  <c r="C4" i="54"/>
  <c r="E49" i="53"/>
  <c r="E48" i="53"/>
  <c r="E47" i="53"/>
  <c r="E46" i="53"/>
  <c r="E45" i="53"/>
  <c r="E44" i="53"/>
  <c r="E43" i="53"/>
  <c r="E42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37" i="53" s="1"/>
  <c r="Q54" i="1" s="1"/>
  <c r="C6" i="53"/>
  <c r="D9" i="53" s="1"/>
  <c r="C5" i="53"/>
  <c r="C4" i="53"/>
  <c r="E49" i="52"/>
  <c r="E48" i="52"/>
  <c r="E47" i="52"/>
  <c r="E46" i="52"/>
  <c r="E45" i="52"/>
  <c r="E44" i="52"/>
  <c r="E43" i="52"/>
  <c r="E42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C6" i="52"/>
  <c r="D9" i="52" s="1"/>
  <c r="C5" i="52"/>
  <c r="C4" i="52"/>
  <c r="E49" i="51"/>
  <c r="E48" i="51"/>
  <c r="E47" i="51"/>
  <c r="E46" i="51"/>
  <c r="E45" i="51"/>
  <c r="E44" i="51"/>
  <c r="E43" i="51"/>
  <c r="E42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37" i="51" s="1"/>
  <c r="Q52" i="1" s="1"/>
  <c r="C6" i="51"/>
  <c r="F3" i="51" s="1"/>
  <c r="C5" i="51"/>
  <c r="C4" i="51"/>
  <c r="E49" i="50"/>
  <c r="E48" i="50"/>
  <c r="E47" i="50"/>
  <c r="E46" i="50"/>
  <c r="E45" i="50"/>
  <c r="E44" i="50"/>
  <c r="E43" i="50"/>
  <c r="E42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37" i="50" s="1"/>
  <c r="Q51" i="1" s="1"/>
  <c r="C6" i="50"/>
  <c r="D9" i="50" s="1"/>
  <c r="F9" i="50" s="1"/>
  <c r="C5" i="50"/>
  <c r="C4" i="50"/>
  <c r="E49" i="49"/>
  <c r="E48" i="49"/>
  <c r="E47" i="49"/>
  <c r="E46" i="49"/>
  <c r="E45" i="49"/>
  <c r="E44" i="49"/>
  <c r="E43" i="49"/>
  <c r="E42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37" i="49" s="1"/>
  <c r="Q50" i="1" s="1"/>
  <c r="C6" i="49"/>
  <c r="D9" i="49" s="1"/>
  <c r="F9" i="49" s="1"/>
  <c r="C5" i="49"/>
  <c r="C4" i="49"/>
  <c r="E49" i="48"/>
  <c r="E48" i="48"/>
  <c r="E47" i="48"/>
  <c r="E46" i="48"/>
  <c r="E45" i="48"/>
  <c r="E44" i="48"/>
  <c r="E43" i="48"/>
  <c r="E42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C6" i="48"/>
  <c r="D9" i="48" s="1"/>
  <c r="C5" i="48"/>
  <c r="C4" i="48"/>
  <c r="E49" i="47"/>
  <c r="E48" i="47"/>
  <c r="E47" i="47"/>
  <c r="E46" i="47"/>
  <c r="E45" i="47"/>
  <c r="E44" i="47"/>
  <c r="E43" i="47"/>
  <c r="E42" i="47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37" i="47" s="1"/>
  <c r="Q48" i="1" s="1"/>
  <c r="C6" i="47"/>
  <c r="F3" i="47" s="1"/>
  <c r="C5" i="47"/>
  <c r="C4" i="47"/>
  <c r="E49" i="46"/>
  <c r="E48" i="46"/>
  <c r="E47" i="46"/>
  <c r="E46" i="46"/>
  <c r="E45" i="46"/>
  <c r="E44" i="46"/>
  <c r="E43" i="46"/>
  <c r="E42" i="46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37" i="46" s="1"/>
  <c r="Q47" i="1" s="1"/>
  <c r="C6" i="46"/>
  <c r="D9" i="46" s="1"/>
  <c r="C5" i="46"/>
  <c r="C4" i="46"/>
  <c r="E49" i="45"/>
  <c r="E48" i="45"/>
  <c r="E47" i="45"/>
  <c r="E46" i="45"/>
  <c r="E45" i="45"/>
  <c r="E44" i="45"/>
  <c r="E43" i="45"/>
  <c r="E42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C6" i="45"/>
  <c r="D9" i="45" s="1"/>
  <c r="C5" i="45"/>
  <c r="C4" i="45"/>
  <c r="E49" i="44"/>
  <c r="E48" i="44"/>
  <c r="E47" i="44"/>
  <c r="E46" i="44"/>
  <c r="E45" i="44"/>
  <c r="E44" i="44"/>
  <c r="E43" i="44"/>
  <c r="E42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C6" i="44"/>
  <c r="F3" i="44" s="1"/>
  <c r="C5" i="44"/>
  <c r="C4" i="44"/>
  <c r="E49" i="43"/>
  <c r="E48" i="43"/>
  <c r="E47" i="43"/>
  <c r="E46" i="43"/>
  <c r="E45" i="43"/>
  <c r="E44" i="43"/>
  <c r="E43" i="43"/>
  <c r="E42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37" i="43" s="1"/>
  <c r="Q44" i="1" s="1"/>
  <c r="C6" i="43"/>
  <c r="F3" i="43" s="1"/>
  <c r="C5" i="43"/>
  <c r="C4" i="43"/>
  <c r="E49" i="42"/>
  <c r="E48" i="42"/>
  <c r="E47" i="42"/>
  <c r="E46" i="42"/>
  <c r="E45" i="42"/>
  <c r="E44" i="42"/>
  <c r="E43" i="42"/>
  <c r="E42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37" i="42" s="1"/>
  <c r="Q43" i="1" s="1"/>
  <c r="C6" i="42"/>
  <c r="D9" i="42" s="1"/>
  <c r="C5" i="42"/>
  <c r="C4" i="42"/>
  <c r="E49" i="41"/>
  <c r="E48" i="41"/>
  <c r="E47" i="41"/>
  <c r="E46" i="41"/>
  <c r="E45" i="41"/>
  <c r="E44" i="41"/>
  <c r="E43" i="41"/>
  <c r="E42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C6" i="41"/>
  <c r="D9" i="41" s="1"/>
  <c r="C5" i="41"/>
  <c r="C4" i="41"/>
  <c r="E49" i="40"/>
  <c r="E48" i="40"/>
  <c r="E47" i="40"/>
  <c r="E46" i="40"/>
  <c r="E45" i="40"/>
  <c r="E44" i="40"/>
  <c r="E43" i="40"/>
  <c r="E42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C6" i="40"/>
  <c r="F3" i="40" s="1"/>
  <c r="C5" i="40"/>
  <c r="C4" i="40"/>
  <c r="E49" i="39"/>
  <c r="E48" i="39"/>
  <c r="E47" i="39"/>
  <c r="E46" i="39"/>
  <c r="E45" i="39"/>
  <c r="E44" i="39"/>
  <c r="E43" i="39"/>
  <c r="E42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37" i="39" s="1"/>
  <c r="Q40" i="1" s="1"/>
  <c r="C6" i="39"/>
  <c r="F3" i="39" s="1"/>
  <c r="C5" i="39"/>
  <c r="C4" i="39"/>
  <c r="E49" i="38"/>
  <c r="E48" i="38"/>
  <c r="E47" i="38"/>
  <c r="E46" i="38"/>
  <c r="E45" i="38"/>
  <c r="E44" i="38"/>
  <c r="E43" i="38"/>
  <c r="E42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37" i="38" s="1"/>
  <c r="Q39" i="1" s="1"/>
  <c r="C6" i="38"/>
  <c r="D9" i="38" s="1"/>
  <c r="C5" i="38"/>
  <c r="C4" i="38"/>
  <c r="E49" i="37"/>
  <c r="E48" i="37"/>
  <c r="E47" i="37"/>
  <c r="E46" i="37"/>
  <c r="E45" i="37"/>
  <c r="E44" i="37"/>
  <c r="E43" i="37"/>
  <c r="E42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C6" i="37"/>
  <c r="D9" i="37" s="1"/>
  <c r="C5" i="37"/>
  <c r="C4" i="37"/>
  <c r="E49" i="36"/>
  <c r="E48" i="36"/>
  <c r="E47" i="36"/>
  <c r="E46" i="36"/>
  <c r="E45" i="36"/>
  <c r="E44" i="36"/>
  <c r="E43" i="36"/>
  <c r="E42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C6" i="36"/>
  <c r="F3" i="36" s="1"/>
  <c r="C5" i="36"/>
  <c r="C4" i="36"/>
  <c r="E49" i="35"/>
  <c r="E48" i="35"/>
  <c r="E47" i="35"/>
  <c r="E46" i="35"/>
  <c r="E45" i="35"/>
  <c r="E44" i="35"/>
  <c r="E43" i="35"/>
  <c r="E42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37" i="35" s="1"/>
  <c r="Q36" i="1" s="1"/>
  <c r="C6" i="35"/>
  <c r="F3" i="35" s="1"/>
  <c r="C5" i="35"/>
  <c r="C4" i="35"/>
  <c r="E49" i="34"/>
  <c r="E48" i="34"/>
  <c r="E47" i="34"/>
  <c r="E46" i="34"/>
  <c r="E45" i="34"/>
  <c r="E44" i="34"/>
  <c r="E43" i="34"/>
  <c r="E42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37" i="34" s="1"/>
  <c r="Q35" i="1" s="1"/>
  <c r="C6" i="34"/>
  <c r="D9" i="34" s="1"/>
  <c r="C5" i="34"/>
  <c r="C4" i="34"/>
  <c r="F3" i="34"/>
  <c r="F4" i="34" s="1"/>
  <c r="F6" i="34" s="1"/>
  <c r="E49" i="33"/>
  <c r="E48" i="33"/>
  <c r="E47" i="33"/>
  <c r="E46" i="33"/>
  <c r="E45" i="33"/>
  <c r="E44" i="33"/>
  <c r="E43" i="33"/>
  <c r="E42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C6" i="33"/>
  <c r="D9" i="33" s="1"/>
  <c r="C5" i="33"/>
  <c r="C4" i="33"/>
  <c r="E49" i="32"/>
  <c r="E48" i="32"/>
  <c r="E47" i="32"/>
  <c r="E46" i="32"/>
  <c r="E45" i="32"/>
  <c r="E44" i="32"/>
  <c r="E43" i="32"/>
  <c r="E42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C6" i="32"/>
  <c r="F3" i="32" s="1"/>
  <c r="C5" i="32"/>
  <c r="C4" i="32"/>
  <c r="E49" i="31"/>
  <c r="E48" i="31"/>
  <c r="E47" i="31"/>
  <c r="E46" i="31"/>
  <c r="E45" i="31"/>
  <c r="E44" i="31"/>
  <c r="E43" i="31"/>
  <c r="E42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37" i="31" s="1"/>
  <c r="Q32" i="1" s="1"/>
  <c r="C6" i="31"/>
  <c r="D9" i="31" s="1"/>
  <c r="C5" i="31"/>
  <c r="C4" i="31"/>
  <c r="E49" i="30"/>
  <c r="E48" i="30"/>
  <c r="E47" i="30"/>
  <c r="E46" i="30"/>
  <c r="E45" i="30"/>
  <c r="E44" i="30"/>
  <c r="E43" i="30"/>
  <c r="E42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C6" i="30"/>
  <c r="D9" i="30" s="1"/>
  <c r="C5" i="30"/>
  <c r="C4" i="30"/>
  <c r="E49" i="29"/>
  <c r="E48" i="29"/>
  <c r="E47" i="29"/>
  <c r="E46" i="29"/>
  <c r="E45" i="29"/>
  <c r="E44" i="29"/>
  <c r="E43" i="29"/>
  <c r="E42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37" i="29" s="1"/>
  <c r="Q30" i="1" s="1"/>
  <c r="C6" i="29"/>
  <c r="F3" i="29" s="1"/>
  <c r="C5" i="29"/>
  <c r="C4" i="29"/>
  <c r="E49" i="28"/>
  <c r="E48" i="28"/>
  <c r="E47" i="28"/>
  <c r="E46" i="28"/>
  <c r="E45" i="28"/>
  <c r="E44" i="28"/>
  <c r="E43" i="28"/>
  <c r="E42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37" i="28" s="1"/>
  <c r="Q29" i="1" s="1"/>
  <c r="C6" i="28"/>
  <c r="D9" i="28" s="1"/>
  <c r="F9" i="28" s="1"/>
  <c r="C5" i="28"/>
  <c r="C4" i="28"/>
  <c r="E49" i="27"/>
  <c r="E48" i="27"/>
  <c r="E47" i="27"/>
  <c r="E46" i="27"/>
  <c r="E45" i="27"/>
  <c r="E44" i="27"/>
  <c r="E43" i="27"/>
  <c r="E42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37" i="27" s="1"/>
  <c r="Q28" i="1" s="1"/>
  <c r="C6" i="27"/>
  <c r="D9" i="27" s="1"/>
  <c r="F9" i="27" s="1"/>
  <c r="C5" i="27"/>
  <c r="C4" i="27"/>
  <c r="E49" i="26"/>
  <c r="E48" i="26"/>
  <c r="E47" i="26"/>
  <c r="E46" i="26"/>
  <c r="E45" i="26"/>
  <c r="E44" i="26"/>
  <c r="E43" i="26"/>
  <c r="E42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C6" i="26"/>
  <c r="D9" i="26" s="1"/>
  <c r="C5" i="26"/>
  <c r="C4" i="26"/>
  <c r="E49" i="25"/>
  <c r="E48" i="25"/>
  <c r="E47" i="25"/>
  <c r="E46" i="25"/>
  <c r="E45" i="25"/>
  <c r="E44" i="25"/>
  <c r="E43" i="25"/>
  <c r="E42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37" i="25" s="1"/>
  <c r="Q26" i="1" s="1"/>
  <c r="C6" i="25"/>
  <c r="F3" i="25" s="1"/>
  <c r="C5" i="25"/>
  <c r="C4" i="25"/>
  <c r="E49" i="24"/>
  <c r="E48" i="24"/>
  <c r="E47" i="24"/>
  <c r="E46" i="24"/>
  <c r="E45" i="24"/>
  <c r="E44" i="24"/>
  <c r="E43" i="24"/>
  <c r="E42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37" i="24" s="1"/>
  <c r="Q25" i="1" s="1"/>
  <c r="C6" i="24"/>
  <c r="D9" i="24" s="1"/>
  <c r="C5" i="24"/>
  <c r="C4" i="24"/>
  <c r="E49" i="23"/>
  <c r="E48" i="23"/>
  <c r="E47" i="23"/>
  <c r="E46" i="23"/>
  <c r="E45" i="23"/>
  <c r="E44" i="23"/>
  <c r="E43" i="23"/>
  <c r="E42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37" i="23" s="1"/>
  <c r="Q24" i="1" s="1"/>
  <c r="C6" i="23"/>
  <c r="D9" i="23" s="1"/>
  <c r="C5" i="23"/>
  <c r="C4" i="23"/>
  <c r="E49" i="22"/>
  <c r="E48" i="22"/>
  <c r="E47" i="22"/>
  <c r="E46" i="22"/>
  <c r="E45" i="22"/>
  <c r="E44" i="22"/>
  <c r="E43" i="22"/>
  <c r="E42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C6" i="22"/>
  <c r="D9" i="22" s="1"/>
  <c r="C5" i="22"/>
  <c r="C4" i="22"/>
  <c r="E49" i="21"/>
  <c r="E48" i="21"/>
  <c r="E47" i="21"/>
  <c r="E46" i="21"/>
  <c r="E45" i="21"/>
  <c r="E44" i="21"/>
  <c r="E43" i="21"/>
  <c r="E42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37" i="21" s="1"/>
  <c r="Q22" i="1" s="1"/>
  <c r="C6" i="21"/>
  <c r="F3" i="21" s="1"/>
  <c r="C5" i="21"/>
  <c r="C4" i="21"/>
  <c r="E49" i="20"/>
  <c r="E48" i="20"/>
  <c r="E47" i="20"/>
  <c r="E46" i="20"/>
  <c r="E45" i="20"/>
  <c r="E44" i="20"/>
  <c r="E43" i="20"/>
  <c r="E42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37" i="20" s="1"/>
  <c r="Q21" i="1" s="1"/>
  <c r="C6" i="20"/>
  <c r="D9" i="20" s="1"/>
  <c r="F9" i="20" s="1"/>
  <c r="C5" i="20"/>
  <c r="C4" i="20"/>
  <c r="E49" i="19"/>
  <c r="E48" i="19"/>
  <c r="E47" i="19"/>
  <c r="E46" i="19"/>
  <c r="E45" i="19"/>
  <c r="E44" i="19"/>
  <c r="E43" i="19"/>
  <c r="E42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C6" i="19"/>
  <c r="D9" i="19" s="1"/>
  <c r="C5" i="19"/>
  <c r="C4" i="19"/>
  <c r="E49" i="18"/>
  <c r="E48" i="18"/>
  <c r="E47" i="18"/>
  <c r="E46" i="18"/>
  <c r="E45" i="18"/>
  <c r="E44" i="18"/>
  <c r="E43" i="18"/>
  <c r="E42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37" i="18" s="1"/>
  <c r="Q19" i="1" s="1"/>
  <c r="C6" i="18"/>
  <c r="F3" i="18" s="1"/>
  <c r="C5" i="18"/>
  <c r="C4" i="18"/>
  <c r="E49" i="17"/>
  <c r="E48" i="17"/>
  <c r="E47" i="17"/>
  <c r="E46" i="17"/>
  <c r="E45" i="17"/>
  <c r="E44" i="17"/>
  <c r="E43" i="17"/>
  <c r="E42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37" i="17" s="1"/>
  <c r="Q18" i="1" s="1"/>
  <c r="C6" i="17"/>
  <c r="D9" i="17" s="1"/>
  <c r="F9" i="17" s="1"/>
  <c r="C5" i="17"/>
  <c r="C4" i="17"/>
  <c r="E49" i="16"/>
  <c r="E48" i="16"/>
  <c r="E47" i="16"/>
  <c r="E46" i="16"/>
  <c r="E45" i="16"/>
  <c r="E44" i="16"/>
  <c r="E43" i="16"/>
  <c r="E42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37" i="16" s="1"/>
  <c r="Q17" i="1" s="1"/>
  <c r="C6" i="16"/>
  <c r="F3" i="16" s="1"/>
  <c r="F4" i="16" s="1"/>
  <c r="C5" i="16"/>
  <c r="C4" i="16"/>
  <c r="E49" i="15"/>
  <c r="E48" i="15"/>
  <c r="E47" i="15"/>
  <c r="E46" i="15"/>
  <c r="E45" i="15"/>
  <c r="E44" i="15"/>
  <c r="E43" i="15"/>
  <c r="E42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C6" i="15"/>
  <c r="D9" i="15" s="1"/>
  <c r="C5" i="15"/>
  <c r="C4" i="15"/>
  <c r="E49" i="14"/>
  <c r="E48" i="14"/>
  <c r="E47" i="14"/>
  <c r="E46" i="14"/>
  <c r="E45" i="14"/>
  <c r="E44" i="14"/>
  <c r="E43" i="14"/>
  <c r="E42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37" i="14" s="1"/>
  <c r="Q15" i="1" s="1"/>
  <c r="C6" i="14"/>
  <c r="F3" i="14" s="1"/>
  <c r="C5" i="14"/>
  <c r="C4" i="14"/>
  <c r="E49" i="13"/>
  <c r="E48" i="13"/>
  <c r="E47" i="13"/>
  <c r="E46" i="13"/>
  <c r="E45" i="13"/>
  <c r="E44" i="13"/>
  <c r="E43" i="13"/>
  <c r="E42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37" i="13" s="1"/>
  <c r="C6" i="13"/>
  <c r="D9" i="13" s="1"/>
  <c r="C5" i="13"/>
  <c r="C4" i="13"/>
  <c r="E49" i="12"/>
  <c r="E48" i="12"/>
  <c r="E47" i="12"/>
  <c r="E46" i="12"/>
  <c r="E45" i="12"/>
  <c r="E44" i="12"/>
  <c r="E43" i="12"/>
  <c r="E42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37" i="12" s="1"/>
  <c r="C6" i="12"/>
  <c r="D9" i="12" s="1"/>
  <c r="C5" i="12"/>
  <c r="C4" i="12"/>
  <c r="E49" i="11"/>
  <c r="E48" i="11"/>
  <c r="E47" i="11"/>
  <c r="E46" i="11"/>
  <c r="E45" i="11"/>
  <c r="E44" i="11"/>
  <c r="E43" i="11"/>
  <c r="E42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37" i="11" s="1"/>
  <c r="Q12" i="1" s="1"/>
  <c r="C6" i="11"/>
  <c r="D9" i="11" s="1"/>
  <c r="F9" i="11" s="1"/>
  <c r="C5" i="11"/>
  <c r="C4" i="11"/>
  <c r="E49" i="10"/>
  <c r="E48" i="10"/>
  <c r="E47" i="10"/>
  <c r="E46" i="10"/>
  <c r="E45" i="10"/>
  <c r="E44" i="10"/>
  <c r="E43" i="10"/>
  <c r="E42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37" i="10" s="1"/>
  <c r="Q11" i="1" s="1"/>
  <c r="C6" i="10"/>
  <c r="D9" i="10" s="1"/>
  <c r="C5" i="10"/>
  <c r="C4" i="10"/>
  <c r="E49" i="9"/>
  <c r="E48" i="9"/>
  <c r="E47" i="9"/>
  <c r="E46" i="9"/>
  <c r="E45" i="9"/>
  <c r="E44" i="9"/>
  <c r="E43" i="9"/>
  <c r="E42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37" i="9" s="1"/>
  <c r="Q10" i="1" s="1"/>
  <c r="C6" i="9"/>
  <c r="F3" i="9" s="1"/>
  <c r="C5" i="9"/>
  <c r="C4" i="9"/>
  <c r="E49" i="8"/>
  <c r="E48" i="8"/>
  <c r="E47" i="8"/>
  <c r="E46" i="8"/>
  <c r="E45" i="8"/>
  <c r="E44" i="8"/>
  <c r="E43" i="8"/>
  <c r="E42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37" i="8" s="1"/>
  <c r="Q9" i="1" s="1"/>
  <c r="C6" i="8"/>
  <c r="D9" i="8" s="1"/>
  <c r="F9" i="8" s="1"/>
  <c r="C5" i="8"/>
  <c r="C4" i="8"/>
  <c r="E49" i="7"/>
  <c r="E48" i="7"/>
  <c r="E47" i="7"/>
  <c r="E46" i="7"/>
  <c r="E45" i="7"/>
  <c r="E44" i="7"/>
  <c r="E43" i="7"/>
  <c r="E42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37" i="7" s="1"/>
  <c r="Q8" i="1" s="1"/>
  <c r="C6" i="7"/>
  <c r="F3" i="7" s="1"/>
  <c r="C5" i="7"/>
  <c r="C4" i="7"/>
  <c r="E49" i="6"/>
  <c r="E48" i="6"/>
  <c r="E47" i="6"/>
  <c r="E46" i="6"/>
  <c r="E45" i="6"/>
  <c r="E44" i="6"/>
  <c r="E43" i="6"/>
  <c r="E42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37" i="6" s="1"/>
  <c r="Q7" i="1" s="1"/>
  <c r="C6" i="6"/>
  <c r="D9" i="6" s="1"/>
  <c r="C5" i="6"/>
  <c r="C4" i="6"/>
  <c r="E49" i="5"/>
  <c r="E48" i="5"/>
  <c r="E47" i="5"/>
  <c r="E46" i="5"/>
  <c r="E45" i="5"/>
  <c r="E44" i="5"/>
  <c r="E43" i="5"/>
  <c r="E42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37" i="5" s="1"/>
  <c r="Q6" i="1" s="1"/>
  <c r="C6" i="5"/>
  <c r="D9" i="5" s="1"/>
  <c r="F9" i="5" s="1"/>
  <c r="C5" i="5"/>
  <c r="C4" i="5"/>
  <c r="E49" i="4"/>
  <c r="E48" i="4"/>
  <c r="E47" i="4"/>
  <c r="E46" i="4"/>
  <c r="E45" i="4"/>
  <c r="E44" i="4"/>
  <c r="E43" i="4"/>
  <c r="E42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3" i="4"/>
  <c r="E12" i="4"/>
  <c r="E37" i="4" s="1"/>
  <c r="Q5" i="1" s="1"/>
  <c r="C6" i="4"/>
  <c r="D9" i="4" s="1"/>
  <c r="C5" i="4"/>
  <c r="C4" i="4"/>
  <c r="C6" i="3"/>
  <c r="F3" i="3" s="1"/>
  <c r="C5" i="3"/>
  <c r="C4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Q4" i="1" s="1"/>
  <c r="E42" i="3"/>
  <c r="E43" i="3"/>
  <c r="E44" i="3"/>
  <c r="E45" i="3"/>
  <c r="E46" i="3"/>
  <c r="E47" i="3"/>
  <c r="E48" i="3"/>
  <c r="E49" i="3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F3" i="38" l="1"/>
  <c r="F4" i="38" s="1"/>
  <c r="F6" i="38" s="1"/>
  <c r="F3" i="79"/>
  <c r="F4" i="79" s="1"/>
  <c r="F6" i="79" s="1"/>
  <c r="F3" i="53"/>
  <c r="F4" i="53" s="1"/>
  <c r="F6" i="53" s="1"/>
  <c r="F3" i="30"/>
  <c r="F5" i="30" s="1"/>
  <c r="F3" i="60"/>
  <c r="F5" i="60" s="1"/>
  <c r="F3" i="82"/>
  <c r="F4" i="82" s="1"/>
  <c r="F6" i="82" s="1"/>
  <c r="E37" i="40"/>
  <c r="Q41" i="1" s="1"/>
  <c r="E37" i="37"/>
  <c r="E37" i="36"/>
  <c r="Q37" i="1" s="1"/>
  <c r="E37" i="33"/>
  <c r="Q34" i="1" s="1"/>
  <c r="E37" i="32"/>
  <c r="Q33" i="1" s="1"/>
  <c r="E37" i="30"/>
  <c r="E37" i="26"/>
  <c r="Q27" i="1" s="1"/>
  <c r="E37" i="22"/>
  <c r="E37" i="80"/>
  <c r="E37" i="72"/>
  <c r="E37" i="64"/>
  <c r="Q65" i="1" s="1"/>
  <c r="E37" i="60"/>
  <c r="E37" i="56"/>
  <c r="Q57" i="1" s="1"/>
  <c r="E37" i="52"/>
  <c r="E37" i="48"/>
  <c r="Q49" i="1" s="1"/>
  <c r="E37" i="45"/>
  <c r="Q46" i="1" s="1"/>
  <c r="E37" i="44"/>
  <c r="Q45" i="1" s="1"/>
  <c r="E37" i="41"/>
  <c r="E37" i="19"/>
  <c r="F4" i="81"/>
  <c r="F6" i="81" s="1"/>
  <c r="F4" i="80"/>
  <c r="F6" i="80" s="1"/>
  <c r="F5" i="78"/>
  <c r="D9" i="77"/>
  <c r="F9" i="77" s="1"/>
  <c r="F3" i="76"/>
  <c r="F5" i="76" s="1"/>
  <c r="F3" i="74"/>
  <c r="F4" i="74" s="1"/>
  <c r="F6" i="74" s="1"/>
  <c r="F9" i="74"/>
  <c r="D9" i="73"/>
  <c r="F9" i="73" s="1"/>
  <c r="F3" i="72"/>
  <c r="F5" i="72" s="1"/>
  <c r="F3" i="70"/>
  <c r="F4" i="70" s="1"/>
  <c r="F6" i="70" s="1"/>
  <c r="F3" i="69"/>
  <c r="F4" i="69" s="1"/>
  <c r="F6" i="69" s="1"/>
  <c r="F3" i="68"/>
  <c r="F5" i="68" s="1"/>
  <c r="F3" i="66"/>
  <c r="F5" i="66" s="1"/>
  <c r="D9" i="65"/>
  <c r="F9" i="65" s="1"/>
  <c r="F3" i="62"/>
  <c r="F4" i="62" s="1"/>
  <c r="F6" i="62" s="1"/>
  <c r="F4" i="73"/>
  <c r="F6" i="73" s="1"/>
  <c r="F5" i="73"/>
  <c r="F9" i="66"/>
  <c r="F5" i="67"/>
  <c r="F4" i="67"/>
  <c r="F6" i="67" s="1"/>
  <c r="F9" i="69"/>
  <c r="F4" i="77"/>
  <c r="F6" i="77" s="1"/>
  <c r="F5" i="77"/>
  <c r="F5" i="71"/>
  <c r="F4" i="71"/>
  <c r="F6" i="71" s="1"/>
  <c r="F9" i="62"/>
  <c r="F5" i="63"/>
  <c r="F4" i="63"/>
  <c r="F6" i="63" s="1"/>
  <c r="F4" i="64"/>
  <c r="F6" i="64" s="1"/>
  <c r="F5" i="64"/>
  <c r="F4" i="65"/>
  <c r="F6" i="65" s="1"/>
  <c r="F5" i="65"/>
  <c r="F5" i="75"/>
  <c r="F4" i="75"/>
  <c r="F6" i="75" s="1"/>
  <c r="D9" i="64"/>
  <c r="F9" i="64" s="1"/>
  <c r="F3" i="61"/>
  <c r="F4" i="61" s="1"/>
  <c r="F6" i="61" s="1"/>
  <c r="D9" i="63"/>
  <c r="F9" i="63" s="1"/>
  <c r="D9" i="67"/>
  <c r="F9" i="67" s="1"/>
  <c r="D9" i="71"/>
  <c r="F9" i="71" s="1"/>
  <c r="D9" i="75"/>
  <c r="F9" i="75" s="1"/>
  <c r="F3" i="58"/>
  <c r="F5" i="58" s="1"/>
  <c r="F3" i="57"/>
  <c r="F4" i="57" s="1"/>
  <c r="F6" i="57" s="1"/>
  <c r="F3" i="56"/>
  <c r="F5" i="56" s="1"/>
  <c r="F3" i="54"/>
  <c r="F5" i="54" s="1"/>
  <c r="F3" i="52"/>
  <c r="F5" i="52" s="1"/>
  <c r="F3" i="50"/>
  <c r="F5" i="50" s="1"/>
  <c r="F3" i="49"/>
  <c r="F4" i="49" s="1"/>
  <c r="F6" i="49" s="1"/>
  <c r="F3" i="48"/>
  <c r="F5" i="48" s="1"/>
  <c r="F3" i="46"/>
  <c r="F4" i="46" s="1"/>
  <c r="F6" i="46" s="1"/>
  <c r="F5" i="51"/>
  <c r="F4" i="51"/>
  <c r="F6" i="51" s="1"/>
  <c r="F5" i="59"/>
  <c r="F4" i="59"/>
  <c r="F6" i="59" s="1"/>
  <c r="F9" i="48"/>
  <c r="F9" i="53"/>
  <c r="F9" i="56"/>
  <c r="F9" i="61"/>
  <c r="F9" i="46"/>
  <c r="F5" i="47"/>
  <c r="F4" i="47"/>
  <c r="F6" i="47" s="1"/>
  <c r="F9" i="54"/>
  <c r="F5" i="55"/>
  <c r="F4" i="55"/>
  <c r="F6" i="55" s="1"/>
  <c r="F3" i="26"/>
  <c r="F5" i="26" s="1"/>
  <c r="D9" i="47"/>
  <c r="F9" i="47" s="1"/>
  <c r="D9" i="51"/>
  <c r="F9" i="51" s="1"/>
  <c r="D9" i="55"/>
  <c r="F9" i="55" s="1"/>
  <c r="D9" i="59"/>
  <c r="F9" i="59" s="1"/>
  <c r="F3" i="33"/>
  <c r="F5" i="33" s="1"/>
  <c r="F3" i="37"/>
  <c r="F5" i="37" s="1"/>
  <c r="F3" i="42"/>
  <c r="F4" i="42" s="1"/>
  <c r="F6" i="42" s="1"/>
  <c r="F3" i="45"/>
  <c r="F5" i="45" s="1"/>
  <c r="F9" i="42"/>
  <c r="F3" i="41"/>
  <c r="F5" i="41" s="1"/>
  <c r="F9" i="38"/>
  <c r="F9" i="34"/>
  <c r="F5" i="32"/>
  <c r="F4" i="32"/>
  <c r="F6" i="32" s="1"/>
  <c r="F5" i="35"/>
  <c r="F4" i="35"/>
  <c r="F6" i="35" s="1"/>
  <c r="F5" i="39"/>
  <c r="F4" i="39"/>
  <c r="F6" i="39" s="1"/>
  <c r="F5" i="40"/>
  <c r="F4" i="40"/>
  <c r="F6" i="40" s="1"/>
  <c r="F9" i="45"/>
  <c r="F5" i="36"/>
  <c r="F4" i="36"/>
  <c r="F6" i="36" s="1"/>
  <c r="F9" i="33"/>
  <c r="F5" i="43"/>
  <c r="F4" i="43"/>
  <c r="F6" i="43" s="1"/>
  <c r="F5" i="44"/>
  <c r="F4" i="44"/>
  <c r="F6" i="44" s="1"/>
  <c r="F5" i="34"/>
  <c r="F5" i="38"/>
  <c r="F3" i="12"/>
  <c r="F4" i="12" s="1"/>
  <c r="F6" i="12" s="1"/>
  <c r="D9" i="32"/>
  <c r="F9" i="32" s="1"/>
  <c r="D9" i="36"/>
  <c r="F9" i="36" s="1"/>
  <c r="D9" i="40"/>
  <c r="F9" i="40" s="1"/>
  <c r="D9" i="44"/>
  <c r="F9" i="44" s="1"/>
  <c r="D9" i="35"/>
  <c r="F9" i="35" s="1"/>
  <c r="D9" i="39"/>
  <c r="F9" i="39" s="1"/>
  <c r="D9" i="43"/>
  <c r="F9" i="43" s="1"/>
  <c r="F3" i="31"/>
  <c r="F4" i="31" s="1"/>
  <c r="F6" i="31" s="1"/>
  <c r="F3" i="28"/>
  <c r="F5" i="28" s="1"/>
  <c r="F3" i="27"/>
  <c r="F4" i="27" s="1"/>
  <c r="F6" i="27" s="1"/>
  <c r="F3" i="24"/>
  <c r="F4" i="24" s="1"/>
  <c r="F6" i="24" s="1"/>
  <c r="F3" i="23"/>
  <c r="F4" i="23" s="1"/>
  <c r="F6" i="23" s="1"/>
  <c r="F3" i="22"/>
  <c r="F5" i="22" s="1"/>
  <c r="F5" i="21"/>
  <c r="F4" i="21"/>
  <c r="F6" i="21" s="1"/>
  <c r="F5" i="29"/>
  <c r="F4" i="29"/>
  <c r="F6" i="29" s="1"/>
  <c r="F9" i="23"/>
  <c r="F9" i="26"/>
  <c r="F9" i="31"/>
  <c r="F9" i="24"/>
  <c r="F5" i="25"/>
  <c r="F4" i="25"/>
  <c r="F6" i="25" s="1"/>
  <c r="F3" i="19"/>
  <c r="F5" i="19" s="1"/>
  <c r="D9" i="21"/>
  <c r="F9" i="21" s="1"/>
  <c r="D9" i="25"/>
  <c r="F9" i="25" s="1"/>
  <c r="D9" i="29"/>
  <c r="F9" i="29" s="1"/>
  <c r="F3" i="20"/>
  <c r="F4" i="20" s="1"/>
  <c r="F6" i="20" s="1"/>
  <c r="F3" i="17"/>
  <c r="F4" i="17" s="1"/>
  <c r="F6" i="17" s="1"/>
  <c r="F6" i="16"/>
  <c r="D9" i="16"/>
  <c r="F9" i="16" s="1"/>
  <c r="E37" i="15"/>
  <c r="Q16" i="1" s="1"/>
  <c r="F3" i="15"/>
  <c r="F5" i="15" s="1"/>
  <c r="F3" i="13"/>
  <c r="F4" i="13" s="1"/>
  <c r="F6" i="13" s="1"/>
  <c r="F5" i="18"/>
  <c r="F4" i="18"/>
  <c r="F6" i="18" s="1"/>
  <c r="F9" i="12"/>
  <c r="F9" i="15"/>
  <c r="F9" i="13"/>
  <c r="F5" i="14"/>
  <c r="F4" i="14"/>
  <c r="F6" i="14" s="1"/>
  <c r="D9" i="14"/>
  <c r="F9" i="14" s="1"/>
  <c r="D9" i="18"/>
  <c r="F9" i="18" s="1"/>
  <c r="F5" i="16"/>
  <c r="F3" i="11"/>
  <c r="F4" i="11" s="1"/>
  <c r="F6" i="11" s="1"/>
  <c r="F3" i="10"/>
  <c r="F4" i="10" s="1"/>
  <c r="F6" i="10" s="1"/>
  <c r="F9" i="10"/>
  <c r="D9" i="9"/>
  <c r="F9" i="9" s="1"/>
  <c r="F4" i="9"/>
  <c r="F6" i="9" s="1"/>
  <c r="F5" i="9"/>
  <c r="F3" i="8"/>
  <c r="F4" i="8" s="1"/>
  <c r="F6" i="8" s="1"/>
  <c r="D9" i="7"/>
  <c r="F9" i="7" s="1"/>
  <c r="F4" i="7"/>
  <c r="F6" i="7" s="1"/>
  <c r="F5" i="7"/>
  <c r="F3" i="6"/>
  <c r="F4" i="6" s="1"/>
  <c r="F6" i="6" s="1"/>
  <c r="F9" i="6"/>
  <c r="F3" i="5"/>
  <c r="F4" i="5" s="1"/>
  <c r="F6" i="5" s="1"/>
  <c r="F3" i="4"/>
  <c r="F4" i="4" s="1"/>
  <c r="F6" i="4" s="1"/>
  <c r="F9" i="4"/>
  <c r="R82" i="1"/>
  <c r="S82" i="1" s="1"/>
  <c r="R78" i="1"/>
  <c r="S78" i="1" s="1"/>
  <c r="R74" i="1"/>
  <c r="S74" i="1" s="1"/>
  <c r="R70" i="1"/>
  <c r="S70" i="1" s="1"/>
  <c r="R66" i="1"/>
  <c r="S66" i="1" s="1"/>
  <c r="R62" i="1"/>
  <c r="S62" i="1" s="1"/>
  <c r="R58" i="1"/>
  <c r="S58" i="1" s="1"/>
  <c r="R54" i="1"/>
  <c r="S54" i="1" s="1"/>
  <c r="R50" i="1"/>
  <c r="S50" i="1" s="1"/>
  <c r="R46" i="1"/>
  <c r="S46" i="1" s="1"/>
  <c r="R34" i="1"/>
  <c r="S34" i="1" s="1"/>
  <c r="R30" i="1"/>
  <c r="S30" i="1" s="1"/>
  <c r="R26" i="1"/>
  <c r="S26" i="1" s="1"/>
  <c r="R22" i="1"/>
  <c r="S22" i="1" s="1"/>
  <c r="R18" i="1"/>
  <c r="S18" i="1" s="1"/>
  <c r="R14" i="1"/>
  <c r="S14" i="1" s="1"/>
  <c r="R10" i="1"/>
  <c r="S10" i="1" s="1"/>
  <c r="R6" i="1"/>
  <c r="S6" i="1" s="1"/>
  <c r="F5" i="3"/>
  <c r="F4" i="3"/>
  <c r="F6" i="3" s="1"/>
  <c r="D9" i="3"/>
  <c r="F9" i="3" s="1"/>
  <c r="R77" i="1"/>
  <c r="S77" i="1" s="1"/>
  <c r="R69" i="1"/>
  <c r="S69" i="1" s="1"/>
  <c r="R65" i="1"/>
  <c r="S65" i="1" s="1"/>
  <c r="R57" i="1"/>
  <c r="S57" i="1" s="1"/>
  <c r="R49" i="1"/>
  <c r="S49" i="1" s="1"/>
  <c r="R45" i="1"/>
  <c r="S45" i="1" s="1"/>
  <c r="R41" i="1"/>
  <c r="S41" i="1" s="1"/>
  <c r="R37" i="1"/>
  <c r="S37" i="1" s="1"/>
  <c r="R33" i="1"/>
  <c r="S33" i="1" s="1"/>
  <c r="R29" i="1"/>
  <c r="S29" i="1" s="1"/>
  <c r="R25" i="1"/>
  <c r="S25" i="1" s="1"/>
  <c r="R21" i="1"/>
  <c r="S21" i="1" s="1"/>
  <c r="R17" i="1"/>
  <c r="S17" i="1" s="1"/>
  <c r="R13" i="1"/>
  <c r="S13" i="1" s="1"/>
  <c r="R9" i="1"/>
  <c r="S9" i="1" s="1"/>
  <c r="R5" i="1"/>
  <c r="S5" i="1" s="1"/>
  <c r="R80" i="1"/>
  <c r="S80" i="1" s="1"/>
  <c r="R76" i="1"/>
  <c r="S76" i="1" s="1"/>
  <c r="R72" i="1"/>
  <c r="S72" i="1" s="1"/>
  <c r="R68" i="1"/>
  <c r="S68" i="1" s="1"/>
  <c r="R64" i="1"/>
  <c r="S64" i="1" s="1"/>
  <c r="R60" i="1"/>
  <c r="S60" i="1" s="1"/>
  <c r="R56" i="1"/>
  <c r="S56" i="1" s="1"/>
  <c r="R52" i="1"/>
  <c r="S52" i="1" s="1"/>
  <c r="R48" i="1"/>
  <c r="S48" i="1" s="1"/>
  <c r="R44" i="1"/>
  <c r="S44" i="1" s="1"/>
  <c r="R40" i="1"/>
  <c r="S40" i="1" s="1"/>
  <c r="R36" i="1"/>
  <c r="S36" i="1" s="1"/>
  <c r="R32" i="1"/>
  <c r="S32" i="1" s="1"/>
  <c r="R28" i="1"/>
  <c r="S28" i="1" s="1"/>
  <c r="R24" i="1"/>
  <c r="S24" i="1" s="1"/>
  <c r="R16" i="1"/>
  <c r="S16" i="1" s="1"/>
  <c r="R12" i="1"/>
  <c r="S12" i="1" s="1"/>
  <c r="R8" i="1"/>
  <c r="S8" i="1" s="1"/>
  <c r="R4" i="1"/>
  <c r="S4" i="1" s="1"/>
  <c r="R83" i="1"/>
  <c r="S83" i="1" s="1"/>
  <c r="R79" i="1"/>
  <c r="S79" i="1" s="1"/>
  <c r="R75" i="1"/>
  <c r="S75" i="1" s="1"/>
  <c r="R71" i="1"/>
  <c r="S71" i="1" s="1"/>
  <c r="R67" i="1"/>
  <c r="S67" i="1" s="1"/>
  <c r="R63" i="1"/>
  <c r="S63" i="1" s="1"/>
  <c r="R59" i="1"/>
  <c r="S59" i="1" s="1"/>
  <c r="R55" i="1"/>
  <c r="S55" i="1" s="1"/>
  <c r="R51" i="1"/>
  <c r="S51" i="1" s="1"/>
  <c r="R47" i="1"/>
  <c r="S47" i="1" s="1"/>
  <c r="R43" i="1"/>
  <c r="S43" i="1" s="1"/>
  <c r="R39" i="1"/>
  <c r="S39" i="1" s="1"/>
  <c r="R35" i="1"/>
  <c r="S35" i="1" s="1"/>
  <c r="R27" i="1"/>
  <c r="S27" i="1" s="1"/>
  <c r="R19" i="1"/>
  <c r="S19" i="1" s="1"/>
  <c r="R15" i="1"/>
  <c r="S15" i="1" s="1"/>
  <c r="R11" i="1"/>
  <c r="S11" i="1" s="1"/>
  <c r="R7" i="1"/>
  <c r="S7" i="1" s="1"/>
  <c r="T67" i="1"/>
  <c r="T51" i="1"/>
  <c r="T35" i="1"/>
  <c r="T83" i="1"/>
  <c r="T19" i="1"/>
  <c r="T79" i="1"/>
  <c r="T63" i="1"/>
  <c r="T47" i="1"/>
  <c r="T31" i="1"/>
  <c r="T15" i="1"/>
  <c r="T75" i="1"/>
  <c r="T59" i="1"/>
  <c r="T43" i="1"/>
  <c r="T27" i="1"/>
  <c r="T11" i="1"/>
  <c r="T71" i="1"/>
  <c r="T55" i="1"/>
  <c r="T39" i="1"/>
  <c r="T23" i="1"/>
  <c r="T7" i="1"/>
  <c r="T78" i="1"/>
  <c r="T70" i="1"/>
  <c r="T62" i="1"/>
  <c r="T54" i="1"/>
  <c r="T46" i="1"/>
  <c r="T38" i="1"/>
  <c r="T34" i="1"/>
  <c r="T26" i="1"/>
  <c r="T18" i="1"/>
  <c r="T14" i="1"/>
  <c r="T6" i="1"/>
  <c r="T8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T5" i="1"/>
  <c r="T82" i="1"/>
  <c r="T74" i="1"/>
  <c r="T66" i="1"/>
  <c r="T58" i="1"/>
  <c r="T50" i="1"/>
  <c r="T42" i="1"/>
  <c r="T30" i="1"/>
  <c r="T22" i="1"/>
  <c r="T10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4" i="1"/>
  <c r="F5" i="82" l="1"/>
  <c r="F5" i="79"/>
  <c r="F5" i="53"/>
  <c r="F4" i="56"/>
  <c r="F6" i="56" s="1"/>
  <c r="F4" i="30"/>
  <c r="F6" i="30" s="1"/>
  <c r="F4" i="60"/>
  <c r="F6" i="60" s="1"/>
  <c r="Q38" i="1"/>
  <c r="R38" i="1" s="1"/>
  <c r="S38" i="1" s="1"/>
  <c r="F9" i="37"/>
  <c r="Q31" i="1"/>
  <c r="R31" i="1" s="1"/>
  <c r="S31" i="1" s="1"/>
  <c r="F9" i="30"/>
  <c r="Q23" i="1"/>
  <c r="R23" i="1" s="1"/>
  <c r="S23" i="1" s="1"/>
  <c r="F9" i="22"/>
  <c r="Q81" i="1"/>
  <c r="R81" i="1" s="1"/>
  <c r="S81" i="1" s="1"/>
  <c r="F9" i="80"/>
  <c r="Q73" i="1"/>
  <c r="R73" i="1" s="1"/>
  <c r="S73" i="1" s="1"/>
  <c r="F9" i="72"/>
  <c r="Q61" i="1"/>
  <c r="R61" i="1" s="1"/>
  <c r="S61" i="1" s="1"/>
  <c r="F9" i="60"/>
  <c r="Q53" i="1"/>
  <c r="R53" i="1" s="1"/>
  <c r="S53" i="1" s="1"/>
  <c r="F9" i="52"/>
  <c r="Q42" i="1"/>
  <c r="R42" i="1" s="1"/>
  <c r="S42" i="1" s="1"/>
  <c r="F9" i="41"/>
  <c r="Q20" i="1"/>
  <c r="R20" i="1" s="1"/>
  <c r="S20" i="1" s="1"/>
  <c r="F9" i="19"/>
  <c r="F4" i="76"/>
  <c r="F6" i="76" s="1"/>
  <c r="F5" i="74"/>
  <c r="F4" i="72"/>
  <c r="F6" i="72" s="1"/>
  <c r="F4" i="68"/>
  <c r="F6" i="68" s="1"/>
  <c r="F5" i="69"/>
  <c r="F5" i="70"/>
  <c r="F4" i="66"/>
  <c r="F6" i="66" s="1"/>
  <c r="F5" i="61"/>
  <c r="F5" i="62"/>
  <c r="F4" i="58"/>
  <c r="F6" i="58" s="1"/>
  <c r="F5" i="57"/>
  <c r="F4" i="54"/>
  <c r="F6" i="54" s="1"/>
  <c r="F4" i="50"/>
  <c r="F6" i="50" s="1"/>
  <c r="F4" i="52"/>
  <c r="F6" i="52" s="1"/>
  <c r="F5" i="49"/>
  <c r="F5" i="46"/>
  <c r="F4" i="48"/>
  <c r="F6" i="48" s="1"/>
  <c r="F4" i="37"/>
  <c r="F6" i="37" s="1"/>
  <c r="F4" i="33"/>
  <c r="F6" i="33" s="1"/>
  <c r="F4" i="26"/>
  <c r="F6" i="26" s="1"/>
  <c r="F5" i="42"/>
  <c r="F4" i="45"/>
  <c r="F6" i="45" s="1"/>
  <c r="F4" i="41"/>
  <c r="F6" i="41" s="1"/>
  <c r="F5" i="31"/>
  <c r="F5" i="12"/>
  <c r="F5" i="27"/>
  <c r="F4" i="28"/>
  <c r="F6" i="28" s="1"/>
  <c r="F5" i="24"/>
  <c r="F5" i="23"/>
  <c r="F4" i="22"/>
  <c r="F6" i="22" s="1"/>
  <c r="F5" i="20"/>
  <c r="F4" i="19"/>
  <c r="F6" i="19" s="1"/>
  <c r="F5" i="17"/>
  <c r="F4" i="15"/>
  <c r="F6" i="15" s="1"/>
  <c r="F5" i="13"/>
  <c r="F5" i="11"/>
  <c r="F5" i="10"/>
  <c r="F5" i="8"/>
  <c r="F5" i="6"/>
  <c r="F5" i="5"/>
  <c r="F5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<sst xmlns="http://schemas.openxmlformats.org/spreadsheetml/2006/main" count="3032" uniqueCount="325">
  <si>
    <t>مؤسسة زاد الجود للوجبات السريعة</t>
  </si>
  <si>
    <t>#</t>
  </si>
  <si>
    <t>اسم المشترك</t>
  </si>
  <si>
    <t>رقم الهوية</t>
  </si>
  <si>
    <t>الجنسية</t>
  </si>
  <si>
    <t>الجنس</t>
  </si>
  <si>
    <t>تاريخ الميلاد</t>
  </si>
  <si>
    <t>الأجر الأساسي</t>
  </si>
  <si>
    <t>السكن</t>
  </si>
  <si>
    <t>العمولات</t>
  </si>
  <si>
    <t>البدلات الأخرى</t>
  </si>
  <si>
    <t>إجمالي الأجر</t>
  </si>
  <si>
    <t>الاجر الخاضع للاشتراك</t>
  </si>
  <si>
    <t>المهنة</t>
  </si>
  <si>
    <t>تاريخ الإلتحاق</t>
  </si>
  <si>
    <t>فترة العمل بالشركة</t>
  </si>
  <si>
    <t>رصيد الاجازة المستحق</t>
  </si>
  <si>
    <t>رصيد الاجازة المستخدم</t>
  </si>
  <si>
    <t>رصيد الاجازة الحالي</t>
  </si>
  <si>
    <t>قيمة مستحقات الاجازة</t>
  </si>
  <si>
    <t>مستحقات نهاية الخدمة</t>
  </si>
  <si>
    <t>GOLAM   NOBI</t>
  </si>
  <si>
    <t>2429697275</t>
  </si>
  <si>
    <t xml:space="preserve">بنغلادش </t>
  </si>
  <si>
    <t>ذكر</t>
  </si>
  <si>
    <t xml:space="preserve">1992-11-15 </t>
  </si>
  <si>
    <t>2200</t>
  </si>
  <si>
    <t>0</t>
  </si>
  <si>
    <t>عامل مطبخ</t>
  </si>
  <si>
    <t>عمر محمد احمد صالح الوايلي</t>
  </si>
  <si>
    <t>2450159252</t>
  </si>
  <si>
    <t>اليمن</t>
  </si>
  <si>
    <t xml:space="preserve">1990-02-16 </t>
  </si>
  <si>
    <t>3500</t>
  </si>
  <si>
    <t>سائق شاحنة صغيرة</t>
  </si>
  <si>
    <t>عصام محمد عبده قايد العربي</t>
  </si>
  <si>
    <t>2458947997</t>
  </si>
  <si>
    <t xml:space="preserve">1989-07-04 </t>
  </si>
  <si>
    <t>3000</t>
  </si>
  <si>
    <t>نشوان صادق محسن عبدالله زعيل</t>
  </si>
  <si>
    <t>2452413053</t>
  </si>
  <si>
    <t xml:space="preserve">1996-01-01 </t>
  </si>
  <si>
    <t>MD KAWSAR GOLAM RASUL</t>
  </si>
  <si>
    <t>2458805666</t>
  </si>
  <si>
    <t xml:space="preserve">1995-12-06 </t>
  </si>
  <si>
    <t>1800</t>
  </si>
  <si>
    <t>عيده مدلف مرزوق الجحيشي</t>
  </si>
  <si>
    <t>1006176208</t>
  </si>
  <si>
    <t xml:space="preserve">السعودية </t>
  </si>
  <si>
    <t>انثى</t>
  </si>
  <si>
    <t xml:space="preserve">1974-07-20 </t>
  </si>
  <si>
    <t>4000</t>
  </si>
  <si>
    <t>مندوب مشتريات</t>
  </si>
  <si>
    <t>هلا خالد عبدالله القعيد</t>
  </si>
  <si>
    <t>1112518376</t>
  </si>
  <si>
    <t xml:space="preserve">2001-02-02 </t>
  </si>
  <si>
    <t>ABDUL   KADIR</t>
  </si>
  <si>
    <t>2507903470</t>
  </si>
  <si>
    <t xml:space="preserve">1967-05-20 </t>
  </si>
  <si>
    <t>2000</t>
  </si>
  <si>
    <t>MONIR   HOSSAIN</t>
  </si>
  <si>
    <t>2507903686</t>
  </si>
  <si>
    <t xml:space="preserve">1983-05-05 </t>
  </si>
  <si>
    <t>فاطمه عليان بن ثواب الحربي</t>
  </si>
  <si>
    <t>1114222910</t>
  </si>
  <si>
    <t xml:space="preserve">2001-11-30 </t>
  </si>
  <si>
    <t>4500</t>
  </si>
  <si>
    <t>أخصائي تسويق</t>
  </si>
  <si>
    <t>ساره صالح مطلق الراكضي</t>
  </si>
  <si>
    <t>1135022026</t>
  </si>
  <si>
    <t xml:space="preserve">2002-12-08 </t>
  </si>
  <si>
    <t>5500</t>
  </si>
  <si>
    <t>أديب محمد سعيد عبدالصفي</t>
  </si>
  <si>
    <t>2503945004</t>
  </si>
  <si>
    <t xml:space="preserve">1994-02-15 </t>
  </si>
  <si>
    <t>7000</t>
  </si>
  <si>
    <t>عامل عادي</t>
  </si>
  <si>
    <t>MO AKRAM  HASIN</t>
  </si>
  <si>
    <t>2509447294</t>
  </si>
  <si>
    <t>الهند</t>
  </si>
  <si>
    <t xml:space="preserve">1992-06-26 </t>
  </si>
  <si>
    <t>8000</t>
  </si>
  <si>
    <t>ماهر مهيوب محمد سلطان الفقيه</t>
  </si>
  <si>
    <t>2463831509</t>
  </si>
  <si>
    <t xml:space="preserve">1994-05-03 </t>
  </si>
  <si>
    <t>PAPON HASAN  APU</t>
  </si>
  <si>
    <t>2509540718</t>
  </si>
  <si>
    <t xml:space="preserve">1996-06-12 </t>
  </si>
  <si>
    <t>1500</t>
  </si>
  <si>
    <t>صدام عبده علي الغانمي</t>
  </si>
  <si>
    <t>2378255323</t>
  </si>
  <si>
    <t xml:space="preserve">1989-08-02 </t>
  </si>
  <si>
    <t>2600</t>
  </si>
  <si>
    <t>مارية ابراهيم بن صالح الخضيري</t>
  </si>
  <si>
    <t>1118007143</t>
  </si>
  <si>
    <t xml:space="preserve">2002-10-01 </t>
  </si>
  <si>
    <t>مندوب مبيعات</t>
  </si>
  <si>
    <t>PAWAN SINGH BACHI SINGH</t>
  </si>
  <si>
    <t>2526368002</t>
  </si>
  <si>
    <t xml:space="preserve">1998-07-02 </t>
  </si>
  <si>
    <t>MD MONIR  HOSEN</t>
  </si>
  <si>
    <t>2520396314</t>
  </si>
  <si>
    <t xml:space="preserve">2000-01-01 </t>
  </si>
  <si>
    <t>عامل تنظيف مكاتب ومنشآت</t>
  </si>
  <si>
    <t>FAKHRUL   ISLAM</t>
  </si>
  <si>
    <t>2520488384</t>
  </si>
  <si>
    <t xml:space="preserve">1986-05-04 </t>
  </si>
  <si>
    <t>حمد دفع الله حمد على</t>
  </si>
  <si>
    <t>2470286960</t>
  </si>
  <si>
    <t xml:space="preserve">السودان </t>
  </si>
  <si>
    <t xml:space="preserve">1994-10-19 </t>
  </si>
  <si>
    <t>شادي عبدالكافي محسن عبدالله</t>
  </si>
  <si>
    <t>2531089973</t>
  </si>
  <si>
    <t xml:space="preserve">1995-05-05 </t>
  </si>
  <si>
    <t>صادق امين محمد شملان</t>
  </si>
  <si>
    <t>2518243080</t>
  </si>
  <si>
    <t xml:space="preserve">1997-01-18 </t>
  </si>
  <si>
    <t>2300</t>
  </si>
  <si>
    <t>MD MEHEDI  HASAN</t>
  </si>
  <si>
    <t>2520488889</t>
  </si>
  <si>
    <t>عبدالرحمن خالد عبدالله القعيد</t>
  </si>
  <si>
    <t>1119578480</t>
  </si>
  <si>
    <t xml:space="preserve">2003-02-27 </t>
  </si>
  <si>
    <t>مشرف مدخلي البيانات</t>
  </si>
  <si>
    <t>أميره هليل بديع العنزي</t>
  </si>
  <si>
    <t>1127393369</t>
  </si>
  <si>
    <t xml:space="preserve">1992-12-13 </t>
  </si>
  <si>
    <t>أخصائي خدمة عملاء</t>
  </si>
  <si>
    <t>حليمه محمد محمد طميحي</t>
  </si>
  <si>
    <t>1061612477</t>
  </si>
  <si>
    <t xml:space="preserve">1977-10-17 </t>
  </si>
  <si>
    <t>رغد علي بن غياض العنزي</t>
  </si>
  <si>
    <t>1106594839</t>
  </si>
  <si>
    <t xml:space="preserve">1999-06-10 </t>
  </si>
  <si>
    <t>رشيد محمد عبدالله قائد الشميري</t>
  </si>
  <si>
    <t>2520913530</t>
  </si>
  <si>
    <t xml:space="preserve">1982-12-15 </t>
  </si>
  <si>
    <t>سامي ابراهيم محمد عبده الشلح</t>
  </si>
  <si>
    <t>2462760915</t>
  </si>
  <si>
    <t xml:space="preserve">1997-02-19 </t>
  </si>
  <si>
    <t>SAROJIT BISWAS BISWAS</t>
  </si>
  <si>
    <t>2554004347</t>
  </si>
  <si>
    <t xml:space="preserve">1990-09-21 </t>
  </si>
  <si>
    <t>2500</t>
  </si>
  <si>
    <t>شروق جهاد بن مقاط العنزي</t>
  </si>
  <si>
    <t>1088340854</t>
  </si>
  <si>
    <t xml:space="preserve">1991-06-12 </t>
  </si>
  <si>
    <t>نوره محمد عبدالرحمن القعيد</t>
  </si>
  <si>
    <t>1119142683</t>
  </si>
  <si>
    <t xml:space="preserve">2003-01-11 </t>
  </si>
  <si>
    <t>MD AMRAN   HOSSAIN</t>
  </si>
  <si>
    <t>2548252242</t>
  </si>
  <si>
    <t xml:space="preserve">1992-06-05 </t>
  </si>
  <si>
    <t>عامل تحميل وتنزيل</t>
  </si>
  <si>
    <t>MAHAMUDUL   HASAN</t>
  </si>
  <si>
    <t>2548252408</t>
  </si>
  <si>
    <t xml:space="preserve">1999-10-29 </t>
  </si>
  <si>
    <t>MANOJ SINGH BIHARI</t>
  </si>
  <si>
    <t>2555700422</t>
  </si>
  <si>
    <t xml:space="preserve">1993-02-15 </t>
  </si>
  <si>
    <t>RUPESH VILAS  GAIKWAD</t>
  </si>
  <si>
    <t>2555701347</t>
  </si>
  <si>
    <t xml:space="preserve">1998-12-07 </t>
  </si>
  <si>
    <t>SATEESH PAL DURGA PRASAD</t>
  </si>
  <si>
    <t>2559055146</t>
  </si>
  <si>
    <t xml:space="preserve">1984-07-10 </t>
  </si>
  <si>
    <t>أحمد محمد عبده قايد العربي</t>
  </si>
  <si>
    <t>2523151518</t>
  </si>
  <si>
    <t>رياض حسين رياض محمد</t>
  </si>
  <si>
    <t>2561837507</t>
  </si>
  <si>
    <t>مصر</t>
  </si>
  <si>
    <t xml:space="preserve">1987-08-27 </t>
  </si>
  <si>
    <t>5000</t>
  </si>
  <si>
    <t>محاسب</t>
  </si>
  <si>
    <t>ALAM ANSARI MD MOMIN</t>
  </si>
  <si>
    <t>2562930293</t>
  </si>
  <si>
    <t xml:space="preserve">1993-07-14 </t>
  </si>
  <si>
    <t>MD SOHAIL  ANSARI</t>
  </si>
  <si>
    <t>2562931952</t>
  </si>
  <si>
    <t xml:space="preserve">1999-01-28 </t>
  </si>
  <si>
    <t>احمد سعيد عبدالرازق محمد</t>
  </si>
  <si>
    <t>2562799359</t>
  </si>
  <si>
    <t xml:space="preserve">1982-08-12 </t>
  </si>
  <si>
    <t>محاسب تكاليف</t>
  </si>
  <si>
    <t>MOHAMMED SAJID  SALIM</t>
  </si>
  <si>
    <t>2562932133</t>
  </si>
  <si>
    <t xml:space="preserve">1985-03-10 </t>
  </si>
  <si>
    <t>كهربائي سيارات</t>
  </si>
  <si>
    <t>ريوف وليد محمد الحسين</t>
  </si>
  <si>
    <t>1128834866</t>
  </si>
  <si>
    <t xml:space="preserve">2002-11-23 </t>
  </si>
  <si>
    <t>لولوه وليد محمد الحسين</t>
  </si>
  <si>
    <t>1128834932</t>
  </si>
  <si>
    <t xml:space="preserve">2000-12-23 </t>
  </si>
  <si>
    <t>نوف ابراهيم محمد العبدالقادر</t>
  </si>
  <si>
    <t>1124227628</t>
  </si>
  <si>
    <t xml:space="preserve">1996-10-24 </t>
  </si>
  <si>
    <t>أخصائي مبيعات</t>
  </si>
  <si>
    <t>نوره عيسى شافي الدوسري</t>
  </si>
  <si>
    <t>1104309420</t>
  </si>
  <si>
    <t xml:space="preserve">1995-03-22 </t>
  </si>
  <si>
    <t>مناير حزام حسن القحطاني</t>
  </si>
  <si>
    <t>1115940056</t>
  </si>
  <si>
    <t xml:space="preserve">2002-05-06 </t>
  </si>
  <si>
    <t>شذى علي عبدالرحمن العسكر</t>
  </si>
  <si>
    <t>1103774301</t>
  </si>
  <si>
    <t xml:space="preserve">1997-08-17 </t>
  </si>
  <si>
    <t>سليمان راجح عبدالسلام راجح</t>
  </si>
  <si>
    <t>2581526700</t>
  </si>
  <si>
    <t xml:space="preserve">1995-01-01 </t>
  </si>
  <si>
    <t>ARIFUL   ISLAM</t>
  </si>
  <si>
    <t>2510597442</t>
  </si>
  <si>
    <t xml:space="preserve">2001-10-30 </t>
  </si>
  <si>
    <t>عبدالله امين علي عبده الشلح</t>
  </si>
  <si>
    <t>2517244329</t>
  </si>
  <si>
    <t xml:space="preserve">1998-07-19 </t>
  </si>
  <si>
    <t>FAKRUL ISLAM  RUBEL</t>
  </si>
  <si>
    <t>2509541039</t>
  </si>
  <si>
    <t xml:space="preserve">1990-01-06 </t>
  </si>
  <si>
    <t>أسماء مزهى زهيان المطيري</t>
  </si>
  <si>
    <t>1090390491</t>
  </si>
  <si>
    <t xml:space="preserve">1996-04-14 </t>
  </si>
  <si>
    <t>ميلاف سالم مطلق البلوي</t>
  </si>
  <si>
    <t>1110806500</t>
  </si>
  <si>
    <t xml:space="preserve">2000-03-15 </t>
  </si>
  <si>
    <t>عبدالرحمن عبدالله احمد ادم</t>
  </si>
  <si>
    <t>2530579826</t>
  </si>
  <si>
    <t>نجيبه عبده احمد مجرشي</t>
  </si>
  <si>
    <t>1073665448</t>
  </si>
  <si>
    <t xml:space="preserve">1991-09-01 </t>
  </si>
  <si>
    <t>ريم عبدالكريم وصال العنزي</t>
  </si>
  <si>
    <t>1090942234</t>
  </si>
  <si>
    <t xml:space="preserve">1994-11-20 </t>
  </si>
  <si>
    <t>حصه ابراهيم محمد العبدالقادر</t>
  </si>
  <si>
    <t>1103519524</t>
  </si>
  <si>
    <t xml:space="preserve">1994-08-16 </t>
  </si>
  <si>
    <t>أفراح عبدالعزيز راشد الحربي</t>
  </si>
  <si>
    <t>1093296836</t>
  </si>
  <si>
    <t xml:space="preserve">1995-08-03 </t>
  </si>
  <si>
    <t>مها دخيل الله بن زهيان المطيري</t>
  </si>
  <si>
    <t>1092906690</t>
  </si>
  <si>
    <t xml:space="preserve">1996-10-20 </t>
  </si>
  <si>
    <t>3200</t>
  </si>
  <si>
    <t>800</t>
  </si>
  <si>
    <t>طخيمه راشد عبدالله الحديبي</t>
  </si>
  <si>
    <t>1114576893</t>
  </si>
  <si>
    <t xml:space="preserve">2000-11-19 </t>
  </si>
  <si>
    <t>هياء عبدالله بن فهيد الهواشله</t>
  </si>
  <si>
    <t>1090610641</t>
  </si>
  <si>
    <t xml:space="preserve">1994-02-09 </t>
  </si>
  <si>
    <t>محمد نجيب عبدالوهاب عبدالله</t>
  </si>
  <si>
    <t>2564610778</t>
  </si>
  <si>
    <t xml:space="preserve">1997-10-30 </t>
  </si>
  <si>
    <t>عامل تعبئة وتغليف</t>
  </si>
  <si>
    <t>عبدالسلام كامل سيف عبده</t>
  </si>
  <si>
    <t>2544845775</t>
  </si>
  <si>
    <t xml:space="preserve">1990-01-01 </t>
  </si>
  <si>
    <t>نموذج الاجازة</t>
  </si>
  <si>
    <t>1094568951</t>
  </si>
  <si>
    <t xml:space="preserve">1996-04-19 </t>
  </si>
  <si>
    <t>HAZRAT KHAN HAJAT MIR</t>
  </si>
  <si>
    <t>2545010205</t>
  </si>
  <si>
    <t xml:space="preserve">باكستان </t>
  </si>
  <si>
    <t xml:space="preserve">1987-04-11 </t>
  </si>
  <si>
    <t>GHULAM MUSTAFA MAQBOOL AHMAD</t>
  </si>
  <si>
    <t>2539355756</t>
  </si>
  <si>
    <t xml:space="preserve">1999-01-01 </t>
  </si>
  <si>
    <t>عامل غسيل ملابس</t>
  </si>
  <si>
    <t>مرام احمد بن حسن الزهراني</t>
  </si>
  <si>
    <t>1096836711</t>
  </si>
  <si>
    <t xml:space="preserve">1996-06-19 </t>
  </si>
  <si>
    <t>نوره سعدون صقر العتيبي</t>
  </si>
  <si>
    <t>1113440430</t>
  </si>
  <si>
    <t xml:space="preserve">1999-11-19 </t>
  </si>
  <si>
    <t>عبير خلف جري المطيري</t>
  </si>
  <si>
    <t>1117650802</t>
  </si>
  <si>
    <t xml:space="preserve">2000-09-15 </t>
  </si>
  <si>
    <t>ريم علي بن علي عجيبي</t>
  </si>
  <si>
    <t>1091929057</t>
  </si>
  <si>
    <t xml:space="preserve">1995-07-20 </t>
  </si>
  <si>
    <t>وفاء خلف سويلم العنزي</t>
  </si>
  <si>
    <t>1118857786</t>
  </si>
  <si>
    <t xml:space="preserve">1998-03-04 </t>
  </si>
  <si>
    <t>رهف محسن عائض الشهري</t>
  </si>
  <si>
    <t>1097191025</t>
  </si>
  <si>
    <t xml:space="preserve">1996-11-04 </t>
  </si>
  <si>
    <t>موسى محمد قاسم عثمان العزاني</t>
  </si>
  <si>
    <t>2528185115</t>
  </si>
  <si>
    <t xml:space="preserve">1996-09-07 </t>
  </si>
  <si>
    <t>روان غايب بن سعد العتيبي</t>
  </si>
  <si>
    <t>1105657678</t>
  </si>
  <si>
    <t xml:space="preserve">1999-03-19 </t>
  </si>
  <si>
    <t>نهى علي عبدالرحمن العسكر</t>
  </si>
  <si>
    <t>1108046283</t>
  </si>
  <si>
    <t xml:space="preserve">1999-05-17 </t>
  </si>
  <si>
    <t>هيا سعيد سليمان البيشان</t>
  </si>
  <si>
    <t>1129385686</t>
  </si>
  <si>
    <t xml:space="preserve">2005-05-21 </t>
  </si>
  <si>
    <t>لمياء سيف دخيل الدوسري</t>
  </si>
  <si>
    <t>1072420944</t>
  </si>
  <si>
    <t xml:space="preserve">1991-05-04 </t>
  </si>
  <si>
    <t xml:space="preserve">نموذج احتساب رصيد الاجازات </t>
  </si>
  <si>
    <t>رقم الموظف</t>
  </si>
  <si>
    <t>مدة العمل</t>
  </si>
  <si>
    <t>الاسم</t>
  </si>
  <si>
    <t>الرصيد المستحق منذ تاريخ التعيين</t>
  </si>
  <si>
    <t>المسمى الوظيفي</t>
  </si>
  <si>
    <t>الرصيد السنوي المستحق</t>
  </si>
  <si>
    <t>تاريخ التعيين</t>
  </si>
  <si>
    <t>الرصيد المتبقي حتى اليوم</t>
  </si>
  <si>
    <t>احتساب رصيد الموظف لتارخ معين</t>
  </si>
  <si>
    <t>تاريخ بداية الاجازة</t>
  </si>
  <si>
    <t>الرصيد حتى تاريخه</t>
  </si>
  <si>
    <t>الاجازات السنوية</t>
  </si>
  <si>
    <t xml:space="preserve">تاريخ نهاية الاجازة </t>
  </si>
  <si>
    <t xml:space="preserve">المدة </t>
  </si>
  <si>
    <t>هل تم صرف تذاكر السفر له</t>
  </si>
  <si>
    <t>نعم</t>
  </si>
  <si>
    <t>المجموع</t>
  </si>
  <si>
    <t>الاجازات الأخرى</t>
  </si>
  <si>
    <t>نوع الاجازة</t>
  </si>
  <si>
    <t>غير مدفوعه</t>
  </si>
  <si>
    <t>لا</t>
  </si>
  <si>
    <t>زواج</t>
  </si>
  <si>
    <t>مرضية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</si>
</sst>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yyyy\-mmm\-dd"/>
  </numFmts>
  <fonts count="1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Ping AR + LT"/>
    </font>
    <font>
      <sz val="11"/>
      <color indexed="8"/>
      <name val="Aptos Narrow"/>
      <family val="2"/>
      <scheme val="minor"/>
    </font>
    <font>
      <sz val="11"/>
      <color theme="1"/>
      <name val="GE SS Text Light"/>
      <family val="1"/>
      <charset val="178"/>
    </font>
    <font>
      <b/>
      <sz val="12"/>
      <color theme="1"/>
      <name val="GE SS Text Light"/>
      <family val="1"/>
      <charset val="178"/>
    </font>
    <font>
      <b/>
      <sz val="14"/>
      <color theme="1"/>
      <name val="GE SS Text Light"/>
      <family val="1"/>
      <charset val="178"/>
    </font>
    <font>
      <b/>
      <sz val="11"/>
      <color theme="0"/>
      <name val="Ping AR + LT"/>
    </font>
    <font>
      <sz val="11"/>
      <name val="Ping AR + LT"/>
    </font>
    <font>
      <b/>
      <sz val="16"/>
      <color rgb="FF00122D"/>
      <name val="Ping AR + LT"/>
    </font>
  </fonts>
  <fills count="8">
    <fill>
      <patternFill patternType="none"/>
    </fill>
    <fill>
      <patternFill patternType="gray125"/>
    </fill>
    <fill>
      <patternFill patternType="none">
        <fgColor rgb="FF00B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2" borderId="0"/>
    <xf numFmtId="164" fontId="4" fillId="2" borderId="0" applyFont="0" applyFill="0" applyBorder="0" applyAlignment="0" applyProtection="0"/>
    <xf numFmtId="0" fontId="2" fillId="2" borderId="0"/>
    <xf numFmtId="164" fontId="2" fillId="2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2" borderId="0" xfId="3"/>
    <xf numFmtId="0" fontId="2" fillId="2" borderId="1" xfId="3" applyBorder="1" applyProtection="1">
      <protection locked="0"/>
    </xf>
    <xf numFmtId="0" fontId="2" fillId="2" borderId="2" xfId="3" applyBorder="1"/>
    <xf numFmtId="166" fontId="2" fillId="2" borderId="2" xfId="3" applyNumberFormat="1" applyBorder="1" applyProtection="1">
      <protection locked="0"/>
    </xf>
    <xf numFmtId="0" fontId="2" fillId="3" borderId="3" xfId="3" applyFill="1" applyBorder="1" applyAlignment="1">
      <alignment horizontal="center" vertical="center"/>
    </xf>
    <xf numFmtId="0" fontId="2" fillId="2" borderId="4" xfId="3" applyBorder="1" applyProtection="1">
      <protection locked="0"/>
    </xf>
    <xf numFmtId="0" fontId="2" fillId="2" borderId="5" xfId="3" applyBorder="1"/>
    <xf numFmtId="166" fontId="2" fillId="2" borderId="5" xfId="3" applyNumberFormat="1" applyBorder="1" applyProtection="1">
      <protection locked="0"/>
    </xf>
    <xf numFmtId="0" fontId="2" fillId="3" borderId="6" xfId="3" applyFill="1" applyBorder="1" applyAlignment="1">
      <alignment horizontal="center" vertical="center"/>
    </xf>
    <xf numFmtId="0" fontId="5" fillId="3" borderId="7" xfId="3" applyFont="1" applyFill="1" applyBorder="1" applyAlignment="1">
      <alignment horizontal="center"/>
    </xf>
    <xf numFmtId="0" fontId="5" fillId="3" borderId="8" xfId="3" applyFont="1" applyFill="1" applyBorder="1" applyAlignment="1">
      <alignment horizontal="center"/>
    </xf>
    <xf numFmtId="0" fontId="5" fillId="3" borderId="9" xfId="3" applyFont="1" applyFill="1" applyBorder="1" applyAlignment="1">
      <alignment horizontal="center"/>
    </xf>
    <xf numFmtId="0" fontId="2" fillId="4" borderId="2" xfId="3" applyFill="1" applyBorder="1"/>
    <xf numFmtId="164" fontId="0" fillId="5" borderId="1" xfId="4" applyFont="1" applyFill="1" applyBorder="1" applyAlignment="1">
      <alignment vertical="center"/>
    </xf>
    <xf numFmtId="0" fontId="5" fillId="3" borderId="2" xfId="3" applyFont="1" applyFill="1" applyBorder="1" applyAlignment="1">
      <alignment vertical="center"/>
    </xf>
    <xf numFmtId="164" fontId="0" fillId="4" borderId="2" xfId="4" applyFont="1" applyFill="1" applyBorder="1" applyAlignment="1">
      <alignment horizontal="right" vertical="center"/>
    </xf>
    <xf numFmtId="166" fontId="2" fillId="2" borderId="2" xfId="3" applyNumberFormat="1" applyBorder="1" applyAlignment="1" applyProtection="1">
      <alignment vertical="center"/>
      <protection locked="0"/>
    </xf>
    <xf numFmtId="0" fontId="5" fillId="3" borderId="3" xfId="3" applyFont="1" applyFill="1" applyBorder="1" applyAlignment="1">
      <alignment vertical="center"/>
    </xf>
    <xf numFmtId="164" fontId="2" fillId="2" borderId="0" xfId="3" applyNumberFormat="1" applyAlignment="1">
      <alignment horizontal="right" vertical="center"/>
    </xf>
    <xf numFmtId="0" fontId="5" fillId="2" borderId="0" xfId="3" applyFont="1"/>
    <xf numFmtId="166" fontId="2" fillId="2" borderId="0" xfId="3" applyNumberFormat="1" applyAlignment="1">
      <alignment horizontal="right"/>
    </xf>
    <xf numFmtId="164" fontId="2" fillId="5" borderId="1" xfId="3" applyNumberFormat="1" applyFill="1" applyBorder="1" applyAlignment="1" applyProtection="1">
      <alignment horizontal="right" vertical="center"/>
      <protection hidden="1"/>
    </xf>
    <xf numFmtId="0" fontId="5" fillId="3" borderId="3" xfId="3" applyFont="1" applyFill="1" applyBorder="1"/>
    <xf numFmtId="0" fontId="2" fillId="4" borderId="4" xfId="3" applyFill="1" applyBorder="1" applyAlignment="1" applyProtection="1">
      <alignment horizontal="right" vertical="center"/>
      <protection hidden="1"/>
    </xf>
    <xf numFmtId="0" fontId="5" fillId="3" borderId="5" xfId="3" applyFont="1" applyFill="1" applyBorder="1" applyAlignment="1">
      <alignment vertical="center"/>
    </xf>
    <xf numFmtId="0" fontId="5" fillId="3" borderId="6" xfId="3" applyFont="1" applyFill="1" applyBorder="1"/>
    <xf numFmtId="164" fontId="0" fillId="4" borderId="4" xfId="4" applyFont="1" applyFill="1" applyBorder="1" applyAlignment="1" applyProtection="1">
      <alignment horizontal="right" vertical="center"/>
      <protection hidden="1"/>
    </xf>
    <xf numFmtId="164" fontId="0" fillId="4" borderId="7" xfId="4" applyFont="1" applyFill="1" applyBorder="1" applyAlignment="1" applyProtection="1">
      <alignment horizontal="right" vertical="center"/>
      <protection hidden="1"/>
    </xf>
    <xf numFmtId="0" fontId="5" fillId="3" borderId="8" xfId="3" applyFont="1" applyFill="1" applyBorder="1" applyAlignment="1">
      <alignment horizontal="right" vertical="center"/>
    </xf>
    <xf numFmtId="0" fontId="5" fillId="3" borderId="9" xfId="3" applyFont="1" applyFill="1" applyBorder="1"/>
    <xf numFmtId="0" fontId="9" fillId="0" borderId="0" xfId="0" applyFont="1" applyAlignment="1">
      <alignment horizontal="center" vertical="center"/>
    </xf>
    <xf numFmtId="164" fontId="9" fillId="2" borderId="0" xfId="2" applyFont="1" applyFill="1" applyBorder="1" applyAlignment="1">
      <alignment horizontal="center" vertical="center"/>
    </xf>
    <xf numFmtId="0" fontId="9" fillId="2" borderId="0" xfId="1" applyFont="1" applyAlignment="1">
      <alignment horizontal="center" vertical="center"/>
    </xf>
    <xf numFmtId="164" fontId="9" fillId="2" borderId="0" xfId="1" applyNumberFormat="1" applyFont="1" applyAlignment="1">
      <alignment horizontal="center" vertical="center"/>
    </xf>
    <xf numFmtId="164" fontId="9" fillId="2" borderId="0" xfId="2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2" borderId="0" xfId="3" applyProtection="1">
      <protection locked="0"/>
    </xf>
    <xf numFmtId="0" fontId="1" fillId="2" borderId="4" xfId="3" applyFont="1" applyBorder="1" applyProtection="1">
      <protection locked="0"/>
    </xf>
    <xf numFmtId="0" fontId="10" fillId="7" borderId="0" xfId="0" applyFont="1" applyFill="1" applyAlignment="1">
      <alignment horizontal="center" vertical="center"/>
    </xf>
    <xf numFmtId="0" fontId="5" fillId="6" borderId="9" xfId="3" applyFont="1" applyFill="1" applyBorder="1" applyAlignment="1">
      <alignment horizontal="center" vertical="center"/>
    </xf>
    <xf numFmtId="0" fontId="5" fillId="6" borderId="8" xfId="3" applyFont="1" applyFill="1" applyBorder="1" applyAlignment="1">
      <alignment horizontal="center" vertical="center"/>
    </xf>
    <xf numFmtId="0" fontId="5" fillId="6" borderId="7" xfId="3" applyFont="1" applyFill="1" applyBorder="1" applyAlignment="1">
      <alignment horizontal="center" vertical="center"/>
    </xf>
    <xf numFmtId="0" fontId="6" fillId="2" borderId="0" xfId="3" applyFont="1" applyAlignment="1">
      <alignment horizontal="center" vertical="center"/>
    </xf>
    <xf numFmtId="0" fontId="2" fillId="3" borderId="12" xfId="3" applyFill="1" applyBorder="1" applyAlignment="1">
      <alignment horizontal="center"/>
    </xf>
    <xf numFmtId="0" fontId="2" fillId="3" borderId="11" xfId="3" applyFill="1" applyBorder="1" applyAlignment="1">
      <alignment horizontal="center"/>
    </xf>
    <xf numFmtId="0" fontId="2" fillId="3" borderId="10" xfId="3" applyFill="1" applyBorder="1" applyAlignment="1">
      <alignment horizontal="center"/>
    </xf>
    <xf numFmtId="0" fontId="6" fillId="2" borderId="0" xfId="3" applyFont="1" applyAlignment="1">
      <alignment horizontal="center"/>
    </xf>
    <xf numFmtId="0" fontId="7" fillId="2" borderId="0" xfId="3" applyFont="1" applyAlignment="1">
      <alignment horizontal="center" vertical="center"/>
    </xf>
    <xf numFmtId="0" fontId="2" fillId="2" borderId="8" xfId="3" applyBorder="1" applyAlignment="1" applyProtection="1">
      <alignment horizontal="right" vertical="center"/>
      <protection locked="0"/>
    </xf>
    <xf numFmtId="0" fontId="5" fillId="2" borderId="5" xfId="3" applyFont="1" applyBorder="1" applyAlignment="1" applyProtection="1">
      <alignment horizontal="right" vertical="center"/>
      <protection hidden="1"/>
    </xf>
    <xf numFmtId="166" fontId="2" fillId="2" borderId="13" xfId="3" applyNumberFormat="1" applyBorder="1" applyAlignment="1" applyProtection="1">
      <alignment horizontal="right" vertical="center"/>
      <protection hidden="1"/>
    </xf>
    <xf numFmtId="166" fontId="2" fillId="2" borderId="10" xfId="3" applyNumberFormat="1" applyBorder="1" applyAlignment="1" applyProtection="1">
      <alignment horizontal="right" vertical="center"/>
      <protection hidden="1"/>
    </xf>
  </cellXfs>
  <cellStyles count="5">
    <cellStyle name="Comma 2" xfId="2" xr:uid="{64C2F1F3-6E2E-4BC0-A212-5A6EFC53B10B}"/>
    <cellStyle name="Comma 3" xfId="4" xr:uid="{DEB3073B-B1CB-4A0A-B714-00458EE67AF8}"/>
    <cellStyle name="Normal 2" xfId="3" xr:uid="{B6DBA2FD-6AF3-4122-9705-03B8BDB386CB}"/>
    <cellStyle name="عادي" xfId="0" builtinId="0"/>
    <cellStyle name="عادي 2" xfId="1" xr:uid="{18AF3CAE-6F9A-406B-8D18-E8A75E8968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numFmt numFmtId="167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numFmt numFmtId="165" formatCode="[$-F800]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ing AR + LT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Ping AR + L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89" Type="http://schemas.microsoft.com/office/2017/06/relationships/rdRichValueStructure" Target="richData/rdrichvaluestructure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microsoft.com/office/2017/06/relationships/rdRichValueTypes" Target="richData/rdRichValueTyp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88" Type="http://schemas.microsoft.com/office/2017/06/relationships/rdRichValue" Target="richData/rdrichvalue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microsoft.com/office/2022/10/relationships/richValueRel" Target="richData/richValueRel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.xml"/><Relationship Id="rId19" Type="http://schemas.openxmlformats.org/officeDocument/2006/relationships/worksheet" Target="worksheets/sheet1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xuliujun1-my.sharepoint.com/personal/68402_office365proplus_co/Documents/&#1587;&#1581;&#1575;&#1576;&#1577;%20&#1575;&#1604;&#1605;&#1584;&#1575;&#1602;/&#1606;&#1605;&#1608;&#1584;&#1580;%20&#1575;&#1581;&#1578;&#1587;&#1575;&#1576;%20&#1585;&#1589;&#1610;&#1583;%20&#1575;&#1604;&#1575;&#1580;&#1575;&#1586;&#1577;.xlsx" TargetMode="External"/><Relationship Id="rId1" Type="http://schemas.openxmlformats.org/officeDocument/2006/relationships/externalLinkPath" Target="https://xuliujun1-my.sharepoint.com/personal/68402_office365proplus_co/Documents/&#1587;&#1581;&#1575;&#1576;&#1577;%20&#1575;&#1604;&#1605;&#1584;&#1575;&#1602;/&#1606;&#1605;&#1608;&#1584;&#1580;%20&#1575;&#1581;&#1578;&#1587;&#1575;&#1576;%20&#1585;&#1589;&#1610;&#1583;%20&#1575;&#1604;&#1575;&#1580;&#1575;&#1586;&#1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تقرير الموظفين"/>
      <sheetName val="رياض"/>
      <sheetName val="نموذج احتساب رصيد الاجازة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2D80-353A-443A-829E-137C0DDFDDDF}" name="Table1" displayName="Table1" ref="A3:T84" totalsRowCount="1" headerRowDxfId="40" dataDxfId="39">
  <autoFilter ref="A3:T83" xr:uid="{3BFD2D80-353A-443A-829E-137C0DDFDDDF}"/>
  <tableColumns count="20">
    <tableColumn id="1" xr3:uid="{0E59CA49-A669-41E8-8003-6B63472E9434}" name="#" dataDxfId="38">
      <calculatedColumnFormula>ROW()-3</calculatedColumnFormula>
    </tableColumn>
    <tableColumn id="2" xr3:uid="{2DED0132-F0B7-4D75-82C0-E6854FDB34D0}" name="اسم المشترك" dataDxfId="36" totalsRowDxfId="37"/>
    <tableColumn id="3" xr3:uid="{285724AA-227D-4BC3-B888-EB8DD6BFEF79}" name="رقم الهوية" dataDxfId="34" totalsRowDxfId="35"/>
    <tableColumn id="4" xr3:uid="{C8AFE80D-4DA9-4346-A28B-F3184B334DC4}" name="الجنسية" dataDxfId="32" totalsRowDxfId="33"/>
    <tableColumn id="5" xr3:uid="{C8EE6D45-67F2-406C-AE86-A8F7DEE87A2B}" name="الجنس" dataDxfId="30" totalsRowDxfId="31"/>
    <tableColumn id="6" xr3:uid="{2F03A42E-CEB6-4778-9D07-FF3D0DB470F0}" name="تاريخ الميلاد" dataDxfId="28" totalsRowDxfId="29"/>
    <tableColumn id="7" xr3:uid="{119B26E8-F3C5-44E8-BCB1-31AD8399C418}" name="الأجر الأساسي" dataDxfId="26" totalsRowDxfId="27"/>
    <tableColumn id="8" xr3:uid="{08C4728D-0C25-4769-AA1A-2A911FC46680}" name="السكن" dataDxfId="24" totalsRowDxfId="25"/>
    <tableColumn id="9" xr3:uid="{AB51D8D0-7BDE-49B8-B563-B2F3A950EF4A}" name="العمولات" dataDxfId="22" totalsRowDxfId="23"/>
    <tableColumn id="10" xr3:uid="{608ACECB-58E6-4B38-9246-D7AF3059AEC8}" name="البدلات الأخرى" dataDxfId="20" totalsRowDxfId="21"/>
    <tableColumn id="11" xr3:uid="{C18F505C-ED53-4EEB-912D-A9D6AE8484C2}" name="إجمالي الأجر" dataDxfId="18" totalsRowDxfId="19"/>
    <tableColumn id="12" xr3:uid="{434B7045-4006-4140-97E8-E1A00F188844}" name="الاجر الخاضع للاشتراك" dataDxfId="16" totalsRowDxfId="17"/>
    <tableColumn id="13" xr3:uid="{021B28C8-8FA7-4C42-9892-29756E8D93AB}" name="المهنة" dataDxfId="14" totalsRowDxfId="15"/>
    <tableColumn id="14" xr3:uid="{25D620DC-FB27-4426-8EC2-0AAB014BE33E}" name="تاريخ الإلتحاق" dataDxfId="12" totalsRowDxfId="13"/>
    <tableColumn id="15" xr3:uid="{794E9199-6574-4BCC-B89D-EFB05516ADAB}" name="فترة العمل بالشركة" dataDxfId="10" totalsRowDxfId="11">
      <calculatedColumnFormula>YEARFRAC(TODAY(),Table1[[#This Row],[تاريخ الإلتحاق]],1)</calculatedColumnFormula>
    </tableColumn>
    <tableColumn id="16" xr3:uid="{7E1A2FEE-51DC-440B-899C-782E580F0D01}" name="رصيد الاجازة المستحق" dataDxfId="8" totalsRowDxfId="9">
      <calculatedColumnFormula>IF(Table1[[#This Row],[فترة العمل بالشركة]]&lt;=5,Table1[[#This Row],[فترة العمل بالشركة]]*21,(((Table1[[#This Row],[فترة العمل بالشركة]]-5)*30)+(5*21)))</calculatedColumnFormula>
    </tableColumn>
    <tableColumn id="17" xr3:uid="{F51015D1-3F0E-4DF5-A65F-8285024F00F6}" name="رصيد الاجازة المستخدم" dataDxfId="6" totalsRowDxfId="7">
      <calculatedColumnFormula>'10000'!E37</calculatedColumnFormula>
    </tableColumn>
    <tableColumn id="18" xr3:uid="{2E88DB4F-EFE9-4CF4-B807-32C3A0B0DD60}" name="رصيد الاجازة الحالي" dataDxfId="4" totalsRowDxfId="5">
      <calculatedColumnFormula>Table1[[#This Row],[رصيد الاجازة المستحق]]-Table1[[#This Row],[رصيد الاجازة المستخدم]]</calculatedColumnFormula>
    </tableColumn>
    <tableColumn id="19" xr3:uid="{AE7167B0-F3D2-4C71-9F10-BEF54A2C6C6D}" name="قيمة مستحقات الاجازة" dataDxfId="2" totalsRowDxfId="3">
      <calculatedColumnFormula>Table1[[#This Row],[رصيد الاجازة الحالي]]/30*Table1[[#This Row],[إجمالي الأجر]]</calculatedColumnFormula>
    </tableColumn>
    <tableColumn id="20" xr3:uid="{F32C80A0-0768-48FE-9369-3661F29F23A0}" name="مستحقات نهاية الخدمة" dataDxfId="0" totalsRowDxfId="1">
      <calculatedColumnFormula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84"/>
  <sheetViews>
    <sheetView rightToLeft="1" workbookViewId="0">
      <selection activeCell="N4" sqref="N4"/>
    </sheetView>
  </sheetViews>
  <sheetFormatPr defaultRowHeight="15"/>
  <cols>
    <col min="1" max="1" width="6.28515625" bestFit="1" customWidth="1"/>
    <col min="2" max="2" width="39" bestFit="1" customWidth="1"/>
    <col min="3" max="3" width="12.42578125" bestFit="1" customWidth="1"/>
    <col min="4" max="4" width="10" bestFit="1" customWidth="1"/>
    <col min="5" max="5" width="8.85546875" bestFit="1" customWidth="1"/>
    <col min="6" max="6" width="13.5703125" bestFit="1" customWidth="1"/>
    <col min="7" max="7" width="14.85546875" bestFit="1" customWidth="1"/>
    <col min="8" max="8" width="9.85546875" hidden="1" customWidth="1"/>
    <col min="9" max="9" width="11.7109375" hidden="1" customWidth="1"/>
    <col min="10" max="10" width="16" hidden="1" customWidth="1"/>
    <col min="11" max="11" width="13.7109375" bestFit="1" customWidth="1"/>
    <col min="12" max="12" width="15.85546875" hidden="1" customWidth="1"/>
    <col min="13" max="13" width="26" bestFit="1" customWidth="1"/>
    <col min="14" max="14" width="14.7109375" bestFit="1" customWidth="1"/>
    <col min="15" max="15" width="14.85546875" bestFit="1" customWidth="1"/>
    <col min="16" max="16" width="15.42578125" customWidth="1"/>
    <col min="17" max="17" width="12.85546875" customWidth="1"/>
    <col min="18" max="18" width="10.85546875" customWidth="1"/>
    <col min="19" max="19" width="13.5703125" customWidth="1"/>
    <col min="20" max="20" width="12.140625" bestFit="1" customWidth="1"/>
  </cols>
  <sheetData>
    <row r="1" spans="1:20" ht="4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35.1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40.5" customHeight="1">
      <c r="A3" s="41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41" t="s">
        <v>12</v>
      </c>
      <c r="M3" s="41" t="s">
        <v>13</v>
      </c>
      <c r="N3" s="41" t="s">
        <v>14</v>
      </c>
      <c r="O3" s="41" t="s">
        <v>15</v>
      </c>
      <c r="P3" s="41" t="s">
        <v>16</v>
      </c>
      <c r="Q3" s="41" t="s">
        <v>17</v>
      </c>
      <c r="R3" s="41" t="s">
        <v>18</v>
      </c>
      <c r="S3" s="41" t="s">
        <v>19</v>
      </c>
      <c r="T3" s="41" t="s">
        <v>20</v>
      </c>
    </row>
    <row r="4" spans="1:20" ht="20.100000000000001" customHeight="1">
      <c r="A4">
        <v>10000</v>
      </c>
      <c r="B4" s="34" t="s">
        <v>21</v>
      </c>
      <c r="C4" s="34" t="s">
        <v>22</v>
      </c>
      <c r="D4" s="34" t="s">
        <v>23</v>
      </c>
      <c r="E4" s="34" t="s">
        <v>24</v>
      </c>
      <c r="F4" s="34" t="s">
        <v>25</v>
      </c>
      <c r="G4" s="34" t="s">
        <v>26</v>
      </c>
      <c r="H4" s="34" t="s">
        <v>27</v>
      </c>
      <c r="I4" s="34" t="s">
        <v>27</v>
      </c>
      <c r="J4" s="34" t="s">
        <v>27</v>
      </c>
      <c r="K4" s="34" t="s">
        <v>26</v>
      </c>
      <c r="L4" s="34" t="s">
        <v>26</v>
      </c>
      <c r="M4" s="34" t="s">
        <v>28</v>
      </c>
      <c r="N4" s="40">
        <v>43037</v>
      </c>
      <c r="O4" s="35">
        <f ca="1">YEARFRAC(TODAY(),Table1[[#This Row],[تاريخ الإلتحاق]],1)</f>
        <v>8.1703681168238518</v>
      </c>
      <c r="P4" s="35">
        <f ca="1">IF(Table1[[#This Row],[فترة العمل بالشركة]]&lt;=5,Table1[[#This Row],[فترة العمل بالشركة]]*21,(((Table1[[#This Row],[فترة العمل بالشركة]]-5)*30)+(5*21)))</f>
        <v>200.11104350471555</v>
      </c>
      <c r="Q4" s="36">
        <f>'10000'!E37</f>
        <v>170</v>
      </c>
      <c r="R4" s="37">
        <f ca="1">Table1[[#This Row],[رصيد الاجازة المستحق]]-Table1[[#This Row],[رصيد الاجازة المستخدم]]</f>
        <v>30.111043504715553</v>
      </c>
      <c r="S4" s="38">
        <f ca="1">Table1[[#This Row],[رصيد الاجازة الحالي]]/30*Table1[[#This Row],[إجمالي الأجر]]</f>
        <v>2208.1431903458069</v>
      </c>
      <c r="T4" s="38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12474.809857012475</v>
      </c>
    </row>
    <row r="5" spans="1:20" ht="20.100000000000001" customHeight="1">
      <c r="A5">
        <v>10001</v>
      </c>
      <c r="B5" s="34" t="s">
        <v>29</v>
      </c>
      <c r="C5" s="34" t="s">
        <v>30</v>
      </c>
      <c r="D5" s="34" t="s">
        <v>31</v>
      </c>
      <c r="E5" s="34" t="s">
        <v>24</v>
      </c>
      <c r="F5" s="34" t="s">
        <v>32</v>
      </c>
      <c r="G5" s="34" t="s">
        <v>33</v>
      </c>
      <c r="H5" s="34" t="s">
        <v>27</v>
      </c>
      <c r="I5" s="34" t="s">
        <v>27</v>
      </c>
      <c r="J5" s="34" t="s">
        <v>27</v>
      </c>
      <c r="K5" s="34" t="s">
        <v>33</v>
      </c>
      <c r="L5" s="34" t="s">
        <v>33</v>
      </c>
      <c r="M5" s="34" t="s">
        <v>34</v>
      </c>
      <c r="N5" s="40">
        <v>43221</v>
      </c>
      <c r="O5" s="39">
        <f ca="1">YEARFRAC(TODAY(),Table1[[#This Row],[تاريخ الإلتحاق]],1)</f>
        <v>7.6659822039698833</v>
      </c>
      <c r="P5" s="39">
        <f ca="1">IF(Table1[[#This Row],[فترة العمل بالشركة]]&lt;=5,Table1[[#This Row],[فترة العمل بالشركة]]*21,(((Table1[[#This Row],[فترة العمل بالشركة]]-5)*30)+(5*21)))</f>
        <v>184.97946611909651</v>
      </c>
      <c r="Q5" s="34">
        <f>'10001'!E37</f>
        <v>165</v>
      </c>
      <c r="R5" s="39">
        <f ca="1">Table1[[#This Row],[رصيد الاجازة المستحق]]-Table1[[#This Row],[رصيد الاجازة المستخدم]]</f>
        <v>19.979466119096514</v>
      </c>
      <c r="S5" s="39">
        <f ca="1">Table1[[#This Row],[رصيد الاجازة الحالي]]/30*Table1[[#This Row],[إجمالي الأجر]]</f>
        <v>2330.9377138945933</v>
      </c>
      <c r="T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18080.937713894593</v>
      </c>
    </row>
    <row r="6" spans="1:20" ht="20.100000000000001" customHeight="1">
      <c r="A6">
        <v>10002</v>
      </c>
      <c r="B6" s="34" t="s">
        <v>35</v>
      </c>
      <c r="C6" s="34" t="s">
        <v>36</v>
      </c>
      <c r="D6" s="34" t="s">
        <v>31</v>
      </c>
      <c r="E6" s="34" t="s">
        <v>24</v>
      </c>
      <c r="F6" s="34" t="s">
        <v>37</v>
      </c>
      <c r="G6" s="34" t="s">
        <v>38</v>
      </c>
      <c r="H6" s="34" t="s">
        <v>27</v>
      </c>
      <c r="I6" s="34" t="s">
        <v>27</v>
      </c>
      <c r="J6" s="34" t="s">
        <v>27</v>
      </c>
      <c r="K6" s="34" t="s">
        <v>38</v>
      </c>
      <c r="L6" s="34" t="s">
        <v>38</v>
      </c>
      <c r="M6" s="34" t="s">
        <v>28</v>
      </c>
      <c r="N6" s="40">
        <v>43387</v>
      </c>
      <c r="O6" s="39">
        <f ca="1">YEARFRAC(TODAY(),Table1[[#This Row],[تاريخ الإلتحاق]],1)</f>
        <v>7.2114989733059547</v>
      </c>
      <c r="P6" s="39">
        <f ca="1">IF(Table1[[#This Row],[فترة العمل بالشركة]]&lt;=5,Table1[[#This Row],[فترة العمل بالشركة]]*21,(((Table1[[#This Row],[فترة العمل بالشركة]]-5)*30)+(5*21)))</f>
        <v>171.34496919917865</v>
      </c>
      <c r="Q6" s="34">
        <f>'10002'!E37</f>
        <v>134</v>
      </c>
      <c r="R6" s="39">
        <f ca="1">Table1[[#This Row],[رصيد الاجازة المستحق]]-Table1[[#This Row],[رصيد الاجازة المستخدم]]</f>
        <v>37.344969199178649</v>
      </c>
      <c r="S6" s="39">
        <f ca="1">Table1[[#This Row],[رصيد الاجازة الحالي]]/30*Table1[[#This Row],[إجمالي الأجر]]</f>
        <v>3734.4969199178649</v>
      </c>
      <c r="T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14134.496919917865</v>
      </c>
    </row>
    <row r="7" spans="1:20" ht="20.100000000000001" customHeight="1">
      <c r="A7">
        <v>10003</v>
      </c>
      <c r="B7" s="34" t="s">
        <v>39</v>
      </c>
      <c r="C7" s="34" t="s">
        <v>40</v>
      </c>
      <c r="D7" s="34" t="s">
        <v>31</v>
      </c>
      <c r="E7" s="34" t="s">
        <v>24</v>
      </c>
      <c r="F7" s="34" t="s">
        <v>41</v>
      </c>
      <c r="G7" s="34" t="s">
        <v>38</v>
      </c>
      <c r="H7" s="34" t="s">
        <v>27</v>
      </c>
      <c r="I7" s="34" t="s">
        <v>27</v>
      </c>
      <c r="J7" s="34" t="s">
        <v>27</v>
      </c>
      <c r="K7" s="34" t="s">
        <v>38</v>
      </c>
      <c r="L7" s="34" t="s">
        <v>38</v>
      </c>
      <c r="M7" s="34" t="s">
        <v>28</v>
      </c>
      <c r="N7" s="40">
        <v>43497</v>
      </c>
      <c r="O7" s="39">
        <f ca="1">YEARFRAC(TODAY(),Table1[[#This Row],[تاريخ الإلتحاق]],1)</f>
        <v>6.9096597575283534</v>
      </c>
      <c r="P7" s="39">
        <f ca="1">IF(Table1[[#This Row],[فترة العمل بالشركة]]&lt;=5,Table1[[#This Row],[فترة العمل بالشركة]]*21,(((Table1[[#This Row],[فترة العمل بالشركة]]-5)*30)+(5*21)))</f>
        <v>162.28979272585059</v>
      </c>
      <c r="Q7" s="34">
        <f>'10003'!E37</f>
        <v>133</v>
      </c>
      <c r="R7" s="39">
        <f ca="1">Table1[[#This Row],[رصيد الاجازة المستحق]]-Table1[[#This Row],[رصيد الاجازة المستخدم]]</f>
        <v>29.289792725850589</v>
      </c>
      <c r="S7" s="39">
        <f ca="1">Table1[[#This Row],[رصيد الاجازة الحالي]]/30*Table1[[#This Row],[إجمالي الأجر]]</f>
        <v>2928.9792725850589</v>
      </c>
      <c r="T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13228.97927258506</v>
      </c>
    </row>
    <row r="8" spans="1:20" ht="20.100000000000001" customHeight="1">
      <c r="A8">
        <v>10004</v>
      </c>
      <c r="B8" s="34" t="s">
        <v>42</v>
      </c>
      <c r="C8" s="34" t="s">
        <v>43</v>
      </c>
      <c r="D8" s="34" t="s">
        <v>23</v>
      </c>
      <c r="E8" s="34" t="s">
        <v>24</v>
      </c>
      <c r="F8" s="34" t="s">
        <v>44</v>
      </c>
      <c r="G8" s="34" t="s">
        <v>45</v>
      </c>
      <c r="H8" s="34" t="s">
        <v>27</v>
      </c>
      <c r="I8" s="34" t="s">
        <v>27</v>
      </c>
      <c r="J8" s="34" t="s">
        <v>27</v>
      </c>
      <c r="K8" s="34" t="s">
        <v>45</v>
      </c>
      <c r="L8" s="34" t="s">
        <v>45</v>
      </c>
      <c r="M8" s="34" t="s">
        <v>28</v>
      </c>
      <c r="N8" s="40">
        <v>43556</v>
      </c>
      <c r="O8" s="39">
        <f ca="1">YEARFRAC(TODAY(),Table1[[#This Row],[تاريخ الإلتحاق]],1)</f>
        <v>6.7481423543214705</v>
      </c>
      <c r="P8" s="39">
        <f ca="1">IF(Table1[[#This Row],[فترة العمل بالشركة]]&lt;=5,Table1[[#This Row],[فترة العمل بالشركة]]*21,(((Table1[[#This Row],[فترة العمل بالشركة]]-5)*30)+(5*21)))</f>
        <v>157.44427062964411</v>
      </c>
      <c r="Q8" s="34">
        <f>'10004'!E37</f>
        <v>129</v>
      </c>
      <c r="R8" s="39">
        <f ca="1">Table1[[#This Row],[رصيد الاجازة المستحق]]-Table1[[#This Row],[رصيد الاجازة المستخدم]]</f>
        <v>28.444270629644109</v>
      </c>
      <c r="S8" s="39">
        <f ca="1">Table1[[#This Row],[رصيد الاجازة الحالي]]/30*Table1[[#This Row],[إجمالي الأجر]]</f>
        <v>1706.6562377786465</v>
      </c>
      <c r="T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7646.6562377786468</v>
      </c>
    </row>
    <row r="9" spans="1:20" ht="20.100000000000001" customHeight="1">
      <c r="A9">
        <v>10005</v>
      </c>
      <c r="B9" s="34" t="s">
        <v>46</v>
      </c>
      <c r="C9" s="34" t="s">
        <v>47</v>
      </c>
      <c r="D9" s="34" t="s">
        <v>48</v>
      </c>
      <c r="E9" s="34" t="s">
        <v>49</v>
      </c>
      <c r="F9" s="34" t="s">
        <v>50</v>
      </c>
      <c r="G9" s="34" t="s">
        <v>51</v>
      </c>
      <c r="H9" s="34" t="s">
        <v>27</v>
      </c>
      <c r="I9" s="34" t="s">
        <v>27</v>
      </c>
      <c r="J9" s="34" t="s">
        <v>27</v>
      </c>
      <c r="K9" s="34" t="s">
        <v>51</v>
      </c>
      <c r="L9" s="34" t="s">
        <v>51</v>
      </c>
      <c r="M9" s="34" t="s">
        <v>52</v>
      </c>
      <c r="N9" s="40">
        <v>44105</v>
      </c>
      <c r="O9" s="39">
        <f ca="1">YEARFRAC(TODAY(),Table1[[#This Row],[تاريخ الإلتحاق]],1)</f>
        <v>5.2445255474452557</v>
      </c>
      <c r="P9" s="39">
        <f ca="1">IF(Table1[[#This Row],[فترة العمل بالشركة]]&lt;=5,Table1[[#This Row],[فترة العمل بالشركة]]*21,(((Table1[[#This Row],[فترة العمل بالشركة]]-5)*30)+(5*21)))</f>
        <v>112.33576642335767</v>
      </c>
      <c r="Q9" s="34">
        <f>'10005'!E37</f>
        <v>90</v>
      </c>
      <c r="R9" s="39">
        <f ca="1">Table1[[#This Row],[رصيد الاجازة المستحق]]-Table1[[#This Row],[رصيد الاجازة المستخدم]]</f>
        <v>22.335766423357668</v>
      </c>
      <c r="S9" s="39">
        <f ca="1">Table1[[#This Row],[رصيد الاجازة الحالي]]/30*Table1[[#This Row],[إجمالي الأجر]]</f>
        <v>2978.1021897810224</v>
      </c>
      <c r="T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10978.102189781022</v>
      </c>
    </row>
    <row r="10" spans="1:20" ht="20.100000000000001" customHeight="1">
      <c r="A10">
        <v>10006</v>
      </c>
      <c r="B10" s="34" t="s">
        <v>53</v>
      </c>
      <c r="C10" s="34" t="s">
        <v>54</v>
      </c>
      <c r="D10" s="34" t="s">
        <v>48</v>
      </c>
      <c r="E10" s="34" t="s">
        <v>49</v>
      </c>
      <c r="F10" s="34" t="s">
        <v>55</v>
      </c>
      <c r="G10" s="34" t="s">
        <v>51</v>
      </c>
      <c r="H10" s="34" t="s">
        <v>27</v>
      </c>
      <c r="I10" s="34" t="s">
        <v>27</v>
      </c>
      <c r="J10" s="34" t="s">
        <v>27</v>
      </c>
      <c r="K10" s="34" t="s">
        <v>51</v>
      </c>
      <c r="L10" s="34" t="s">
        <v>51</v>
      </c>
      <c r="M10" s="34" t="s">
        <v>52</v>
      </c>
      <c r="N10" s="40">
        <v>44105</v>
      </c>
      <c r="O10" s="39">
        <f ca="1">YEARFRAC(TODAY(),Table1[[#This Row],[تاريخ الإلتحاق]],1)</f>
        <v>5.2445255474452557</v>
      </c>
      <c r="P10" s="39">
        <f ca="1">IF(Table1[[#This Row],[فترة العمل بالشركة]]&lt;=5,Table1[[#This Row],[فترة العمل بالشركة]]*21,(((Table1[[#This Row],[فترة العمل بالشركة]]-5)*30)+(5*21)))</f>
        <v>112.33576642335767</v>
      </c>
      <c r="Q10" s="34">
        <f>'10006'!E37</f>
        <v>89</v>
      </c>
      <c r="R10" s="39">
        <f ca="1">Table1[[#This Row],[رصيد الاجازة المستحق]]-Table1[[#This Row],[رصيد الاجازة المستخدم]]</f>
        <v>23.335766423357668</v>
      </c>
      <c r="S10" s="39">
        <f ca="1">Table1[[#This Row],[رصيد الاجازة الحالي]]/30*Table1[[#This Row],[إجمالي الأجر]]</f>
        <v>3111.4355231143559</v>
      </c>
      <c r="T1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10978.102189781022</v>
      </c>
    </row>
    <row r="11" spans="1:20" ht="20.100000000000001" customHeight="1">
      <c r="A11">
        <v>10007</v>
      </c>
      <c r="B11" s="34" t="s">
        <v>56</v>
      </c>
      <c r="C11" s="34" t="s">
        <v>57</v>
      </c>
      <c r="D11" s="34" t="s">
        <v>23</v>
      </c>
      <c r="E11" s="34" t="s">
        <v>24</v>
      </c>
      <c r="F11" s="34" t="s">
        <v>58</v>
      </c>
      <c r="G11" s="34" t="s">
        <v>59</v>
      </c>
      <c r="H11" s="34" t="s">
        <v>27</v>
      </c>
      <c r="I11" s="34" t="s">
        <v>27</v>
      </c>
      <c r="J11" s="34" t="s">
        <v>27</v>
      </c>
      <c r="K11" s="34" t="s">
        <v>59</v>
      </c>
      <c r="L11" s="34" t="s">
        <v>59</v>
      </c>
      <c r="M11" s="34" t="s">
        <v>28</v>
      </c>
      <c r="N11" s="40">
        <v>44364</v>
      </c>
      <c r="O11" s="39">
        <f ca="1">YEARFRAC(TODAY(),Table1[[#This Row],[تاريخ الإلتحاق]],1)</f>
        <v>4.5372398685651696</v>
      </c>
      <c r="P11" s="39">
        <f ca="1">IF(Table1[[#This Row],[فترة العمل بالشركة]]&lt;=5,Table1[[#This Row],[فترة العمل بالشركة]]*21,(((Table1[[#This Row],[فترة العمل بالشركة]]-5)*30)+(5*21)))</f>
        <v>95.282037239868558</v>
      </c>
      <c r="Q11" s="34">
        <f>'10007'!E37</f>
        <v>74</v>
      </c>
      <c r="R11" s="39">
        <f ca="1">Table1[[#This Row],[رصيد الاجازة المستحق]]-Table1[[#This Row],[رصيد الاجازة المستخدم]]</f>
        <v>21.282037239868558</v>
      </c>
      <c r="S11" s="39">
        <f ca="1">Table1[[#This Row],[رصيد الاجازة الحالي]]/30*Table1[[#This Row],[إجمالي الأجر]]</f>
        <v>1418.8024826579037</v>
      </c>
      <c r="T1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4537.2398685651697</v>
      </c>
    </row>
    <row r="12" spans="1:20" ht="20.100000000000001" customHeight="1">
      <c r="A12">
        <v>10008</v>
      </c>
      <c r="B12" s="34" t="s">
        <v>60</v>
      </c>
      <c r="C12" s="34" t="s">
        <v>61</v>
      </c>
      <c r="D12" s="34" t="s">
        <v>23</v>
      </c>
      <c r="E12" s="34" t="s">
        <v>24</v>
      </c>
      <c r="F12" s="34" t="s">
        <v>62</v>
      </c>
      <c r="G12" s="34" t="s">
        <v>26</v>
      </c>
      <c r="H12" s="34" t="s">
        <v>27</v>
      </c>
      <c r="I12" s="34" t="s">
        <v>27</v>
      </c>
      <c r="J12" s="34" t="s">
        <v>27</v>
      </c>
      <c r="K12" s="34" t="s">
        <v>26</v>
      </c>
      <c r="L12" s="34" t="s">
        <v>26</v>
      </c>
      <c r="M12" s="34" t="s">
        <v>28</v>
      </c>
      <c r="N12" s="40">
        <v>44364</v>
      </c>
      <c r="O12" s="39">
        <f ca="1">YEARFRAC(TODAY(),Table1[[#This Row],[تاريخ الإلتحاق]],1)</f>
        <v>4.5372398685651696</v>
      </c>
      <c r="P12" s="39">
        <f ca="1">IF(Table1[[#This Row],[فترة العمل بالشركة]]&lt;=5,Table1[[#This Row],[فترة العمل بالشركة]]*21,(((Table1[[#This Row],[فترة العمل بالشركة]]-5)*30)+(5*21)))</f>
        <v>95.282037239868558</v>
      </c>
      <c r="Q12" s="34">
        <f>'10008'!E37</f>
        <v>74</v>
      </c>
      <c r="R12" s="39">
        <f ca="1">Table1[[#This Row],[رصيد الاجازة المستحق]]-Table1[[#This Row],[رصيد الاجازة المستخدم]]</f>
        <v>21.282037239868558</v>
      </c>
      <c r="S12" s="39">
        <f ca="1">Table1[[#This Row],[رصيد الاجازة الحالي]]/30*Table1[[#This Row],[إجمالي الأجر]]</f>
        <v>1560.6827309236942</v>
      </c>
      <c r="T1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4990.9638554216863</v>
      </c>
    </row>
    <row r="13" spans="1:20" ht="20.100000000000001" customHeight="1">
      <c r="A13">
        <v>10009</v>
      </c>
      <c r="B13" s="34" t="s">
        <v>63</v>
      </c>
      <c r="C13" s="34" t="s">
        <v>64</v>
      </c>
      <c r="D13" s="34" t="s">
        <v>48</v>
      </c>
      <c r="E13" s="34" t="s">
        <v>49</v>
      </c>
      <c r="F13" s="34" t="s">
        <v>65</v>
      </c>
      <c r="G13" s="34" t="s">
        <v>66</v>
      </c>
      <c r="H13" s="34" t="s">
        <v>27</v>
      </c>
      <c r="I13" s="34" t="s">
        <v>27</v>
      </c>
      <c r="J13" s="34" t="s">
        <v>27</v>
      </c>
      <c r="K13" s="34" t="s">
        <v>66</v>
      </c>
      <c r="L13" s="34" t="s">
        <v>66</v>
      </c>
      <c r="M13" s="34" t="s">
        <v>67</v>
      </c>
      <c r="N13" s="40">
        <v>44621</v>
      </c>
      <c r="O13" s="39">
        <f ca="1">YEARFRAC(TODAY(),Table1[[#This Row],[تاريخ الإلتحاق]],1)</f>
        <v>3.8329911019849416</v>
      </c>
      <c r="P13" s="39">
        <f ca="1">IF(Table1[[#This Row],[فترة العمل بالشركة]]&lt;=5,Table1[[#This Row],[فترة العمل بالشركة]]*21,(((Table1[[#This Row],[فترة العمل بالشركة]]-5)*30)+(5*21)))</f>
        <v>80.492813141683769</v>
      </c>
      <c r="Q13" s="34">
        <f>'10009'!E37</f>
        <v>40</v>
      </c>
      <c r="R13" s="39">
        <f ca="1">Table1[[#This Row],[رصيد الاجازة المستحق]]-Table1[[#This Row],[رصيد الاجازة المستخدم]]</f>
        <v>40.492813141683769</v>
      </c>
      <c r="S13" s="39">
        <f ca="1">Table1[[#This Row],[رصيد الاجازة الحالي]]/30*Table1[[#This Row],[إجمالي الأجر]]</f>
        <v>6073.9219712525655</v>
      </c>
      <c r="T1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8624.2299794661194</v>
      </c>
    </row>
    <row r="14" spans="1:20" ht="20.100000000000001" customHeight="1">
      <c r="A14">
        <v>10010</v>
      </c>
      <c r="B14" s="34" t="s">
        <v>68</v>
      </c>
      <c r="C14" s="34" t="s">
        <v>69</v>
      </c>
      <c r="D14" s="34" t="s">
        <v>48</v>
      </c>
      <c r="E14" s="34" t="s">
        <v>49</v>
      </c>
      <c r="F14" s="34" t="s">
        <v>70</v>
      </c>
      <c r="G14" s="34" t="s">
        <v>71</v>
      </c>
      <c r="H14" s="34" t="s">
        <v>27</v>
      </c>
      <c r="I14" s="34" t="s">
        <v>27</v>
      </c>
      <c r="J14" s="34" t="s">
        <v>27</v>
      </c>
      <c r="K14" s="34" t="s">
        <v>71</v>
      </c>
      <c r="L14" s="34" t="s">
        <v>71</v>
      </c>
      <c r="M14" s="34" t="s">
        <v>67</v>
      </c>
      <c r="N14" s="40">
        <v>44621</v>
      </c>
      <c r="O14" s="39">
        <f ca="1">YEARFRAC(TODAY(),Table1[[#This Row],[تاريخ الإلتحاق]],1)</f>
        <v>3.8329911019849416</v>
      </c>
      <c r="P14" s="39">
        <f ca="1">IF(Table1[[#This Row],[فترة العمل بالشركة]]&lt;=5,Table1[[#This Row],[فترة العمل بالشركة]]*21,(((Table1[[#This Row],[فترة العمل بالشركة]]-5)*30)+(5*21)))</f>
        <v>80.492813141683769</v>
      </c>
      <c r="Q14" s="34">
        <f>'10010'!E37</f>
        <v>45</v>
      </c>
      <c r="R14" s="39">
        <f ca="1">Table1[[#This Row],[رصيد الاجازة المستحق]]-Table1[[#This Row],[رصيد الاجازة المستخدم]]</f>
        <v>35.492813141683769</v>
      </c>
      <c r="S14" s="39">
        <f ca="1">Table1[[#This Row],[رصيد الاجازة الحالي]]/30*Table1[[#This Row],[إجمالي الأجر]]</f>
        <v>6507.0157426420237</v>
      </c>
      <c r="T1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10540.725530458589</v>
      </c>
    </row>
    <row r="15" spans="1:20" ht="20.100000000000001" customHeight="1">
      <c r="A15">
        <v>10011</v>
      </c>
      <c r="B15" s="34" t="s">
        <v>72</v>
      </c>
      <c r="C15" s="34" t="s">
        <v>73</v>
      </c>
      <c r="D15" s="34" t="s">
        <v>31</v>
      </c>
      <c r="E15" s="34" t="s">
        <v>24</v>
      </c>
      <c r="F15" s="34" t="s">
        <v>74</v>
      </c>
      <c r="G15" s="34" t="s">
        <v>75</v>
      </c>
      <c r="H15" s="34" t="s">
        <v>27</v>
      </c>
      <c r="I15" s="34" t="s">
        <v>27</v>
      </c>
      <c r="J15" s="34" t="s">
        <v>27</v>
      </c>
      <c r="K15" s="34" t="s">
        <v>75</v>
      </c>
      <c r="L15" s="34" t="s">
        <v>75</v>
      </c>
      <c r="M15" s="34" t="s">
        <v>76</v>
      </c>
      <c r="N15" s="40">
        <v>44628</v>
      </c>
      <c r="O15" s="39">
        <f ca="1">YEARFRAC(TODAY(),Table1[[#This Row],[تاريخ الإلتحاق]],1)</f>
        <v>3.8138261464750172</v>
      </c>
      <c r="P15" s="39">
        <f ca="1">IF(Table1[[#This Row],[فترة العمل بالشركة]]&lt;=5,Table1[[#This Row],[فترة العمل بالشركة]]*21,(((Table1[[#This Row],[فترة العمل بالشركة]]-5)*30)+(5*21)))</f>
        <v>80.090349075975354</v>
      </c>
      <c r="Q15" s="34">
        <f>'10011'!E37</f>
        <v>55</v>
      </c>
      <c r="R15" s="39">
        <f ca="1">Table1[[#This Row],[رصيد الاجازة المستحق]]-Table1[[#This Row],[رصيد الاجازة المستخدم]]</f>
        <v>25.090349075975354</v>
      </c>
      <c r="S15" s="39">
        <f ca="1">Table1[[#This Row],[رصيد الاجازة الحالي]]/30*Table1[[#This Row],[إجمالي الأجر]]</f>
        <v>5854.4147843942492</v>
      </c>
      <c r="T1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13348.39151266256</v>
      </c>
    </row>
    <row r="16" spans="1:20" ht="20.100000000000001" customHeight="1">
      <c r="A16">
        <v>10012</v>
      </c>
      <c r="B16" s="34" t="s">
        <v>77</v>
      </c>
      <c r="C16" s="34" t="s">
        <v>78</v>
      </c>
      <c r="D16" s="34" t="s">
        <v>79</v>
      </c>
      <c r="E16" s="34" t="s">
        <v>24</v>
      </c>
      <c r="F16" s="34" t="s">
        <v>80</v>
      </c>
      <c r="G16" s="34" t="s">
        <v>81</v>
      </c>
      <c r="H16" s="34" t="s">
        <v>27</v>
      </c>
      <c r="I16" s="34" t="s">
        <v>27</v>
      </c>
      <c r="J16" s="34" t="s">
        <v>27</v>
      </c>
      <c r="K16" s="34" t="s">
        <v>81</v>
      </c>
      <c r="L16" s="34" t="s">
        <v>81</v>
      </c>
      <c r="M16" s="34" t="s">
        <v>28</v>
      </c>
      <c r="N16" s="40">
        <v>44629</v>
      </c>
      <c r="O16" s="39">
        <f ca="1">YEARFRAC(TODAY(),Table1[[#This Row],[تاريخ الإلتحاق]],1)</f>
        <v>3.8110882956878851</v>
      </c>
      <c r="P16" s="39">
        <f ca="1">IF(Table1[[#This Row],[فترة العمل بالشركة]]&lt;=5,Table1[[#This Row],[فترة العمل بالشركة]]*21,(((Table1[[#This Row],[فترة العمل بالشركة]]-5)*30)+(5*21)))</f>
        <v>80.032854209445588</v>
      </c>
      <c r="Q16" s="34">
        <f>'10012'!E37</f>
        <v>59</v>
      </c>
      <c r="R16" s="39">
        <f ca="1">Table1[[#This Row],[رصيد الاجازة المستحق]]-Table1[[#This Row],[رصيد الاجازة المستخدم]]</f>
        <v>21.032854209445588</v>
      </c>
      <c r="S16" s="39">
        <f ca="1">Table1[[#This Row],[رصيد الاجازة الحالي]]/30*Table1[[#This Row],[إجمالي الأجر]]</f>
        <v>5608.7611225188239</v>
      </c>
      <c r="T1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15244.35318275154</v>
      </c>
    </row>
    <row r="17" spans="1:20" ht="20.100000000000001" customHeight="1">
      <c r="A17">
        <v>10013</v>
      </c>
      <c r="B17" s="34" t="s">
        <v>82</v>
      </c>
      <c r="C17" s="34" t="s">
        <v>83</v>
      </c>
      <c r="D17" s="34" t="s">
        <v>31</v>
      </c>
      <c r="E17" s="34" t="s">
        <v>24</v>
      </c>
      <c r="F17" s="34" t="s">
        <v>84</v>
      </c>
      <c r="G17" s="34" t="s">
        <v>38</v>
      </c>
      <c r="H17" s="34" t="s">
        <v>27</v>
      </c>
      <c r="I17" s="34" t="s">
        <v>27</v>
      </c>
      <c r="J17" s="34" t="s">
        <v>27</v>
      </c>
      <c r="K17" s="34" t="s">
        <v>38</v>
      </c>
      <c r="L17" s="34" t="s">
        <v>38</v>
      </c>
      <c r="M17" s="34" t="s">
        <v>34</v>
      </c>
      <c r="N17" s="40">
        <v>44631</v>
      </c>
      <c r="O17" s="39">
        <f ca="1">YEARFRAC(TODAY(),Table1[[#This Row],[تاريخ الإلتحاق]],1)</f>
        <v>3.805612594113621</v>
      </c>
      <c r="P17" s="39">
        <f ca="1">IF(Table1[[#This Row],[فترة العمل بالشركة]]&lt;=5,Table1[[#This Row],[فترة العمل بالشركة]]*21,(((Table1[[#This Row],[فترة العمل بالشركة]]-5)*30)+(5*21)))</f>
        <v>79.917864476386043</v>
      </c>
      <c r="Q17" s="34">
        <f>'10013'!E37</f>
        <v>64</v>
      </c>
      <c r="R17" s="39">
        <f ca="1">Table1[[#This Row],[رصيد الاجازة المستحق]]-Table1[[#This Row],[رصيد الاجازة المستخدم]]</f>
        <v>15.917864476386043</v>
      </c>
      <c r="S17" s="39">
        <f ca="1">Table1[[#This Row],[رصيد الاجازة الحالي]]/30*Table1[[#This Row],[إجمالي الأجر]]</f>
        <v>1591.7864476386044</v>
      </c>
      <c r="T1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5708.4188911704314</v>
      </c>
    </row>
    <row r="18" spans="1:20" ht="20.100000000000001" customHeight="1">
      <c r="A18">
        <v>10014</v>
      </c>
      <c r="B18" s="34" t="s">
        <v>85</v>
      </c>
      <c r="C18" s="34" t="s">
        <v>86</v>
      </c>
      <c r="D18" s="34" t="s">
        <v>23</v>
      </c>
      <c r="E18" s="34" t="s">
        <v>24</v>
      </c>
      <c r="F18" s="34" t="s">
        <v>87</v>
      </c>
      <c r="G18" s="34" t="s">
        <v>88</v>
      </c>
      <c r="H18" s="34" t="s">
        <v>27</v>
      </c>
      <c r="I18" s="34" t="s">
        <v>27</v>
      </c>
      <c r="J18" s="34" t="s">
        <v>27</v>
      </c>
      <c r="K18" s="34" t="s">
        <v>88</v>
      </c>
      <c r="L18" s="34" t="s">
        <v>88</v>
      </c>
      <c r="M18" s="34" t="s">
        <v>28</v>
      </c>
      <c r="N18" s="40">
        <v>44641</v>
      </c>
      <c r="O18" s="39">
        <f ca="1">YEARFRAC(TODAY(),Table1[[#This Row],[تاريخ الإلتحاق]],1)</f>
        <v>3.7782340862422998</v>
      </c>
      <c r="P18" s="39">
        <f ca="1">IF(Table1[[#This Row],[فترة العمل بالشركة]]&lt;=5,Table1[[#This Row],[فترة العمل بالشركة]]*21,(((Table1[[#This Row],[فترة العمل بالشركة]]-5)*30)+(5*21)))</f>
        <v>79.34291581108829</v>
      </c>
      <c r="Q18" s="34">
        <f>'10014'!E37</f>
        <v>61</v>
      </c>
      <c r="R18" s="39">
        <f ca="1">Table1[[#This Row],[رصيد الاجازة المستحق]]-Table1[[#This Row],[رصيد الاجازة المستخدم]]</f>
        <v>18.34291581108829</v>
      </c>
      <c r="S18" s="39">
        <f ca="1">Table1[[#This Row],[رصيد الاجازة الحالي]]/30*Table1[[#This Row],[إجمالي الأجر]]</f>
        <v>917.14579055441448</v>
      </c>
      <c r="T1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2833.6755646817251</v>
      </c>
    </row>
    <row r="19" spans="1:20" ht="20.100000000000001" customHeight="1">
      <c r="A19">
        <v>10015</v>
      </c>
      <c r="B19" s="34" t="s">
        <v>89</v>
      </c>
      <c r="C19" s="34" t="s">
        <v>90</v>
      </c>
      <c r="D19" s="34" t="s">
        <v>31</v>
      </c>
      <c r="E19" s="34" t="s">
        <v>24</v>
      </c>
      <c r="F19" s="34" t="s">
        <v>91</v>
      </c>
      <c r="G19" s="34" t="s">
        <v>92</v>
      </c>
      <c r="H19" s="34" t="s">
        <v>27</v>
      </c>
      <c r="I19" s="34" t="s">
        <v>27</v>
      </c>
      <c r="J19" s="34" t="s">
        <v>27</v>
      </c>
      <c r="K19" s="34" t="s">
        <v>92</v>
      </c>
      <c r="L19" s="34" t="s">
        <v>92</v>
      </c>
      <c r="M19" s="34" t="s">
        <v>34</v>
      </c>
      <c r="N19" s="40">
        <v>44741</v>
      </c>
      <c r="O19" s="39">
        <f ca="1">YEARFRAC(TODAY(),Table1[[#This Row],[تاريخ الإلتحاق]],1)</f>
        <v>3.5044490075290895</v>
      </c>
      <c r="P19" s="39">
        <f ca="1">IF(Table1[[#This Row],[فترة العمل بالشركة]]&lt;=5,Table1[[#This Row],[فترة العمل بالشركة]]*21,(((Table1[[#This Row],[فترة العمل بالشركة]]-5)*30)+(5*21)))</f>
        <v>73.593429158110879</v>
      </c>
      <c r="Q19" s="34">
        <f>'10015'!E37</f>
        <v>58</v>
      </c>
      <c r="R19" s="39">
        <f ca="1">Table1[[#This Row],[رصيد الاجازة المستحق]]-Table1[[#This Row],[رصيد الاجازة المستخدم]]</f>
        <v>15.593429158110879</v>
      </c>
      <c r="S19" s="39">
        <f ca="1">Table1[[#This Row],[رصيد الاجازة الحالي]]/30*Table1[[#This Row],[إجمالي الأجر]]</f>
        <v>1351.4305270362763</v>
      </c>
      <c r="T1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4555.7837097878164</v>
      </c>
    </row>
    <row r="20" spans="1:20" ht="20.100000000000001" customHeight="1">
      <c r="A20">
        <v>10016</v>
      </c>
      <c r="B20" s="34" t="s">
        <v>93</v>
      </c>
      <c r="C20" s="34" t="s">
        <v>94</v>
      </c>
      <c r="D20" s="34" t="s">
        <v>48</v>
      </c>
      <c r="E20" s="34" t="s">
        <v>49</v>
      </c>
      <c r="F20" s="34" t="s">
        <v>95</v>
      </c>
      <c r="G20" s="34" t="s">
        <v>66</v>
      </c>
      <c r="H20" s="34" t="s">
        <v>27</v>
      </c>
      <c r="I20" s="34" t="s">
        <v>27</v>
      </c>
      <c r="J20" s="34" t="s">
        <v>27</v>
      </c>
      <c r="K20" s="34" t="s">
        <v>66</v>
      </c>
      <c r="L20" s="34" t="s">
        <v>66</v>
      </c>
      <c r="M20" s="34" t="s">
        <v>96</v>
      </c>
      <c r="N20" s="40">
        <v>44743</v>
      </c>
      <c r="O20" s="39">
        <f ca="1">YEARFRAC(TODAY(),Table1[[#This Row],[تاريخ الإلتحاق]],1)</f>
        <v>3.4989733059548254</v>
      </c>
      <c r="P20" s="39">
        <f ca="1">IF(Table1[[#This Row],[فترة العمل بالشركة]]&lt;=5,Table1[[#This Row],[فترة العمل بالشركة]]*21,(((Table1[[#This Row],[فترة العمل بالشركة]]-5)*30)+(5*21)))</f>
        <v>73.478439425051334</v>
      </c>
      <c r="Q20" s="34">
        <f>'10016'!E37</f>
        <v>34</v>
      </c>
      <c r="R20" s="39">
        <f ca="1">Table1[[#This Row],[رصيد الاجازة المستحق]]-Table1[[#This Row],[رصيد الاجازة المستخدم]]</f>
        <v>39.478439425051334</v>
      </c>
      <c r="S20" s="39">
        <f ca="1">Table1[[#This Row],[رصيد الاجازة الحالي]]/30*Table1[[#This Row],[إجمالي الأجر]]</f>
        <v>5921.7659137577002</v>
      </c>
      <c r="T2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7872.6899383983573</v>
      </c>
    </row>
    <row r="21" spans="1:20" ht="20.100000000000001" customHeight="1">
      <c r="A21">
        <v>10017</v>
      </c>
      <c r="B21" s="34" t="s">
        <v>97</v>
      </c>
      <c r="C21" s="34" t="s">
        <v>98</v>
      </c>
      <c r="D21" s="34" t="s">
        <v>79</v>
      </c>
      <c r="E21" s="34" t="s">
        <v>24</v>
      </c>
      <c r="F21" s="34" t="s">
        <v>99</v>
      </c>
      <c r="G21" s="34" t="s">
        <v>66</v>
      </c>
      <c r="H21" s="34" t="s">
        <v>27</v>
      </c>
      <c r="I21" s="34" t="s">
        <v>27</v>
      </c>
      <c r="J21" s="34" t="s">
        <v>27</v>
      </c>
      <c r="K21" s="34" t="s">
        <v>66</v>
      </c>
      <c r="L21" s="34" t="s">
        <v>66</v>
      </c>
      <c r="M21" s="34" t="s">
        <v>28</v>
      </c>
      <c r="N21" s="40">
        <v>44812</v>
      </c>
      <c r="O21" s="39">
        <f ca="1">YEARFRAC(TODAY(),Table1[[#This Row],[تاريخ الإلتحاق]],1)</f>
        <v>3.3100616016427105</v>
      </c>
      <c r="P21" s="39">
        <f ca="1">IF(Table1[[#This Row],[فترة العمل بالشركة]]&lt;=5,Table1[[#This Row],[فترة العمل بالشركة]]*21,(((Table1[[#This Row],[فترة العمل بالشركة]]-5)*30)+(5*21)))</f>
        <v>69.511293634496923</v>
      </c>
      <c r="Q21" s="34">
        <f>'10017'!E37</f>
        <v>48</v>
      </c>
      <c r="R21" s="39">
        <f ca="1">Table1[[#This Row],[رصيد الاجازة المستحق]]-Table1[[#This Row],[رصيد الاجازة المستخدم]]</f>
        <v>21.511293634496923</v>
      </c>
      <c r="S21" s="39">
        <f ca="1">Table1[[#This Row],[رصيد الاجازة الحالي]]/30*Table1[[#This Row],[إجمالي الأجر]]</f>
        <v>3226.6940451745386</v>
      </c>
      <c r="T2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7447.6386036960985</v>
      </c>
    </row>
    <row r="22" spans="1:20" ht="20.100000000000001" customHeight="1">
      <c r="A22">
        <v>10018</v>
      </c>
      <c r="B22" s="34" t="s">
        <v>100</v>
      </c>
      <c r="C22" s="34" t="s">
        <v>101</v>
      </c>
      <c r="D22" s="34" t="s">
        <v>23</v>
      </c>
      <c r="E22" s="34" t="s">
        <v>24</v>
      </c>
      <c r="F22" s="34" t="s">
        <v>102</v>
      </c>
      <c r="G22" s="34" t="s">
        <v>59</v>
      </c>
      <c r="H22" s="34" t="s">
        <v>27</v>
      </c>
      <c r="I22" s="34" t="s">
        <v>27</v>
      </c>
      <c r="J22" s="34" t="s">
        <v>27</v>
      </c>
      <c r="K22" s="34" t="s">
        <v>59</v>
      </c>
      <c r="L22" s="34" t="s">
        <v>59</v>
      </c>
      <c r="M22" s="34" t="s">
        <v>103</v>
      </c>
      <c r="N22" s="40">
        <v>44848</v>
      </c>
      <c r="O22" s="39">
        <f ca="1">YEARFRAC(TODAY(),Table1[[#This Row],[تاريخ الإلتحاق]],1)</f>
        <v>3.2114989733059547</v>
      </c>
      <c r="P22" s="39">
        <f ca="1">IF(Table1[[#This Row],[فترة العمل بالشركة]]&lt;=5,Table1[[#This Row],[فترة العمل بالشركة]]*21,(((Table1[[#This Row],[فترة العمل بالشركة]]-5)*30)+(5*21)))</f>
        <v>67.441478439425055</v>
      </c>
      <c r="Q22" s="34">
        <f>'10018'!E37</f>
        <v>54</v>
      </c>
      <c r="R22" s="39">
        <f ca="1">Table1[[#This Row],[رصيد الاجازة المستحق]]-Table1[[#This Row],[رصيد الاجازة المستخدم]]</f>
        <v>13.441478439425055</v>
      </c>
      <c r="S22" s="39">
        <f ca="1">Table1[[#This Row],[رصيد الاجازة الحالي]]/30*Table1[[#This Row],[إجمالي الأجر]]</f>
        <v>896.09856262833694</v>
      </c>
      <c r="T2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3211.4989733059547</v>
      </c>
    </row>
    <row r="23" spans="1:20" ht="20.100000000000001" customHeight="1">
      <c r="A23">
        <v>10019</v>
      </c>
      <c r="B23" s="34" t="s">
        <v>104</v>
      </c>
      <c r="C23" s="34" t="s">
        <v>105</v>
      </c>
      <c r="D23" s="34" t="s">
        <v>23</v>
      </c>
      <c r="E23" s="34" t="s">
        <v>24</v>
      </c>
      <c r="F23" s="34" t="s">
        <v>106</v>
      </c>
      <c r="G23" s="34" t="s">
        <v>88</v>
      </c>
      <c r="H23" s="34" t="s">
        <v>27</v>
      </c>
      <c r="I23" s="34" t="s">
        <v>27</v>
      </c>
      <c r="J23" s="34" t="s">
        <v>27</v>
      </c>
      <c r="K23" s="34" t="s">
        <v>88</v>
      </c>
      <c r="L23" s="34" t="s">
        <v>88</v>
      </c>
      <c r="M23" s="34" t="s">
        <v>28</v>
      </c>
      <c r="N23" s="40">
        <v>44848</v>
      </c>
      <c r="O23" s="39">
        <f ca="1">YEARFRAC(TODAY(),Table1[[#This Row],[تاريخ الإلتحاق]],1)</f>
        <v>3.2114989733059547</v>
      </c>
      <c r="P23" s="39">
        <f ca="1">IF(Table1[[#This Row],[فترة العمل بالشركة]]&lt;=5,Table1[[#This Row],[فترة العمل بالشركة]]*21,(((Table1[[#This Row],[فترة العمل بالشركة]]-5)*30)+(5*21)))</f>
        <v>67.441478439425055</v>
      </c>
      <c r="Q23" s="34">
        <f>'10019'!E37</f>
        <v>46</v>
      </c>
      <c r="R23" s="39">
        <f ca="1">Table1[[#This Row],[رصيد الاجازة المستحق]]-Table1[[#This Row],[رصيد الاجازة المستخدم]]</f>
        <v>21.441478439425055</v>
      </c>
      <c r="S23" s="39">
        <f ca="1">Table1[[#This Row],[رصيد الاجازة الحالي]]/30*Table1[[#This Row],[إجمالي الأجر]]</f>
        <v>1072.0739219712527</v>
      </c>
      <c r="T2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2408.6242299794662</v>
      </c>
    </row>
    <row r="24" spans="1:20" ht="20.100000000000001" customHeight="1">
      <c r="A24">
        <v>10020</v>
      </c>
      <c r="B24" s="34" t="s">
        <v>107</v>
      </c>
      <c r="C24" s="34" t="s">
        <v>108</v>
      </c>
      <c r="D24" s="34" t="s">
        <v>109</v>
      </c>
      <c r="E24" s="34" t="s">
        <v>24</v>
      </c>
      <c r="F24" s="34" t="s">
        <v>110</v>
      </c>
      <c r="G24" s="34" t="s">
        <v>33</v>
      </c>
      <c r="H24" s="34" t="s">
        <v>27</v>
      </c>
      <c r="I24" s="34" t="s">
        <v>27</v>
      </c>
      <c r="J24" s="34" t="s">
        <v>27</v>
      </c>
      <c r="K24" s="34" t="s">
        <v>33</v>
      </c>
      <c r="L24" s="34" t="s">
        <v>33</v>
      </c>
      <c r="M24" s="34" t="s">
        <v>28</v>
      </c>
      <c r="N24" s="40">
        <v>44857</v>
      </c>
      <c r="O24" s="39">
        <f ca="1">YEARFRAC(TODAY(),Table1[[#This Row],[تاريخ الإلتحاق]],1)</f>
        <v>3.1868583162217661</v>
      </c>
      <c r="P24" s="39">
        <f ca="1">IF(Table1[[#This Row],[فترة العمل بالشركة]]&lt;=5,Table1[[#This Row],[فترة العمل بالشركة]]*21,(((Table1[[#This Row],[فترة العمل بالشركة]]-5)*30)+(5*21)))</f>
        <v>66.92402464065708</v>
      </c>
      <c r="Q24" s="34">
        <f>'10020'!E37</f>
        <v>46</v>
      </c>
      <c r="R24" s="39">
        <f ca="1">Table1[[#This Row],[رصيد الاجازة المستحق]]-Table1[[#This Row],[رصيد الاجازة المستخدم]]</f>
        <v>20.92402464065708</v>
      </c>
      <c r="S24" s="39">
        <f ca="1">Table1[[#This Row],[رصيد الاجازة الحالي]]/30*Table1[[#This Row],[إجمالي الأجر]]</f>
        <v>2441.1362080766594</v>
      </c>
      <c r="T2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5577.0020533880906</v>
      </c>
    </row>
    <row r="25" spans="1:20" ht="20.100000000000001" customHeight="1">
      <c r="A25">
        <v>10021</v>
      </c>
      <c r="B25" s="34" t="s">
        <v>111</v>
      </c>
      <c r="C25" s="34" t="s">
        <v>112</v>
      </c>
      <c r="D25" s="34" t="s">
        <v>31</v>
      </c>
      <c r="E25" s="34" t="s">
        <v>24</v>
      </c>
      <c r="F25" s="34" t="s">
        <v>113</v>
      </c>
      <c r="G25" s="34" t="s">
        <v>38</v>
      </c>
      <c r="H25" s="34" t="s">
        <v>27</v>
      </c>
      <c r="I25" s="34" t="s">
        <v>27</v>
      </c>
      <c r="J25" s="34" t="s">
        <v>27</v>
      </c>
      <c r="K25" s="34" t="s">
        <v>38</v>
      </c>
      <c r="L25" s="34" t="s">
        <v>38</v>
      </c>
      <c r="M25" s="34" t="s">
        <v>76</v>
      </c>
      <c r="N25" s="40">
        <v>44955</v>
      </c>
      <c r="O25" s="39">
        <f ca="1">YEARFRAC(TODAY(),Table1[[#This Row],[تاريخ الإلتحاق]],1)</f>
        <v>2.9178832116788325</v>
      </c>
      <c r="P25" s="39">
        <f ca="1">IF(Table1[[#This Row],[فترة العمل بالشركة]]&lt;=5,Table1[[#This Row],[فترة العمل بالشركة]]*21,(((Table1[[#This Row],[فترة العمل بالشركة]]-5)*30)+(5*21)))</f>
        <v>61.275547445255484</v>
      </c>
      <c r="Q25" s="34">
        <f>'10021'!E37</f>
        <v>40</v>
      </c>
      <c r="R25" s="39">
        <f ca="1">Table1[[#This Row],[رصيد الاجازة المستحق]]-Table1[[#This Row],[رصيد الاجازة المستخدم]]</f>
        <v>21.275547445255484</v>
      </c>
      <c r="S25" s="39">
        <f ca="1">Table1[[#This Row],[رصيد الاجازة الحالي]]/30*Table1[[#This Row],[إجمالي الأجر]]</f>
        <v>2127.5547445255484</v>
      </c>
      <c r="T2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4376.8248175182489</v>
      </c>
    </row>
    <row r="26" spans="1:20" ht="20.100000000000001" customHeight="1">
      <c r="A26">
        <v>10022</v>
      </c>
      <c r="B26" s="34" t="s">
        <v>114</v>
      </c>
      <c r="C26" s="34" t="s">
        <v>115</v>
      </c>
      <c r="D26" s="34" t="s">
        <v>31</v>
      </c>
      <c r="E26" s="34" t="s">
        <v>24</v>
      </c>
      <c r="F26" s="34" t="s">
        <v>116</v>
      </c>
      <c r="G26" s="34" t="s">
        <v>117</v>
      </c>
      <c r="H26" s="34" t="s">
        <v>27</v>
      </c>
      <c r="I26" s="34" t="s">
        <v>27</v>
      </c>
      <c r="J26" s="34" t="s">
        <v>27</v>
      </c>
      <c r="K26" s="34" t="s">
        <v>117</v>
      </c>
      <c r="L26" s="34" t="s">
        <v>117</v>
      </c>
      <c r="M26" s="34" t="s">
        <v>34</v>
      </c>
      <c r="N26" s="40">
        <v>44958</v>
      </c>
      <c r="O26" s="39">
        <f ca="1">YEARFRAC(TODAY(),Table1[[#This Row],[تاريخ الإلتحاق]],1)</f>
        <v>2.9096715328467155</v>
      </c>
      <c r="P26" s="39">
        <f ca="1">IF(Table1[[#This Row],[فترة العمل بالشركة]]&lt;=5,Table1[[#This Row],[فترة العمل بالشركة]]*21,(((Table1[[#This Row],[فترة العمل بالشركة]]-5)*30)+(5*21)))</f>
        <v>61.103102189781026</v>
      </c>
      <c r="Q26" s="34">
        <f>'10022'!E37</f>
        <v>47</v>
      </c>
      <c r="R26" s="39">
        <f ca="1">Table1[[#This Row],[رصيد الاجازة المستحق]]-Table1[[#This Row],[رصيد الاجازة المستخدم]]</f>
        <v>14.103102189781026</v>
      </c>
      <c r="S26" s="39">
        <f ca="1">Table1[[#This Row],[رصيد الاجازة الحالي]]/30*Table1[[#This Row],[إجمالي الأجر]]</f>
        <v>1081.2378345498787</v>
      </c>
      <c r="T2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3346.1222627737229</v>
      </c>
    </row>
    <row r="27" spans="1:20" ht="20.100000000000001" customHeight="1">
      <c r="A27">
        <v>10023</v>
      </c>
      <c r="B27" s="34" t="s">
        <v>118</v>
      </c>
      <c r="C27" s="34" t="s">
        <v>119</v>
      </c>
      <c r="D27" s="34" t="s">
        <v>23</v>
      </c>
      <c r="E27" s="34" t="s">
        <v>24</v>
      </c>
      <c r="F27" s="34" t="s">
        <v>102</v>
      </c>
      <c r="G27" s="34" t="s">
        <v>88</v>
      </c>
      <c r="H27" s="34" t="s">
        <v>27</v>
      </c>
      <c r="I27" s="34" t="s">
        <v>27</v>
      </c>
      <c r="J27" s="34" t="s">
        <v>27</v>
      </c>
      <c r="K27" s="34" t="s">
        <v>88</v>
      </c>
      <c r="L27" s="34" t="s">
        <v>88</v>
      </c>
      <c r="M27" s="34" t="s">
        <v>28</v>
      </c>
      <c r="N27" s="40">
        <v>44991</v>
      </c>
      <c r="O27" s="39">
        <f ca="1">YEARFRAC(TODAY(),Table1[[#This Row],[تاريخ الإلتحاق]],1)</f>
        <v>2.8193430656934306</v>
      </c>
      <c r="P27" s="39">
        <f ca="1">IF(Table1[[#This Row],[فترة العمل بالشركة]]&lt;=5,Table1[[#This Row],[فترة العمل بالشركة]]*21,(((Table1[[#This Row],[فترة العمل بالشركة]]-5)*30)+(5*21)))</f>
        <v>59.206204379562045</v>
      </c>
      <c r="Q27" s="34">
        <f>'10023'!E37</f>
        <v>38</v>
      </c>
      <c r="R27" s="39">
        <f ca="1">Table1[[#This Row],[رصيد الاجازة المستحق]]-Table1[[#This Row],[رصيد الاجازة المستخدم]]</f>
        <v>21.206204379562045</v>
      </c>
      <c r="S27" s="39">
        <f ca="1">Table1[[#This Row],[رصيد الاجازة الحالي]]/30*Table1[[#This Row],[إجمالي الأجر]]</f>
        <v>1060.3102189781023</v>
      </c>
      <c r="T2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2114.507299270073</v>
      </c>
    </row>
    <row r="28" spans="1:20" ht="20.100000000000001" customHeight="1">
      <c r="A28">
        <v>10024</v>
      </c>
      <c r="B28" s="34" t="s">
        <v>120</v>
      </c>
      <c r="C28" s="34" t="s">
        <v>121</v>
      </c>
      <c r="D28" s="34" t="s">
        <v>48</v>
      </c>
      <c r="E28" s="34" t="s">
        <v>24</v>
      </c>
      <c r="F28" s="34" t="s">
        <v>122</v>
      </c>
      <c r="G28" s="34" t="s">
        <v>51</v>
      </c>
      <c r="H28" s="34" t="s">
        <v>27</v>
      </c>
      <c r="I28" s="34" t="s">
        <v>27</v>
      </c>
      <c r="J28" s="34" t="s">
        <v>27</v>
      </c>
      <c r="K28" s="34" t="s">
        <v>51</v>
      </c>
      <c r="L28" s="34" t="s">
        <v>51</v>
      </c>
      <c r="M28" s="34" t="s">
        <v>123</v>
      </c>
      <c r="N28" s="40">
        <v>45004</v>
      </c>
      <c r="O28" s="39">
        <f ca="1">YEARFRAC(TODAY(),Table1[[#This Row],[تاريخ الإلتحاق]],1)</f>
        <v>2.7837591240875912</v>
      </c>
      <c r="P28" s="39">
        <f ca="1">IF(Table1[[#This Row],[فترة العمل بالشركة]]&lt;=5,Table1[[#This Row],[فترة العمل بالشركة]]*21,(((Table1[[#This Row],[فترة العمل بالشركة]]-5)*30)+(5*21)))</f>
        <v>58.458941605839414</v>
      </c>
      <c r="Q28" s="34">
        <f>'10024'!E37</f>
        <v>37</v>
      </c>
      <c r="R28" s="39">
        <f ca="1">Table1[[#This Row],[رصيد الاجازة المستحق]]-Table1[[#This Row],[رصيد الاجازة المستخدم]]</f>
        <v>21.458941605839414</v>
      </c>
      <c r="S28" s="39">
        <f ca="1">Table1[[#This Row],[رصيد الاجازة الحالي]]/30*Table1[[#This Row],[إجمالي الأجر]]</f>
        <v>2861.1922141119221</v>
      </c>
      <c r="T2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5567.5182481751826</v>
      </c>
    </row>
    <row r="29" spans="1:20" ht="20.100000000000001" customHeight="1">
      <c r="A29">
        <v>10025</v>
      </c>
      <c r="B29" s="34" t="s">
        <v>124</v>
      </c>
      <c r="C29" s="34" t="s">
        <v>125</v>
      </c>
      <c r="D29" s="34" t="s">
        <v>48</v>
      </c>
      <c r="E29" s="34" t="s">
        <v>49</v>
      </c>
      <c r="F29" s="34" t="s">
        <v>126</v>
      </c>
      <c r="G29" s="34" t="s">
        <v>51</v>
      </c>
      <c r="H29" s="34" t="s">
        <v>27</v>
      </c>
      <c r="I29" s="34" t="s">
        <v>27</v>
      </c>
      <c r="J29" s="34" t="s">
        <v>27</v>
      </c>
      <c r="K29" s="34" t="s">
        <v>51</v>
      </c>
      <c r="L29" s="34" t="s">
        <v>51</v>
      </c>
      <c r="M29" s="34" t="s">
        <v>127</v>
      </c>
      <c r="N29" s="40">
        <v>45082</v>
      </c>
      <c r="O29" s="39">
        <f ca="1">YEARFRAC(TODAY(),Table1[[#This Row],[تاريخ الإلتحاق]],1)</f>
        <v>2.570255474452555</v>
      </c>
      <c r="P29" s="39">
        <f ca="1">IF(Table1[[#This Row],[فترة العمل بالشركة]]&lt;=5,Table1[[#This Row],[فترة العمل بالشركة]]*21,(((Table1[[#This Row],[فترة العمل بالشركة]]-5)*30)+(5*21)))</f>
        <v>53.975364963503651</v>
      </c>
      <c r="Q29" s="34">
        <f>'10025'!E37</f>
        <v>33</v>
      </c>
      <c r="R29" s="39">
        <f ca="1">Table1[[#This Row],[رصيد الاجازة المستحق]]-Table1[[#This Row],[رصيد الاجازة المستخدم]]</f>
        <v>20.975364963503651</v>
      </c>
      <c r="S29" s="39">
        <f ca="1">Table1[[#This Row],[رصيد الاجازة الحالي]]/30*Table1[[#This Row],[إجمالي الأجر]]</f>
        <v>2796.7153284671535</v>
      </c>
      <c r="T2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5140.5109489051101</v>
      </c>
    </row>
    <row r="30" spans="1:20" ht="20.100000000000001" customHeight="1">
      <c r="A30">
        <v>10026</v>
      </c>
      <c r="B30" s="34" t="s">
        <v>128</v>
      </c>
      <c r="C30" s="34" t="s">
        <v>129</v>
      </c>
      <c r="D30" s="34" t="s">
        <v>48</v>
      </c>
      <c r="E30" s="34" t="s">
        <v>49</v>
      </c>
      <c r="F30" s="34" t="s">
        <v>130</v>
      </c>
      <c r="G30" s="34" t="s">
        <v>51</v>
      </c>
      <c r="H30" s="34" t="s">
        <v>27</v>
      </c>
      <c r="I30" s="34" t="s">
        <v>27</v>
      </c>
      <c r="J30" s="34" t="s">
        <v>27</v>
      </c>
      <c r="K30" s="34" t="s">
        <v>51</v>
      </c>
      <c r="L30" s="34" t="s">
        <v>51</v>
      </c>
      <c r="M30" s="34" t="s">
        <v>127</v>
      </c>
      <c r="N30" s="40">
        <v>45083</v>
      </c>
      <c r="O30" s="39">
        <f ca="1">YEARFRAC(TODAY(),Table1[[#This Row],[تاريخ الإلتحاق]],1)</f>
        <v>2.5675182481751828</v>
      </c>
      <c r="P30" s="39">
        <f ca="1">IF(Table1[[#This Row],[فترة العمل بالشركة]]&lt;=5,Table1[[#This Row],[فترة العمل بالشركة]]*21,(((Table1[[#This Row],[فترة العمل بالشركة]]-5)*30)+(5*21)))</f>
        <v>53.917883211678841</v>
      </c>
      <c r="Q30" s="34">
        <f>'10026'!E37</f>
        <v>32</v>
      </c>
      <c r="R30" s="39">
        <f ca="1">Table1[[#This Row],[رصيد الاجازة المستحق]]-Table1[[#This Row],[رصيد الاجازة المستخدم]]</f>
        <v>21.917883211678841</v>
      </c>
      <c r="S30" s="39">
        <f ca="1">Table1[[#This Row],[رصيد الاجازة الحالي]]/30*Table1[[#This Row],[إجمالي الأجر]]</f>
        <v>2922.3844282238456</v>
      </c>
      <c r="T3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5135.0364963503653</v>
      </c>
    </row>
    <row r="31" spans="1:20" ht="20.100000000000001" customHeight="1">
      <c r="A31">
        <v>10027</v>
      </c>
      <c r="B31" s="34" t="s">
        <v>131</v>
      </c>
      <c r="C31" s="34" t="s">
        <v>132</v>
      </c>
      <c r="D31" s="34" t="s">
        <v>48</v>
      </c>
      <c r="E31" s="34" t="s">
        <v>49</v>
      </c>
      <c r="F31" s="34" t="s">
        <v>133</v>
      </c>
      <c r="G31" s="34" t="s">
        <v>51</v>
      </c>
      <c r="H31" s="34" t="s">
        <v>27</v>
      </c>
      <c r="I31" s="34" t="s">
        <v>27</v>
      </c>
      <c r="J31" s="34" t="s">
        <v>27</v>
      </c>
      <c r="K31" s="34" t="s">
        <v>51</v>
      </c>
      <c r="L31" s="34" t="s">
        <v>51</v>
      </c>
      <c r="M31" s="34" t="s">
        <v>127</v>
      </c>
      <c r="N31" s="40">
        <v>45086</v>
      </c>
      <c r="O31" s="39">
        <f ca="1">YEARFRAC(TODAY(),Table1[[#This Row],[تاريخ الإلتحاق]],1)</f>
        <v>2.5593065693430659</v>
      </c>
      <c r="P31" s="39">
        <f ca="1">IF(Table1[[#This Row],[فترة العمل بالشركة]]&lt;=5,Table1[[#This Row],[فترة العمل بالشركة]]*21,(((Table1[[#This Row],[فترة العمل بالشركة]]-5)*30)+(5*21)))</f>
        <v>53.745437956204384</v>
      </c>
      <c r="Q31" s="34">
        <f>'10027'!E37</f>
        <v>32</v>
      </c>
      <c r="R31" s="39">
        <f ca="1">Table1[[#This Row],[رصيد الاجازة المستحق]]-Table1[[#This Row],[رصيد الاجازة المستخدم]]</f>
        <v>21.745437956204384</v>
      </c>
      <c r="S31" s="39">
        <f ca="1">Table1[[#This Row],[رصيد الاجازة الحالي]]/30*Table1[[#This Row],[إجمالي الأجر]]</f>
        <v>2899.3917274939181</v>
      </c>
      <c r="T3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5118.6131386861316</v>
      </c>
    </row>
    <row r="32" spans="1:20" ht="20.100000000000001" customHeight="1">
      <c r="A32">
        <v>10028</v>
      </c>
      <c r="B32" s="34" t="s">
        <v>134</v>
      </c>
      <c r="C32" s="34" t="s">
        <v>135</v>
      </c>
      <c r="D32" s="34" t="s">
        <v>31</v>
      </c>
      <c r="E32" s="34" t="s">
        <v>24</v>
      </c>
      <c r="F32" s="34" t="s">
        <v>136</v>
      </c>
      <c r="G32" s="34" t="s">
        <v>92</v>
      </c>
      <c r="H32" s="34" t="s">
        <v>27</v>
      </c>
      <c r="I32" s="34" t="s">
        <v>27</v>
      </c>
      <c r="J32" s="34" t="s">
        <v>27</v>
      </c>
      <c r="K32" s="34" t="s">
        <v>92</v>
      </c>
      <c r="L32" s="34" t="s">
        <v>92</v>
      </c>
      <c r="M32" s="34" t="s">
        <v>76</v>
      </c>
      <c r="N32" s="40">
        <v>45108</v>
      </c>
      <c r="O32" s="39">
        <f ca="1">YEARFRAC(TODAY(),Table1[[#This Row],[تاريخ الإلتحاق]],1)</f>
        <v>2.4990875912408761</v>
      </c>
      <c r="P32" s="39">
        <f ca="1">IF(Table1[[#This Row],[فترة العمل بالشركة]]&lt;=5,Table1[[#This Row],[فترة العمل بالشركة]]*21,(((Table1[[#This Row],[فترة العمل بالشركة]]-5)*30)+(5*21)))</f>
        <v>52.480839416058402</v>
      </c>
      <c r="Q32" s="34">
        <f>'10028'!E37</f>
        <v>31</v>
      </c>
      <c r="R32" s="39">
        <f ca="1">Table1[[#This Row],[رصيد الاجازة المستحق]]-Table1[[#This Row],[رصيد الاجازة المستخدم]]</f>
        <v>21.480839416058402</v>
      </c>
      <c r="S32" s="39">
        <f ca="1">Table1[[#This Row],[رصيد الاجازة الحالي]]/30*Table1[[#This Row],[إجمالي الأجر]]</f>
        <v>1861.6727493917281</v>
      </c>
      <c r="T3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3248.8138686131388</v>
      </c>
    </row>
    <row r="33" spans="1:20" ht="20.100000000000001" customHeight="1">
      <c r="A33">
        <v>10029</v>
      </c>
      <c r="B33" s="34" t="s">
        <v>137</v>
      </c>
      <c r="C33" s="34" t="s">
        <v>138</v>
      </c>
      <c r="D33" s="34" t="s">
        <v>31</v>
      </c>
      <c r="E33" s="34" t="s">
        <v>24</v>
      </c>
      <c r="F33" s="34" t="s">
        <v>139</v>
      </c>
      <c r="G33" s="34" t="s">
        <v>117</v>
      </c>
      <c r="H33" s="34" t="s">
        <v>27</v>
      </c>
      <c r="I33" s="34" t="s">
        <v>27</v>
      </c>
      <c r="J33" s="34" t="s">
        <v>27</v>
      </c>
      <c r="K33" s="34" t="s">
        <v>117</v>
      </c>
      <c r="L33" s="34" t="s">
        <v>117</v>
      </c>
      <c r="M33" s="34" t="s">
        <v>34</v>
      </c>
      <c r="N33" s="40">
        <v>45113</v>
      </c>
      <c r="O33" s="39">
        <f ca="1">YEARFRAC(TODAY(),Table1[[#This Row],[تاريخ الإلتحاق]],1)</f>
        <v>2.4854014598540148</v>
      </c>
      <c r="P33" s="39">
        <f ca="1">IF(Table1[[#This Row],[فترة العمل بالشركة]]&lt;=5,Table1[[#This Row],[فترة العمل بالشركة]]*21,(((Table1[[#This Row],[فترة العمل بالشركة]]-5)*30)+(5*21)))</f>
        <v>52.193430656934311</v>
      </c>
      <c r="Q33" s="34">
        <f>'10029'!E37</f>
        <v>31</v>
      </c>
      <c r="R33" s="39">
        <f ca="1">Table1[[#This Row],[رصيد الاجازة المستحق]]-Table1[[#This Row],[رصيد الاجازة المستخدم]]</f>
        <v>21.193430656934311</v>
      </c>
      <c r="S33" s="39">
        <f ca="1">Table1[[#This Row],[رصيد الاجازة الحالي]]/30*Table1[[#This Row],[إجمالي الأجر]]</f>
        <v>1624.8296836982972</v>
      </c>
      <c r="T3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2858.2116788321173</v>
      </c>
    </row>
    <row r="34" spans="1:20" ht="20.100000000000001" customHeight="1">
      <c r="A34">
        <v>10030</v>
      </c>
      <c r="B34" s="34" t="s">
        <v>140</v>
      </c>
      <c r="C34" s="34" t="s">
        <v>141</v>
      </c>
      <c r="D34" s="34" t="s">
        <v>79</v>
      </c>
      <c r="E34" s="34" t="s">
        <v>24</v>
      </c>
      <c r="F34" s="34" t="s">
        <v>142</v>
      </c>
      <c r="G34" s="34" t="s">
        <v>143</v>
      </c>
      <c r="H34" s="34" t="s">
        <v>27</v>
      </c>
      <c r="I34" s="34" t="s">
        <v>27</v>
      </c>
      <c r="J34" s="34" t="s">
        <v>27</v>
      </c>
      <c r="K34" s="34" t="s">
        <v>143</v>
      </c>
      <c r="L34" s="34" t="s">
        <v>143</v>
      </c>
      <c r="M34" s="34" t="s">
        <v>28</v>
      </c>
      <c r="N34" s="40">
        <v>45170</v>
      </c>
      <c r="O34" s="39">
        <f ca="1">YEARFRAC(TODAY(),Table1[[#This Row],[تاريخ الإلتحاق]],1)</f>
        <v>2.3293795620437958</v>
      </c>
      <c r="P34" s="39">
        <f ca="1">IF(Table1[[#This Row],[فترة العمل بالشركة]]&lt;=5,Table1[[#This Row],[فترة العمل بالشركة]]*21,(((Table1[[#This Row],[فترة العمل بالشركة]]-5)*30)+(5*21)))</f>
        <v>48.916970802919714</v>
      </c>
      <c r="Q34" s="34">
        <f>'10030'!E37</f>
        <v>27</v>
      </c>
      <c r="R34" s="39">
        <f ca="1">Table1[[#This Row],[رصيد الاجازة المستحق]]-Table1[[#This Row],[رصيد الاجازة المستخدم]]</f>
        <v>21.916970802919714</v>
      </c>
      <c r="S34" s="39">
        <f ca="1">Table1[[#This Row],[رصيد الاجازة الحالي]]/30*Table1[[#This Row],[إجمالي الأجر]]</f>
        <v>1826.4142335766428</v>
      </c>
      <c r="T3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2911.7244525547449</v>
      </c>
    </row>
    <row r="35" spans="1:20" ht="20.100000000000001" customHeight="1">
      <c r="A35">
        <v>10031</v>
      </c>
      <c r="B35" s="34" t="s">
        <v>144</v>
      </c>
      <c r="C35" s="34" t="s">
        <v>145</v>
      </c>
      <c r="D35" s="34" t="s">
        <v>48</v>
      </c>
      <c r="E35" s="34" t="s">
        <v>49</v>
      </c>
      <c r="F35" s="34" t="s">
        <v>146</v>
      </c>
      <c r="G35" s="34" t="s">
        <v>51</v>
      </c>
      <c r="H35" s="34" t="s">
        <v>27</v>
      </c>
      <c r="I35" s="34" t="s">
        <v>27</v>
      </c>
      <c r="J35" s="34" t="s">
        <v>27</v>
      </c>
      <c r="K35" s="34" t="s">
        <v>51</v>
      </c>
      <c r="L35" s="34" t="s">
        <v>51</v>
      </c>
      <c r="M35" s="34" t="s">
        <v>127</v>
      </c>
      <c r="N35" s="40">
        <v>45186</v>
      </c>
      <c r="O35" s="39">
        <f ca="1">YEARFRAC(TODAY(),Table1[[#This Row],[تاريخ الإلتحاق]],1)</f>
        <v>2.2855839416058394</v>
      </c>
      <c r="P35" s="39">
        <f ca="1">IF(Table1[[#This Row],[فترة العمل بالشركة]]&lt;=5,Table1[[#This Row],[فترة العمل بالشركة]]*21,(((Table1[[#This Row],[فترة العمل بالشركة]]-5)*30)+(5*21)))</f>
        <v>47.997262773722625</v>
      </c>
      <c r="Q35" s="34">
        <f>'10031'!E37</f>
        <v>27</v>
      </c>
      <c r="R35" s="39">
        <f ca="1">Table1[[#This Row],[رصيد الاجازة المستحق]]-Table1[[#This Row],[رصيد الاجازة المستخدم]]</f>
        <v>20.997262773722625</v>
      </c>
      <c r="S35" s="39">
        <f ca="1">Table1[[#This Row],[رصيد الاجازة الحالي]]/30*Table1[[#This Row],[إجمالي الأجر]]</f>
        <v>2799.63503649635</v>
      </c>
      <c r="T3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4571.1678832116786</v>
      </c>
    </row>
    <row r="36" spans="1:20" ht="20.100000000000001" customHeight="1">
      <c r="A36">
        <v>10032</v>
      </c>
      <c r="B36" s="34" t="s">
        <v>147</v>
      </c>
      <c r="C36" s="34" t="s">
        <v>148</v>
      </c>
      <c r="D36" s="34" t="s">
        <v>48</v>
      </c>
      <c r="E36" s="34" t="s">
        <v>49</v>
      </c>
      <c r="F36" s="34" t="s">
        <v>149</v>
      </c>
      <c r="G36" s="34" t="s">
        <v>51</v>
      </c>
      <c r="H36" s="34" t="s">
        <v>27</v>
      </c>
      <c r="I36" s="34" t="s">
        <v>27</v>
      </c>
      <c r="J36" s="34" t="s">
        <v>27</v>
      </c>
      <c r="K36" s="34" t="s">
        <v>51</v>
      </c>
      <c r="L36" s="34" t="s">
        <v>51</v>
      </c>
      <c r="M36" s="34" t="s">
        <v>127</v>
      </c>
      <c r="N36" s="40">
        <v>45198</v>
      </c>
      <c r="O36" s="39">
        <f ca="1">YEARFRAC(TODAY(),Table1[[#This Row],[تاريخ الإلتحاق]],1)</f>
        <v>2.2527372262773722</v>
      </c>
      <c r="P36" s="39">
        <f ca="1">IF(Table1[[#This Row],[فترة العمل بالشركة]]&lt;=5,Table1[[#This Row],[فترة العمل بالشركة]]*21,(((Table1[[#This Row],[فترة العمل بالشركة]]-5)*30)+(5*21)))</f>
        <v>47.307481751824817</v>
      </c>
      <c r="Q36" s="34">
        <f>'10032'!E37</f>
        <v>26</v>
      </c>
      <c r="R36" s="39">
        <f ca="1">Table1[[#This Row],[رصيد الاجازة المستحق]]-Table1[[#This Row],[رصيد الاجازة المستخدم]]</f>
        <v>21.307481751824817</v>
      </c>
      <c r="S36" s="39">
        <f ca="1">Table1[[#This Row],[رصيد الاجازة الحالي]]/30*Table1[[#This Row],[إجمالي الأجر]]</f>
        <v>2840.9975669099758</v>
      </c>
      <c r="T3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4505.4744525547439</v>
      </c>
    </row>
    <row r="37" spans="1:20" ht="20.100000000000001" customHeight="1">
      <c r="A37">
        <v>10033</v>
      </c>
      <c r="B37" s="34" t="s">
        <v>150</v>
      </c>
      <c r="C37" s="34" t="s">
        <v>151</v>
      </c>
      <c r="D37" s="34" t="s">
        <v>23</v>
      </c>
      <c r="E37" s="34" t="s">
        <v>24</v>
      </c>
      <c r="F37" s="34" t="s">
        <v>152</v>
      </c>
      <c r="G37" s="34" t="s">
        <v>88</v>
      </c>
      <c r="H37" s="34" t="s">
        <v>27</v>
      </c>
      <c r="I37" s="34" t="s">
        <v>27</v>
      </c>
      <c r="J37" s="34" t="s">
        <v>27</v>
      </c>
      <c r="K37" s="34" t="s">
        <v>88</v>
      </c>
      <c r="L37" s="34" t="s">
        <v>88</v>
      </c>
      <c r="M37" s="34" t="s">
        <v>153</v>
      </c>
      <c r="N37" s="40">
        <v>45215</v>
      </c>
      <c r="O37" s="39">
        <f ca="1">YEARFRAC(TODAY(),Table1[[#This Row],[تاريخ الإلتحاق]],1)</f>
        <v>2.2062043795620441</v>
      </c>
      <c r="P37" s="39">
        <f ca="1">IF(Table1[[#This Row],[فترة العمل بالشركة]]&lt;=5,Table1[[#This Row],[فترة العمل بالشركة]]*21,(((Table1[[#This Row],[فترة العمل بالشركة]]-5)*30)+(5*21)))</f>
        <v>46.330291970802925</v>
      </c>
      <c r="Q37" s="34">
        <f>'10033'!E37</f>
        <v>25</v>
      </c>
      <c r="R37" s="39">
        <f ca="1">Table1[[#This Row],[رصيد الاجازة المستحق]]-Table1[[#This Row],[رصيد الاجازة المستخدم]]</f>
        <v>21.330291970802925</v>
      </c>
      <c r="S37" s="39">
        <f ca="1">Table1[[#This Row],[رصيد الاجازة الحالي]]/30*Table1[[#This Row],[إجمالي الأجر]]</f>
        <v>1066.5145985401462</v>
      </c>
      <c r="T3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1654.6532846715331</v>
      </c>
    </row>
    <row r="38" spans="1:20" ht="20.100000000000001" customHeight="1">
      <c r="A38">
        <v>10034</v>
      </c>
      <c r="B38" s="34" t="s">
        <v>154</v>
      </c>
      <c r="C38" s="34" t="s">
        <v>155</v>
      </c>
      <c r="D38" s="34" t="s">
        <v>23</v>
      </c>
      <c r="E38" s="34" t="s">
        <v>24</v>
      </c>
      <c r="F38" s="34" t="s">
        <v>156</v>
      </c>
      <c r="G38" s="34" t="s">
        <v>88</v>
      </c>
      <c r="H38" s="34" t="s">
        <v>27</v>
      </c>
      <c r="I38" s="34" t="s">
        <v>27</v>
      </c>
      <c r="J38" s="34" t="s">
        <v>27</v>
      </c>
      <c r="K38" s="34" t="s">
        <v>88</v>
      </c>
      <c r="L38" s="34" t="s">
        <v>88</v>
      </c>
      <c r="M38" s="34" t="s">
        <v>153</v>
      </c>
      <c r="N38" s="40">
        <v>45250</v>
      </c>
      <c r="O38" s="39">
        <f ca="1">YEARFRAC(TODAY(),Table1[[#This Row],[تاريخ الإلتحاق]],1)</f>
        <v>2.1104014598540148</v>
      </c>
      <c r="P38" s="39">
        <f ca="1">IF(Table1[[#This Row],[فترة العمل بالشركة]]&lt;=5,Table1[[#This Row],[فترة العمل بالشركة]]*21,(((Table1[[#This Row],[فترة العمل بالشركة]]-5)*30)+(5*21)))</f>
        <v>44.318430656934311</v>
      </c>
      <c r="Q38" s="34">
        <f>'10034'!E37</f>
        <v>23</v>
      </c>
      <c r="R38" s="39">
        <f ca="1">Table1[[#This Row],[رصيد الاجازة المستحق]]-Table1[[#This Row],[رصيد الاجازة المستخدم]]</f>
        <v>21.318430656934311</v>
      </c>
      <c r="S38" s="39">
        <f ca="1">Table1[[#This Row],[رصيد الاجازة الحالي]]/30*Table1[[#This Row],[إجمالي الأجر]]</f>
        <v>1065.9215328467155</v>
      </c>
      <c r="T3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1582.8010948905112</v>
      </c>
    </row>
    <row r="39" spans="1:20" ht="20.100000000000001" customHeight="1">
      <c r="A39">
        <v>10035</v>
      </c>
      <c r="B39" s="34" t="s">
        <v>157</v>
      </c>
      <c r="C39" s="34" t="s">
        <v>158</v>
      </c>
      <c r="D39" s="34" t="s">
        <v>79</v>
      </c>
      <c r="E39" s="34" t="s">
        <v>24</v>
      </c>
      <c r="F39" s="34" t="s">
        <v>159</v>
      </c>
      <c r="G39" s="34" t="s">
        <v>45</v>
      </c>
      <c r="H39" s="34" t="s">
        <v>27</v>
      </c>
      <c r="I39" s="34" t="s">
        <v>27</v>
      </c>
      <c r="J39" s="34" t="s">
        <v>27</v>
      </c>
      <c r="K39" s="34" t="s">
        <v>45</v>
      </c>
      <c r="L39" s="34" t="s">
        <v>45</v>
      </c>
      <c r="M39" s="34" t="s">
        <v>28</v>
      </c>
      <c r="N39" s="40">
        <v>45263</v>
      </c>
      <c r="O39" s="39">
        <f ca="1">YEARFRAC(TODAY(),Table1[[#This Row],[تاريخ الإلتحاق]],1)</f>
        <v>2.0748175182481754</v>
      </c>
      <c r="P39" s="39">
        <f ca="1">IF(Table1[[#This Row],[فترة العمل بالشركة]]&lt;=5,Table1[[#This Row],[فترة العمل بالشركة]]*21,(((Table1[[#This Row],[فترة العمل بالشركة]]-5)*30)+(5*21)))</f>
        <v>43.571167883211686</v>
      </c>
      <c r="Q39" s="34">
        <f>'10035'!E37</f>
        <v>22</v>
      </c>
      <c r="R39" s="39">
        <f ca="1">Table1[[#This Row],[رصيد الاجازة المستحق]]-Table1[[#This Row],[رصيد الاجازة المستخدم]]</f>
        <v>21.571167883211686</v>
      </c>
      <c r="S39" s="39">
        <f ca="1">Table1[[#This Row],[رصيد الاجازة الحالي]]/30*Table1[[#This Row],[إجمالي الأجر]]</f>
        <v>1294.270072992701</v>
      </c>
      <c r="T3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1867.3357664233579</v>
      </c>
    </row>
    <row r="40" spans="1:20" ht="20.100000000000001" customHeight="1">
      <c r="A40">
        <v>10036</v>
      </c>
      <c r="B40" s="34" t="s">
        <v>160</v>
      </c>
      <c r="C40" s="34" t="s">
        <v>161</v>
      </c>
      <c r="D40" s="34" t="s">
        <v>79</v>
      </c>
      <c r="E40" s="34" t="s">
        <v>24</v>
      </c>
      <c r="F40" s="34" t="s">
        <v>162</v>
      </c>
      <c r="G40" s="34" t="s">
        <v>117</v>
      </c>
      <c r="H40" s="34" t="s">
        <v>27</v>
      </c>
      <c r="I40" s="34" t="s">
        <v>27</v>
      </c>
      <c r="J40" s="34" t="s">
        <v>27</v>
      </c>
      <c r="K40" s="34" t="s">
        <v>117</v>
      </c>
      <c r="L40" s="34" t="s">
        <v>117</v>
      </c>
      <c r="M40" s="34" t="s">
        <v>28</v>
      </c>
      <c r="N40" s="40">
        <v>45263</v>
      </c>
      <c r="O40" s="39">
        <f ca="1">YEARFRAC(TODAY(),Table1[[#This Row],[تاريخ الإلتحاق]],1)</f>
        <v>2.0748175182481754</v>
      </c>
      <c r="P40" s="39">
        <f ca="1">IF(Table1[[#This Row],[فترة العمل بالشركة]]&lt;=5,Table1[[#This Row],[فترة العمل بالشركة]]*21,(((Table1[[#This Row],[فترة العمل بالشركة]]-5)*30)+(5*21)))</f>
        <v>43.571167883211686</v>
      </c>
      <c r="Q40" s="34">
        <f>'10036'!E37</f>
        <v>22</v>
      </c>
      <c r="R40" s="39">
        <f ca="1">Table1[[#This Row],[رصيد الاجازة المستحق]]-Table1[[#This Row],[رصيد الاجازة المستخدم]]</f>
        <v>21.571167883211686</v>
      </c>
      <c r="S40" s="39">
        <f ca="1">Table1[[#This Row],[رصيد الاجازة الحالي]]/30*Table1[[#This Row],[إجمالي الأجر]]</f>
        <v>1653.7895377128959</v>
      </c>
      <c r="T4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2386.0401459854015</v>
      </c>
    </row>
    <row r="41" spans="1:20" ht="20.100000000000001" customHeight="1">
      <c r="A41">
        <v>10037</v>
      </c>
      <c r="B41" s="34" t="s">
        <v>163</v>
      </c>
      <c r="C41" s="34" t="s">
        <v>164</v>
      </c>
      <c r="D41" s="34" t="s">
        <v>79</v>
      </c>
      <c r="E41" s="34" t="s">
        <v>24</v>
      </c>
      <c r="F41" s="34" t="s">
        <v>165</v>
      </c>
      <c r="G41" s="34" t="s">
        <v>117</v>
      </c>
      <c r="H41" s="34" t="s">
        <v>27</v>
      </c>
      <c r="I41" s="34" t="s">
        <v>27</v>
      </c>
      <c r="J41" s="34" t="s">
        <v>27</v>
      </c>
      <c r="K41" s="34" t="s">
        <v>117</v>
      </c>
      <c r="L41" s="34" t="s">
        <v>117</v>
      </c>
      <c r="M41" s="34" t="s">
        <v>28</v>
      </c>
      <c r="N41" s="40">
        <v>45263</v>
      </c>
      <c r="O41" s="39">
        <f ca="1">YEARFRAC(TODAY(),Table1[[#This Row],[تاريخ الإلتحاق]],1)</f>
        <v>2.0748175182481754</v>
      </c>
      <c r="P41" s="39">
        <f ca="1">IF(Table1[[#This Row],[فترة العمل بالشركة]]&lt;=5,Table1[[#This Row],[فترة العمل بالشركة]]*21,(((Table1[[#This Row],[فترة العمل بالشركة]]-5)*30)+(5*21)))</f>
        <v>43.571167883211686</v>
      </c>
      <c r="Q41" s="34">
        <f>'10037'!E37</f>
        <v>22</v>
      </c>
      <c r="R41" s="39">
        <f ca="1">Table1[[#This Row],[رصيد الاجازة المستحق]]-Table1[[#This Row],[رصيد الاجازة المستخدم]]</f>
        <v>21.571167883211686</v>
      </c>
      <c r="S41" s="39">
        <f ca="1">Table1[[#This Row],[رصيد الاجازة الحالي]]/30*Table1[[#This Row],[إجمالي الأجر]]</f>
        <v>1653.7895377128959</v>
      </c>
      <c r="T4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2386.0401459854015</v>
      </c>
    </row>
    <row r="42" spans="1:20" ht="20.100000000000001" customHeight="1">
      <c r="A42">
        <v>10038</v>
      </c>
      <c r="B42" s="34" t="s">
        <v>166</v>
      </c>
      <c r="C42" s="34" t="s">
        <v>167</v>
      </c>
      <c r="D42" s="34" t="s">
        <v>31</v>
      </c>
      <c r="E42" s="34" t="s">
        <v>24</v>
      </c>
      <c r="F42" s="34" t="s">
        <v>102</v>
      </c>
      <c r="G42" s="34" t="s">
        <v>59</v>
      </c>
      <c r="H42" s="34" t="s">
        <v>27</v>
      </c>
      <c r="I42" s="34" t="s">
        <v>27</v>
      </c>
      <c r="J42" s="34" t="s">
        <v>27</v>
      </c>
      <c r="K42" s="34" t="s">
        <v>59</v>
      </c>
      <c r="L42" s="34" t="s">
        <v>59</v>
      </c>
      <c r="M42" s="34" t="s">
        <v>28</v>
      </c>
      <c r="N42" s="40">
        <v>45270</v>
      </c>
      <c r="O42" s="39">
        <f ca="1">YEARFRAC(TODAY(),Table1[[#This Row],[تاريخ الإلتحاق]],1)</f>
        <v>2.0556569343065694</v>
      </c>
      <c r="P42" s="39">
        <f ca="1">IF(Table1[[#This Row],[فترة العمل بالشركة]]&lt;=5,Table1[[#This Row],[فترة العمل بالشركة]]*21,(((Table1[[#This Row],[فترة العمل بالشركة]]-5)*30)+(5*21)))</f>
        <v>43.168795620437955</v>
      </c>
      <c r="Q42" s="34">
        <f>'10038'!E37</f>
        <v>22</v>
      </c>
      <c r="R42" s="39">
        <f ca="1">Table1[[#This Row],[رصيد الاجازة المستحق]]-Table1[[#This Row],[رصيد الاجازة المستخدم]]</f>
        <v>21.168795620437955</v>
      </c>
      <c r="S42" s="39">
        <f ca="1">Table1[[#This Row],[رصيد الاجازة الحالي]]/30*Table1[[#This Row],[إجمالي الأجر]]</f>
        <v>1411.2530413625304</v>
      </c>
      <c r="T4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2055.6569343065694</v>
      </c>
    </row>
    <row r="43" spans="1:20" ht="20.100000000000001" customHeight="1">
      <c r="A43">
        <v>10039</v>
      </c>
      <c r="B43" s="34" t="s">
        <v>168</v>
      </c>
      <c r="C43" s="34" t="s">
        <v>169</v>
      </c>
      <c r="D43" s="34" t="s">
        <v>170</v>
      </c>
      <c r="E43" s="34" t="s">
        <v>24</v>
      </c>
      <c r="F43" s="34" t="s">
        <v>171</v>
      </c>
      <c r="G43" s="34" t="s">
        <v>172</v>
      </c>
      <c r="H43" s="34" t="s">
        <v>27</v>
      </c>
      <c r="I43" s="34" t="s">
        <v>27</v>
      </c>
      <c r="J43" s="34" t="s">
        <v>27</v>
      </c>
      <c r="K43" s="34" t="s">
        <v>172</v>
      </c>
      <c r="L43" s="34" t="s">
        <v>172</v>
      </c>
      <c r="M43" s="34" t="s">
        <v>173</v>
      </c>
      <c r="N43" s="40">
        <v>45270</v>
      </c>
      <c r="O43" s="39">
        <f ca="1">YEARFRAC(TODAY(),Table1[[#This Row],[تاريخ الإلتحاق]],1)</f>
        <v>2.0556569343065694</v>
      </c>
      <c r="P43" s="39">
        <f ca="1">IF(Table1[[#This Row],[فترة العمل بالشركة]]&lt;=5,Table1[[#This Row],[فترة العمل بالشركة]]*21,(((Table1[[#This Row],[فترة العمل بالشركة]]-5)*30)+(5*21)))</f>
        <v>43.168795620437955</v>
      </c>
      <c r="Q43" s="34">
        <f>'10039'!E37</f>
        <v>22</v>
      </c>
      <c r="R43" s="39">
        <f ca="1">Table1[[#This Row],[رصيد الاجازة المستحق]]-Table1[[#This Row],[رصيد الاجازة المستخدم]]</f>
        <v>21.168795620437955</v>
      </c>
      <c r="S43" s="39">
        <f ca="1">Table1[[#This Row],[رصيد الاجازة الحالي]]/30*Table1[[#This Row],[إجمالي الأجر]]</f>
        <v>3528.1326034063259</v>
      </c>
      <c r="T4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5139.1423357664235</v>
      </c>
    </row>
    <row r="44" spans="1:20" ht="20.100000000000001" customHeight="1">
      <c r="A44">
        <v>10040</v>
      </c>
      <c r="B44" s="34" t="s">
        <v>174</v>
      </c>
      <c r="C44" s="34" t="s">
        <v>175</v>
      </c>
      <c r="D44" s="34" t="s">
        <v>79</v>
      </c>
      <c r="E44" s="34" t="s">
        <v>24</v>
      </c>
      <c r="F44" s="34" t="s">
        <v>176</v>
      </c>
      <c r="G44" s="34" t="s">
        <v>45</v>
      </c>
      <c r="H44" s="34" t="s">
        <v>27</v>
      </c>
      <c r="I44" s="34" t="s">
        <v>27</v>
      </c>
      <c r="J44" s="34" t="s">
        <v>27</v>
      </c>
      <c r="K44" s="34" t="s">
        <v>45</v>
      </c>
      <c r="L44" s="34" t="s">
        <v>45</v>
      </c>
      <c r="M44" s="34" t="s">
        <v>28</v>
      </c>
      <c r="N44" s="40">
        <v>45271</v>
      </c>
      <c r="O44" s="39">
        <f ca="1">YEARFRAC(TODAY(),Table1[[#This Row],[تاريخ الإلتحاق]],1)</f>
        <v>2.0529197080291972</v>
      </c>
      <c r="P44" s="39">
        <f ca="1">IF(Table1[[#This Row],[فترة العمل بالشركة]]&lt;=5,Table1[[#This Row],[فترة العمل بالشركة]]*21,(((Table1[[#This Row],[فترة العمل بالشركة]]-5)*30)+(5*21)))</f>
        <v>43.111313868613138</v>
      </c>
      <c r="Q44" s="34">
        <f>'10040'!E37</f>
        <v>22</v>
      </c>
      <c r="R44" s="39">
        <f ca="1">Table1[[#This Row],[رصيد الاجازة المستحق]]-Table1[[#This Row],[رصيد الاجازة المستخدم]]</f>
        <v>21.111313868613138</v>
      </c>
      <c r="S44" s="39">
        <f ca="1">Table1[[#This Row],[رصيد الاجازة الحالي]]/30*Table1[[#This Row],[إجمالي الأجر]]</f>
        <v>1266.6788321167883</v>
      </c>
      <c r="T4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1847.6277372262775</v>
      </c>
    </row>
    <row r="45" spans="1:20" ht="20.100000000000001" customHeight="1">
      <c r="A45">
        <v>10041</v>
      </c>
      <c r="B45" s="34" t="s">
        <v>177</v>
      </c>
      <c r="C45" s="34" t="s">
        <v>178</v>
      </c>
      <c r="D45" s="34" t="s">
        <v>79</v>
      </c>
      <c r="E45" s="34" t="s">
        <v>24</v>
      </c>
      <c r="F45" s="34" t="s">
        <v>179</v>
      </c>
      <c r="G45" s="34" t="s">
        <v>45</v>
      </c>
      <c r="H45" s="34" t="s">
        <v>27</v>
      </c>
      <c r="I45" s="34" t="s">
        <v>27</v>
      </c>
      <c r="J45" s="34" t="s">
        <v>27</v>
      </c>
      <c r="K45" s="34" t="s">
        <v>45</v>
      </c>
      <c r="L45" s="34" t="s">
        <v>45</v>
      </c>
      <c r="M45" s="34" t="s">
        <v>28</v>
      </c>
      <c r="N45" s="40">
        <v>45271</v>
      </c>
      <c r="O45" s="39">
        <f ca="1">YEARFRAC(TODAY(),Table1[[#This Row],[تاريخ الإلتحاق]],1)</f>
        <v>2.0529197080291972</v>
      </c>
      <c r="P45" s="39">
        <f ca="1">IF(Table1[[#This Row],[فترة العمل بالشركة]]&lt;=5,Table1[[#This Row],[فترة العمل بالشركة]]*21,(((Table1[[#This Row],[فترة العمل بالشركة]]-5)*30)+(5*21)))</f>
        <v>43.111313868613138</v>
      </c>
      <c r="Q45" s="34">
        <f>'10041'!E37</f>
        <v>22</v>
      </c>
      <c r="R45" s="39">
        <f ca="1">Table1[[#This Row],[رصيد الاجازة المستحق]]-Table1[[#This Row],[رصيد الاجازة المستخدم]]</f>
        <v>21.111313868613138</v>
      </c>
      <c r="S45" s="39">
        <f ca="1">Table1[[#This Row],[رصيد الاجازة الحالي]]/30*Table1[[#This Row],[إجمالي الأجر]]</f>
        <v>1266.6788321167883</v>
      </c>
      <c r="T4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1847.6277372262775</v>
      </c>
    </row>
    <row r="46" spans="1:20" ht="20.100000000000001" customHeight="1">
      <c r="A46">
        <v>10042</v>
      </c>
      <c r="B46" s="34" t="s">
        <v>180</v>
      </c>
      <c r="C46" s="34" t="s">
        <v>181</v>
      </c>
      <c r="D46" s="34" t="s">
        <v>170</v>
      </c>
      <c r="E46" s="34" t="s">
        <v>24</v>
      </c>
      <c r="F46" s="34" t="s">
        <v>182</v>
      </c>
      <c r="G46" s="34" t="s">
        <v>38</v>
      </c>
      <c r="H46" s="34" t="s">
        <v>27</v>
      </c>
      <c r="I46" s="34" t="s">
        <v>27</v>
      </c>
      <c r="J46" s="34" t="s">
        <v>27</v>
      </c>
      <c r="K46" s="34" t="s">
        <v>38</v>
      </c>
      <c r="L46" s="34" t="s">
        <v>38</v>
      </c>
      <c r="M46" s="34" t="s">
        <v>183</v>
      </c>
      <c r="N46" s="40">
        <v>45280</v>
      </c>
      <c r="O46" s="39">
        <f ca="1">YEARFRAC(TODAY(),Table1[[#This Row],[تاريخ الإلتحاق]],1)</f>
        <v>2.0282846715328469</v>
      </c>
      <c r="P46" s="39">
        <f ca="1">IF(Table1[[#This Row],[فترة العمل بالشركة]]&lt;=5,Table1[[#This Row],[فترة العمل بالشركة]]*21,(((Table1[[#This Row],[فترة العمل بالشركة]]-5)*30)+(5*21)))</f>
        <v>42.593978102189787</v>
      </c>
      <c r="Q46" s="34">
        <f>'10042'!E37</f>
        <v>28</v>
      </c>
      <c r="R46" s="39">
        <f ca="1">Table1[[#This Row],[رصيد الاجازة المستحق]]-Table1[[#This Row],[رصيد الاجازة المستخدم]]</f>
        <v>14.593978102189787</v>
      </c>
      <c r="S46" s="39">
        <f ca="1">Table1[[#This Row],[رصيد الاجازة الحالي]]/30*Table1[[#This Row],[إجمالي الأجر]]</f>
        <v>1459.3978102189787</v>
      </c>
      <c r="T4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3042.4270072992704</v>
      </c>
    </row>
    <row r="47" spans="1:20" ht="20.100000000000001" customHeight="1">
      <c r="A47">
        <v>10043</v>
      </c>
      <c r="B47" s="34" t="s">
        <v>184</v>
      </c>
      <c r="C47" s="34" t="s">
        <v>185</v>
      </c>
      <c r="D47" s="34" t="s">
        <v>79</v>
      </c>
      <c r="E47" s="34" t="s">
        <v>24</v>
      </c>
      <c r="F47" s="34" t="s">
        <v>186</v>
      </c>
      <c r="G47" s="34" t="s">
        <v>59</v>
      </c>
      <c r="H47" s="34" t="s">
        <v>27</v>
      </c>
      <c r="I47" s="34" t="s">
        <v>27</v>
      </c>
      <c r="J47" s="34" t="s">
        <v>27</v>
      </c>
      <c r="K47" s="34" t="s">
        <v>59</v>
      </c>
      <c r="L47" s="34" t="s">
        <v>59</v>
      </c>
      <c r="M47" s="34" t="s">
        <v>187</v>
      </c>
      <c r="N47" s="40">
        <v>45295</v>
      </c>
      <c r="O47" s="39">
        <f ca="1">YEARFRAC(TODAY(),Table1[[#This Row],[تاريخ الإلتحاق]],1)</f>
        <v>1.9863201094391245</v>
      </c>
      <c r="P47" s="39">
        <f ca="1">IF(Table1[[#This Row],[فترة العمل بالشركة]]&lt;=5,Table1[[#This Row],[فترة العمل بالشركة]]*21,(((Table1[[#This Row],[فترة العمل بالشركة]]-5)*30)+(5*21)))</f>
        <v>41.712722298221614</v>
      </c>
      <c r="Q47" s="34">
        <f>'10043'!E37</f>
        <v>21</v>
      </c>
      <c r="R47" s="39">
        <f ca="1">Table1[[#This Row],[رصيد الاجازة المستحق]]-Table1[[#This Row],[رصيد الاجازة المستخدم]]</f>
        <v>20.712722298221614</v>
      </c>
      <c r="S47" s="39">
        <f ca="1">Table1[[#This Row],[رصيد الاجازة الحالي]]/30*Table1[[#This Row],[إجمالي الأجر]]</f>
        <v>1380.8481532147744</v>
      </c>
      <c r="T4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1986.3201094391245</v>
      </c>
    </row>
    <row r="48" spans="1:20" ht="20.100000000000001" customHeight="1">
      <c r="A48">
        <v>10044</v>
      </c>
      <c r="B48" s="34" t="s">
        <v>188</v>
      </c>
      <c r="C48" s="34" t="s">
        <v>189</v>
      </c>
      <c r="D48" s="34" t="s">
        <v>48</v>
      </c>
      <c r="E48" s="34" t="s">
        <v>49</v>
      </c>
      <c r="F48" s="34" t="s">
        <v>190</v>
      </c>
      <c r="G48" s="34" t="s">
        <v>51</v>
      </c>
      <c r="H48" s="34" t="s">
        <v>27</v>
      </c>
      <c r="I48" s="34" t="s">
        <v>27</v>
      </c>
      <c r="J48" s="34" t="s">
        <v>27</v>
      </c>
      <c r="K48" s="34" t="s">
        <v>51</v>
      </c>
      <c r="L48" s="34" t="s">
        <v>51</v>
      </c>
      <c r="M48" s="34" t="s">
        <v>127</v>
      </c>
      <c r="N48" s="40">
        <v>45342</v>
      </c>
      <c r="O48" s="39">
        <f ca="1">YEARFRAC(TODAY(),Table1[[#This Row],[تاريخ الإلتحاق]],1)</f>
        <v>1.8577291381668946</v>
      </c>
      <c r="P48" s="39">
        <f ca="1">IF(Table1[[#This Row],[فترة العمل بالشركة]]&lt;=5,Table1[[#This Row],[فترة العمل بالشركة]]*21,(((Table1[[#This Row],[فترة العمل بالشركة]]-5)*30)+(5*21)))</f>
        <v>39.012311901504788</v>
      </c>
      <c r="Q48" s="34">
        <f>'10044'!E37</f>
        <v>24</v>
      </c>
      <c r="R48" s="39">
        <f ca="1">Table1[[#This Row],[رصيد الاجازة المستحق]]-Table1[[#This Row],[رصيد الاجازة المستخدم]]</f>
        <v>15.012311901504788</v>
      </c>
      <c r="S48" s="39">
        <f ca="1">Table1[[#This Row],[رصيد الاجازة الحالي]]/30*Table1[[#This Row],[إجمالي الأجر]]</f>
        <v>2001.6415868673053</v>
      </c>
      <c r="T4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3715.4582763337889</v>
      </c>
    </row>
    <row r="49" spans="1:20" ht="20.100000000000001" customHeight="1">
      <c r="A49">
        <v>10045</v>
      </c>
      <c r="B49" s="34" t="s">
        <v>191</v>
      </c>
      <c r="C49" s="34" t="s">
        <v>192</v>
      </c>
      <c r="D49" s="34" t="s">
        <v>48</v>
      </c>
      <c r="E49" s="34" t="s">
        <v>49</v>
      </c>
      <c r="F49" s="34" t="s">
        <v>193</v>
      </c>
      <c r="G49" s="34" t="s">
        <v>51</v>
      </c>
      <c r="H49" s="34" t="s">
        <v>27</v>
      </c>
      <c r="I49" s="34" t="s">
        <v>27</v>
      </c>
      <c r="J49" s="34" t="s">
        <v>27</v>
      </c>
      <c r="K49" s="34" t="s">
        <v>51</v>
      </c>
      <c r="L49" s="34" t="s">
        <v>51</v>
      </c>
      <c r="M49" s="34" t="s">
        <v>127</v>
      </c>
      <c r="N49" s="40">
        <v>45342</v>
      </c>
      <c r="O49" s="39">
        <f ca="1">YEARFRAC(TODAY(),Table1[[#This Row],[تاريخ الإلتحاق]],1)</f>
        <v>1.8577291381668946</v>
      </c>
      <c r="P49" s="39">
        <f ca="1">IF(Table1[[#This Row],[فترة العمل بالشركة]]&lt;=5,Table1[[#This Row],[فترة العمل بالشركة]]*21,(((Table1[[#This Row],[فترة العمل بالشركة]]-5)*30)+(5*21)))</f>
        <v>39.012311901504788</v>
      </c>
      <c r="Q49" s="34">
        <f>'10045'!E37</f>
        <v>7</v>
      </c>
      <c r="R49" s="39">
        <f ca="1">Table1[[#This Row],[رصيد الاجازة المستحق]]-Table1[[#This Row],[رصيد الاجازة المستخدم]]</f>
        <v>32.012311901504788</v>
      </c>
      <c r="S49" s="39">
        <f ca="1">Table1[[#This Row],[رصيد الاجازة الحالي]]/30*Table1[[#This Row],[إجمالي الأجر]]</f>
        <v>4268.3082535339718</v>
      </c>
      <c r="T4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3715.4582763337889</v>
      </c>
    </row>
    <row r="50" spans="1:20" ht="20.100000000000001" customHeight="1">
      <c r="A50">
        <v>10046</v>
      </c>
      <c r="B50" s="34" t="s">
        <v>194</v>
      </c>
      <c r="C50" s="34" t="s">
        <v>195</v>
      </c>
      <c r="D50" s="34" t="s">
        <v>48</v>
      </c>
      <c r="E50" s="34" t="s">
        <v>49</v>
      </c>
      <c r="F50" s="34" t="s">
        <v>196</v>
      </c>
      <c r="G50" s="34" t="s">
        <v>66</v>
      </c>
      <c r="H50" s="34" t="s">
        <v>27</v>
      </c>
      <c r="I50" s="34" t="s">
        <v>27</v>
      </c>
      <c r="J50" s="34" t="s">
        <v>27</v>
      </c>
      <c r="K50" s="34" t="s">
        <v>66</v>
      </c>
      <c r="L50" s="34" t="s">
        <v>66</v>
      </c>
      <c r="M50" s="34" t="s">
        <v>197</v>
      </c>
      <c r="N50" s="40">
        <v>45348</v>
      </c>
      <c r="O50" s="39">
        <f ca="1">YEARFRAC(TODAY(),Table1[[#This Row],[تاريخ الإلتحاق]],1)</f>
        <v>1.8413132694938441</v>
      </c>
      <c r="P50" s="39">
        <f ca="1">IF(Table1[[#This Row],[فترة العمل بالشركة]]&lt;=5,Table1[[#This Row],[فترة العمل بالشركة]]*21,(((Table1[[#This Row],[فترة العمل بالشركة]]-5)*30)+(5*21)))</f>
        <v>38.667578659370726</v>
      </c>
      <c r="Q50" s="34">
        <f>'10046'!E37</f>
        <v>18</v>
      </c>
      <c r="R50" s="39">
        <f ca="1">Table1[[#This Row],[رصيد الاجازة المستحق]]-Table1[[#This Row],[رصيد الاجازة المستخدم]]</f>
        <v>20.667578659370726</v>
      </c>
      <c r="S50" s="39">
        <f ca="1">Table1[[#This Row],[رصيد الاجازة الحالي]]/30*Table1[[#This Row],[إجمالي الأجر]]</f>
        <v>3100.1367989056089</v>
      </c>
      <c r="T5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4142.9548563611488</v>
      </c>
    </row>
    <row r="51" spans="1:20" ht="20.100000000000001" customHeight="1">
      <c r="A51">
        <v>10047</v>
      </c>
      <c r="B51" s="34" t="s">
        <v>198</v>
      </c>
      <c r="C51" s="34" t="s">
        <v>199</v>
      </c>
      <c r="D51" s="34" t="s">
        <v>48</v>
      </c>
      <c r="E51" s="34" t="s">
        <v>49</v>
      </c>
      <c r="F51" s="34" t="s">
        <v>200</v>
      </c>
      <c r="G51" s="34" t="s">
        <v>51</v>
      </c>
      <c r="H51" s="34" t="s">
        <v>27</v>
      </c>
      <c r="I51" s="34" t="s">
        <v>27</v>
      </c>
      <c r="J51" s="34" t="s">
        <v>27</v>
      </c>
      <c r="K51" s="34" t="s">
        <v>51</v>
      </c>
      <c r="L51" s="34" t="s">
        <v>51</v>
      </c>
      <c r="M51" s="34" t="s">
        <v>127</v>
      </c>
      <c r="N51" s="40">
        <v>45464</v>
      </c>
      <c r="O51" s="39">
        <f ca="1">YEARFRAC(TODAY(),Table1[[#This Row],[تاريخ الإلتحاق]],1)</f>
        <v>1.5239398084815321</v>
      </c>
      <c r="P51" s="39">
        <f ca="1">IF(Table1[[#This Row],[فترة العمل بالشركة]]&lt;=5,Table1[[#This Row],[فترة العمل بالشركة]]*21,(((Table1[[#This Row],[فترة العمل بالشركة]]-5)*30)+(5*21)))</f>
        <v>32.002735978112177</v>
      </c>
      <c r="Q51" s="34">
        <f>'10047'!E37</f>
        <v>6</v>
      </c>
      <c r="R51" s="39">
        <f ca="1">Table1[[#This Row],[رصيد الاجازة المستحق]]-Table1[[#This Row],[رصيد الاجازة المستخدم]]</f>
        <v>26.002735978112177</v>
      </c>
      <c r="S51" s="39">
        <f ca="1">Table1[[#This Row],[رصيد الاجازة الحالي]]/30*Table1[[#This Row],[إجمالي الأجر]]</f>
        <v>3467.0314637482902</v>
      </c>
      <c r="T5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3047.8796169630641</v>
      </c>
    </row>
    <row r="52" spans="1:20" ht="20.100000000000001" customHeight="1">
      <c r="A52">
        <v>10048</v>
      </c>
      <c r="B52" s="34" t="s">
        <v>201</v>
      </c>
      <c r="C52" s="34" t="s">
        <v>202</v>
      </c>
      <c r="D52" s="34" t="s">
        <v>48</v>
      </c>
      <c r="E52" s="34" t="s">
        <v>49</v>
      </c>
      <c r="F52" s="34" t="s">
        <v>203</v>
      </c>
      <c r="G52" s="34" t="s">
        <v>51</v>
      </c>
      <c r="H52" s="34" t="s">
        <v>27</v>
      </c>
      <c r="I52" s="34" t="s">
        <v>27</v>
      </c>
      <c r="J52" s="34" t="s">
        <v>27</v>
      </c>
      <c r="K52" s="34" t="s">
        <v>51</v>
      </c>
      <c r="L52" s="34" t="s">
        <v>51</v>
      </c>
      <c r="M52" s="34" t="s">
        <v>127</v>
      </c>
      <c r="N52" s="40">
        <v>45464</v>
      </c>
      <c r="O52" s="39">
        <f ca="1">YEARFRAC(TODAY(),Table1[[#This Row],[تاريخ الإلتحاق]],1)</f>
        <v>1.5239398084815321</v>
      </c>
      <c r="P52" s="39">
        <f ca="1">IF(Table1[[#This Row],[فترة العمل بالشركة]]&lt;=5,Table1[[#This Row],[فترة العمل بالشركة]]*21,(((Table1[[#This Row],[فترة العمل بالشركة]]-5)*30)+(5*21)))</f>
        <v>32.002735978112177</v>
      </c>
      <c r="Q52" s="34">
        <f>'10048'!E37</f>
        <v>7</v>
      </c>
      <c r="R52" s="39">
        <f ca="1">Table1[[#This Row],[رصيد الاجازة المستحق]]-Table1[[#This Row],[رصيد الاجازة المستخدم]]</f>
        <v>25.002735978112177</v>
      </c>
      <c r="S52" s="39">
        <f ca="1">Table1[[#This Row],[رصيد الاجازة الحالي]]/30*Table1[[#This Row],[إجمالي الأجر]]</f>
        <v>3333.6981304149572</v>
      </c>
      <c r="T5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3047.8796169630641</v>
      </c>
    </row>
    <row r="53" spans="1:20" ht="20.100000000000001" customHeight="1">
      <c r="A53">
        <v>10049</v>
      </c>
      <c r="B53" s="34" t="s">
        <v>204</v>
      </c>
      <c r="C53" s="34" t="s">
        <v>205</v>
      </c>
      <c r="D53" s="34" t="s">
        <v>48</v>
      </c>
      <c r="E53" s="34" t="s">
        <v>49</v>
      </c>
      <c r="F53" s="34" t="s">
        <v>206</v>
      </c>
      <c r="G53" s="34" t="s">
        <v>51</v>
      </c>
      <c r="H53" s="34" t="s">
        <v>27</v>
      </c>
      <c r="I53" s="34" t="s">
        <v>27</v>
      </c>
      <c r="J53" s="34" t="s">
        <v>27</v>
      </c>
      <c r="K53" s="34" t="s">
        <v>51</v>
      </c>
      <c r="L53" s="34" t="s">
        <v>51</v>
      </c>
      <c r="M53" s="34" t="s">
        <v>127</v>
      </c>
      <c r="N53" s="40">
        <v>45526</v>
      </c>
      <c r="O53" s="39">
        <f ca="1">YEARFRAC(TODAY(),Table1[[#This Row],[تاريخ الإلتحاق]],1)</f>
        <v>1.3543091655266757</v>
      </c>
      <c r="P53" s="39">
        <f ca="1">IF(Table1[[#This Row],[فترة العمل بالشركة]]&lt;=5,Table1[[#This Row],[فترة العمل بالشركة]]*21,(((Table1[[#This Row],[فترة العمل بالشركة]]-5)*30)+(5*21)))</f>
        <v>28.440492476060189</v>
      </c>
      <c r="Q53" s="34">
        <f>'10049'!E37</f>
        <v>7</v>
      </c>
      <c r="R53" s="39">
        <f ca="1">Table1[[#This Row],[رصيد الاجازة المستحق]]-Table1[[#This Row],[رصيد الاجازة المستخدم]]</f>
        <v>21.440492476060189</v>
      </c>
      <c r="S53" s="39">
        <f ca="1">Table1[[#This Row],[رصيد الاجازة الحالي]]/30*Table1[[#This Row],[إجمالي الأجر]]</f>
        <v>2858.7323301413585</v>
      </c>
      <c r="T5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2708.6183310533515</v>
      </c>
    </row>
    <row r="54" spans="1:20" ht="20.100000000000001" customHeight="1">
      <c r="A54">
        <v>10050</v>
      </c>
      <c r="B54" s="34" t="s">
        <v>207</v>
      </c>
      <c r="C54" s="34" t="s">
        <v>208</v>
      </c>
      <c r="D54" s="34" t="s">
        <v>31</v>
      </c>
      <c r="E54" s="34" t="s">
        <v>24</v>
      </c>
      <c r="F54" s="34" t="s">
        <v>209</v>
      </c>
      <c r="G54" s="34" t="s">
        <v>92</v>
      </c>
      <c r="H54" s="34" t="s">
        <v>27</v>
      </c>
      <c r="I54" s="34" t="s">
        <v>27</v>
      </c>
      <c r="J54" s="34" t="s">
        <v>27</v>
      </c>
      <c r="K54" s="34" t="s">
        <v>92</v>
      </c>
      <c r="L54" s="34" t="s">
        <v>92</v>
      </c>
      <c r="M54" s="34" t="s">
        <v>153</v>
      </c>
      <c r="N54" s="40">
        <v>45527</v>
      </c>
      <c r="O54" s="39">
        <f ca="1">YEARFRAC(TODAY(),Table1[[#This Row],[تاريخ الإلتحاق]],1)</f>
        <v>1.3515731874145007</v>
      </c>
      <c r="P54" s="39">
        <f ca="1">IF(Table1[[#This Row],[فترة العمل بالشركة]]&lt;=5,Table1[[#This Row],[فترة العمل بالشركة]]*21,(((Table1[[#This Row],[فترة العمل بالشركة]]-5)*30)+(5*21)))</f>
        <v>28.383036935704514</v>
      </c>
      <c r="Q54" s="34">
        <f>'10050'!E37</f>
        <v>7</v>
      </c>
      <c r="R54" s="39">
        <f ca="1">Table1[[#This Row],[رصيد الاجازة المستحق]]-Table1[[#This Row],[رصيد الاجازة المستخدم]]</f>
        <v>21.383036935704514</v>
      </c>
      <c r="S54" s="39">
        <f ca="1">Table1[[#This Row],[رصيد الاجازة الحالي]]/30*Table1[[#This Row],[إجمالي الأجر]]</f>
        <v>1853.1965344277246</v>
      </c>
      <c r="T5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1757.045143638851</v>
      </c>
    </row>
    <row r="55" spans="1:20" ht="20.100000000000001" customHeight="1">
      <c r="A55">
        <v>10051</v>
      </c>
      <c r="B55" s="34" t="s">
        <v>210</v>
      </c>
      <c r="C55" s="34" t="s">
        <v>211</v>
      </c>
      <c r="D55" s="34" t="s">
        <v>23</v>
      </c>
      <c r="E55" s="34" t="s">
        <v>24</v>
      </c>
      <c r="F55" s="34" t="s">
        <v>212</v>
      </c>
      <c r="G55" s="34" t="s">
        <v>59</v>
      </c>
      <c r="H55" s="34" t="s">
        <v>27</v>
      </c>
      <c r="I55" s="34" t="s">
        <v>27</v>
      </c>
      <c r="J55" s="34" t="s">
        <v>27</v>
      </c>
      <c r="K55" s="34" t="s">
        <v>59</v>
      </c>
      <c r="L55" s="34" t="s">
        <v>59</v>
      </c>
      <c r="M55" s="34" t="s">
        <v>28</v>
      </c>
      <c r="N55" s="40">
        <v>45529</v>
      </c>
      <c r="O55" s="39">
        <f ca="1">YEARFRAC(TODAY(),Table1[[#This Row],[تاريخ الإلتحاق]],1)</f>
        <v>1.3461012311901506</v>
      </c>
      <c r="P55" s="39">
        <f ca="1">IF(Table1[[#This Row],[فترة العمل بالشركة]]&lt;=5,Table1[[#This Row],[فترة العمل بالشركة]]*21,(((Table1[[#This Row],[فترة العمل بالشركة]]-5)*30)+(5*21)))</f>
        <v>28.268125854993162</v>
      </c>
      <c r="Q55" s="34">
        <f>'10051'!E37</f>
        <v>7</v>
      </c>
      <c r="R55" s="39">
        <f ca="1">Table1[[#This Row],[رصيد الاجازة المستحق]]-Table1[[#This Row],[رصيد الاجازة المستخدم]]</f>
        <v>21.268125854993162</v>
      </c>
      <c r="S55" s="39">
        <f ca="1">Table1[[#This Row],[رصيد الاجازة الحالي]]/30*Table1[[#This Row],[إجمالي الأجر]]</f>
        <v>1417.8750569995441</v>
      </c>
      <c r="T5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1346.1012311901507</v>
      </c>
    </row>
    <row r="56" spans="1:20" ht="20.100000000000001" customHeight="1">
      <c r="A56">
        <v>10052</v>
      </c>
      <c r="B56" s="34" t="s">
        <v>213</v>
      </c>
      <c r="C56" s="34" t="s">
        <v>214</v>
      </c>
      <c r="D56" s="34" t="s">
        <v>31</v>
      </c>
      <c r="E56" s="34" t="s">
        <v>24</v>
      </c>
      <c r="F56" s="34" t="s">
        <v>215</v>
      </c>
      <c r="G56" s="34" t="s">
        <v>143</v>
      </c>
      <c r="H56" s="34" t="s">
        <v>27</v>
      </c>
      <c r="I56" s="34" t="s">
        <v>27</v>
      </c>
      <c r="J56" s="34" t="s">
        <v>27</v>
      </c>
      <c r="K56" s="34" t="s">
        <v>143</v>
      </c>
      <c r="L56" s="34" t="s">
        <v>143</v>
      </c>
      <c r="M56" s="34" t="s">
        <v>28</v>
      </c>
      <c r="N56" s="40">
        <v>45529</v>
      </c>
      <c r="O56" s="39">
        <f ca="1">YEARFRAC(TODAY(),Table1[[#This Row],[تاريخ الإلتحاق]],1)</f>
        <v>1.3461012311901506</v>
      </c>
      <c r="P56" s="39">
        <f ca="1">IF(Table1[[#This Row],[فترة العمل بالشركة]]&lt;=5,Table1[[#This Row],[فترة العمل بالشركة]]*21,(((Table1[[#This Row],[فترة العمل بالشركة]]-5)*30)+(5*21)))</f>
        <v>28.268125854993162</v>
      </c>
      <c r="Q56" s="34">
        <f>'10052'!E37</f>
        <v>7</v>
      </c>
      <c r="R56" s="39">
        <f ca="1">Table1[[#This Row],[رصيد الاجازة المستحق]]-Table1[[#This Row],[رصيد الاجازة المستخدم]]</f>
        <v>21.268125854993162</v>
      </c>
      <c r="S56" s="39">
        <f ca="1">Table1[[#This Row],[رصيد الاجازة الحالي]]/30*Table1[[#This Row],[إجمالي الأجر]]</f>
        <v>1772.3438212494302</v>
      </c>
      <c r="T5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1682.6265389876883</v>
      </c>
    </row>
    <row r="57" spans="1:20" ht="20.100000000000001" customHeight="1">
      <c r="A57">
        <v>10053</v>
      </c>
      <c r="B57" s="34" t="s">
        <v>216</v>
      </c>
      <c r="C57" s="34" t="s">
        <v>217</v>
      </c>
      <c r="D57" s="34" t="s">
        <v>23</v>
      </c>
      <c r="E57" s="34" t="s">
        <v>24</v>
      </c>
      <c r="F57" s="34" t="s">
        <v>218</v>
      </c>
      <c r="G57" s="34" t="s">
        <v>59</v>
      </c>
      <c r="H57" s="34" t="s">
        <v>27</v>
      </c>
      <c r="I57" s="34" t="s">
        <v>27</v>
      </c>
      <c r="J57" s="34" t="s">
        <v>27</v>
      </c>
      <c r="K57" s="34" t="s">
        <v>59</v>
      </c>
      <c r="L57" s="34" t="s">
        <v>59</v>
      </c>
      <c r="M57" s="34" t="s">
        <v>28</v>
      </c>
      <c r="N57" s="40">
        <v>45530</v>
      </c>
      <c r="O57" s="39">
        <f ca="1">YEARFRAC(TODAY(),Table1[[#This Row],[تاريخ الإلتحاق]],1)</f>
        <v>1.3433652530779754</v>
      </c>
      <c r="P57" s="39">
        <f ca="1">IF(Table1[[#This Row],[فترة العمل بالشركة]]&lt;=5,Table1[[#This Row],[فترة العمل بالشركة]]*21,(((Table1[[#This Row],[فترة العمل بالشركة]]-5)*30)+(5*21)))</f>
        <v>28.210670314637483</v>
      </c>
      <c r="Q57" s="34">
        <f>'10053'!E37</f>
        <v>7</v>
      </c>
      <c r="R57" s="39">
        <f ca="1">Table1[[#This Row],[رصيد الاجازة المستحق]]-Table1[[#This Row],[رصيد الاجازة المستخدم]]</f>
        <v>21.210670314637483</v>
      </c>
      <c r="S57" s="39">
        <f ca="1">Table1[[#This Row],[رصيد الاجازة الحالي]]/30*Table1[[#This Row],[إجمالي الأجر]]</f>
        <v>1414.0446876424987</v>
      </c>
      <c r="T5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1343.3652530779755</v>
      </c>
    </row>
    <row r="58" spans="1:20" ht="20.100000000000001" customHeight="1">
      <c r="A58">
        <v>10054</v>
      </c>
      <c r="B58" s="34" t="s">
        <v>219</v>
      </c>
      <c r="C58" s="34" t="s">
        <v>220</v>
      </c>
      <c r="D58" s="34" t="s">
        <v>48</v>
      </c>
      <c r="E58" s="34" t="s">
        <v>49</v>
      </c>
      <c r="F58" s="34" t="s">
        <v>221</v>
      </c>
      <c r="G58" s="34" t="s">
        <v>51</v>
      </c>
      <c r="H58" s="34" t="s">
        <v>27</v>
      </c>
      <c r="I58" s="34" t="s">
        <v>27</v>
      </c>
      <c r="J58" s="34" t="s">
        <v>27</v>
      </c>
      <c r="K58" s="34" t="s">
        <v>51</v>
      </c>
      <c r="L58" s="34" t="s">
        <v>51</v>
      </c>
      <c r="M58" s="34" t="s">
        <v>127</v>
      </c>
      <c r="N58" s="40">
        <v>45532</v>
      </c>
      <c r="O58" s="39">
        <f ca="1">YEARFRAC(TODAY(),Table1[[#This Row],[تاريخ الإلتحاق]],1)</f>
        <v>1.3378932968536252</v>
      </c>
      <c r="P58" s="39">
        <f ca="1">IF(Table1[[#This Row],[فترة العمل بالشركة]]&lt;=5,Table1[[#This Row],[فترة العمل بالشركة]]*21,(((Table1[[#This Row],[فترة العمل بالشركة]]-5)*30)+(5*21)))</f>
        <v>28.095759233926131</v>
      </c>
      <c r="Q58" s="34">
        <f>'10054'!E37</f>
        <v>7</v>
      </c>
      <c r="R58" s="39">
        <f ca="1">Table1[[#This Row],[رصيد الاجازة المستحق]]-Table1[[#This Row],[رصيد الاجازة المستخدم]]</f>
        <v>21.095759233926131</v>
      </c>
      <c r="S58" s="39">
        <f ca="1">Table1[[#This Row],[رصيد الاجازة الحالي]]/30*Table1[[#This Row],[إجمالي الأجر]]</f>
        <v>2812.7678978568174</v>
      </c>
      <c r="T5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2675.7865937072506</v>
      </c>
    </row>
    <row r="59" spans="1:20" ht="20.100000000000001" customHeight="1">
      <c r="A59">
        <v>10055</v>
      </c>
      <c r="B59" s="34" t="s">
        <v>222</v>
      </c>
      <c r="C59" s="34" t="s">
        <v>223</v>
      </c>
      <c r="D59" s="34" t="s">
        <v>48</v>
      </c>
      <c r="E59" s="34" t="s">
        <v>49</v>
      </c>
      <c r="F59" s="34" t="s">
        <v>224</v>
      </c>
      <c r="G59" s="34" t="s">
        <v>51</v>
      </c>
      <c r="H59" s="34" t="s">
        <v>27</v>
      </c>
      <c r="I59" s="34" t="s">
        <v>27</v>
      </c>
      <c r="J59" s="34" t="s">
        <v>27</v>
      </c>
      <c r="K59" s="34" t="s">
        <v>51</v>
      </c>
      <c r="L59" s="34" t="s">
        <v>51</v>
      </c>
      <c r="M59" s="34" t="s">
        <v>127</v>
      </c>
      <c r="N59" s="40">
        <v>45533</v>
      </c>
      <c r="O59" s="39">
        <f ca="1">YEARFRAC(TODAY(),Table1[[#This Row],[تاريخ الإلتحاق]],1)</f>
        <v>1.33515731874145</v>
      </c>
      <c r="P59" s="39">
        <f ca="1">IF(Table1[[#This Row],[فترة العمل بالشركة]]&lt;=5,Table1[[#This Row],[فترة العمل بالشركة]]*21,(((Table1[[#This Row],[فترة العمل بالشركة]]-5)*30)+(5*21)))</f>
        <v>28.038303693570452</v>
      </c>
      <c r="Q59" s="34">
        <f>'10055'!E37</f>
        <v>7</v>
      </c>
      <c r="R59" s="39">
        <f ca="1">Table1[[#This Row],[رصيد الاجازة المستحق]]-Table1[[#This Row],[رصيد الاجازة المستخدم]]</f>
        <v>21.038303693570452</v>
      </c>
      <c r="S59" s="39">
        <f ca="1">Table1[[#This Row],[رصيد الاجازة الحالي]]/30*Table1[[#This Row],[إجمالي الأجر]]</f>
        <v>2805.1071591427271</v>
      </c>
      <c r="T5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2670.3146374829003</v>
      </c>
    </row>
    <row r="60" spans="1:20" ht="20.100000000000001" customHeight="1">
      <c r="A60">
        <v>10056</v>
      </c>
      <c r="B60" s="34" t="s">
        <v>225</v>
      </c>
      <c r="C60" s="34" t="s">
        <v>226</v>
      </c>
      <c r="D60" s="34" t="s">
        <v>109</v>
      </c>
      <c r="E60" s="34" t="s">
        <v>24</v>
      </c>
      <c r="F60" s="34" t="s">
        <v>110</v>
      </c>
      <c r="G60" s="34" t="s">
        <v>117</v>
      </c>
      <c r="H60" s="34" t="s">
        <v>27</v>
      </c>
      <c r="I60" s="34" t="s">
        <v>27</v>
      </c>
      <c r="J60" s="34" t="s">
        <v>27</v>
      </c>
      <c r="K60" s="34" t="s">
        <v>117</v>
      </c>
      <c r="L60" s="34" t="s">
        <v>117</v>
      </c>
      <c r="M60" s="34" t="s">
        <v>34</v>
      </c>
      <c r="N60" s="40">
        <v>45541</v>
      </c>
      <c r="O60" s="39">
        <f ca="1">YEARFRAC(TODAY(),Table1[[#This Row],[تاريخ الإلتحاق]],1)</f>
        <v>1.3132694938440492</v>
      </c>
      <c r="P60" s="39">
        <f ca="1">IF(Table1[[#This Row],[فترة العمل بالشركة]]&lt;=5,Table1[[#This Row],[فترة العمل بالشركة]]*21,(((Table1[[#This Row],[فترة العمل بالشركة]]-5)*30)+(5*21)))</f>
        <v>27.578659370725035</v>
      </c>
      <c r="Q60" s="34">
        <f>'10056'!E37</f>
        <v>6</v>
      </c>
      <c r="R60" s="39">
        <f ca="1">Table1[[#This Row],[رصيد الاجازة المستحق]]-Table1[[#This Row],[رصيد الاجازة المستخدم]]</f>
        <v>21.578659370725035</v>
      </c>
      <c r="S60" s="39">
        <f ca="1">Table1[[#This Row],[رصيد الاجازة الحالي]]/30*Table1[[#This Row],[إجمالي الأجر]]</f>
        <v>1654.3638850889195</v>
      </c>
      <c r="T6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1510.2599179206566</v>
      </c>
    </row>
    <row r="61" spans="1:20" ht="20.100000000000001" customHeight="1">
      <c r="A61">
        <v>10057</v>
      </c>
      <c r="B61" s="34" t="s">
        <v>227</v>
      </c>
      <c r="C61" s="34" t="s">
        <v>228</v>
      </c>
      <c r="D61" s="34" t="s">
        <v>48</v>
      </c>
      <c r="E61" s="34" t="s">
        <v>49</v>
      </c>
      <c r="F61" s="34" t="s">
        <v>229</v>
      </c>
      <c r="G61" s="34" t="s">
        <v>51</v>
      </c>
      <c r="H61" s="34" t="s">
        <v>27</v>
      </c>
      <c r="I61" s="34" t="s">
        <v>27</v>
      </c>
      <c r="J61" s="34" t="s">
        <v>27</v>
      </c>
      <c r="K61" s="34" t="s">
        <v>51</v>
      </c>
      <c r="L61" s="34" t="s">
        <v>51</v>
      </c>
      <c r="M61" s="34" t="s">
        <v>127</v>
      </c>
      <c r="N61" s="40">
        <v>45559</v>
      </c>
      <c r="O61" s="39">
        <f ca="1">YEARFRAC(TODAY(),Table1[[#This Row],[تاريخ الإلتحاق]],1)</f>
        <v>1.2640218878248974</v>
      </c>
      <c r="P61" s="39">
        <f ca="1">IF(Table1[[#This Row],[فترة العمل بالشركة]]&lt;=5,Table1[[#This Row],[فترة العمل بالشركة]]*21,(((Table1[[#This Row],[فترة العمل بالشركة]]-5)*30)+(5*21)))</f>
        <v>26.544459644322846</v>
      </c>
      <c r="Q61" s="34">
        <f>'10057'!E37</f>
        <v>5</v>
      </c>
      <c r="R61" s="39">
        <f ca="1">Table1[[#This Row],[رصيد الاجازة المستحق]]-Table1[[#This Row],[رصيد الاجازة المستخدم]]</f>
        <v>21.544459644322846</v>
      </c>
      <c r="S61" s="39">
        <f ca="1">Table1[[#This Row],[رصيد الاجازة الحالي]]/30*Table1[[#This Row],[إجمالي الأجر]]</f>
        <v>2872.5946192430461</v>
      </c>
      <c r="T6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2528.043775649795</v>
      </c>
    </row>
    <row r="62" spans="1:20" ht="20.100000000000001" customHeight="1">
      <c r="A62">
        <v>10058</v>
      </c>
      <c r="B62" s="34" t="s">
        <v>230</v>
      </c>
      <c r="C62" s="34" t="s">
        <v>231</v>
      </c>
      <c r="D62" s="34" t="s">
        <v>48</v>
      </c>
      <c r="E62" s="34" t="s">
        <v>49</v>
      </c>
      <c r="F62" s="34" t="s">
        <v>232</v>
      </c>
      <c r="G62" s="34" t="s">
        <v>51</v>
      </c>
      <c r="H62" s="34" t="s">
        <v>27</v>
      </c>
      <c r="I62" s="34" t="s">
        <v>27</v>
      </c>
      <c r="J62" s="34" t="s">
        <v>27</v>
      </c>
      <c r="K62" s="34" t="s">
        <v>51</v>
      </c>
      <c r="L62" s="34" t="s">
        <v>51</v>
      </c>
      <c r="M62" s="34" t="s">
        <v>127</v>
      </c>
      <c r="N62" s="40">
        <v>45566</v>
      </c>
      <c r="O62" s="39">
        <f ca="1">YEARFRAC(TODAY(),Table1[[#This Row],[تاريخ الإلتحاق]],1)</f>
        <v>1.2448700410396716</v>
      </c>
      <c r="P62" s="39">
        <f ca="1">IF(Table1[[#This Row],[فترة العمل بالشركة]]&lt;=5,Table1[[#This Row],[فترة العمل بالشركة]]*21,(((Table1[[#This Row],[فترة العمل بالشركة]]-5)*30)+(5*21)))</f>
        <v>26.142270861833104</v>
      </c>
      <c r="Q62" s="34">
        <f>'10058'!E37</f>
        <v>3</v>
      </c>
      <c r="R62" s="39">
        <f ca="1">Table1[[#This Row],[رصيد الاجازة المستحق]]-Table1[[#This Row],[رصيد الاجازة المستخدم]]</f>
        <v>23.142270861833104</v>
      </c>
      <c r="S62" s="39">
        <f ca="1">Table1[[#This Row],[رصيد الاجازة الحالي]]/30*Table1[[#This Row],[إجمالي الأجر]]</f>
        <v>3085.6361149110808</v>
      </c>
      <c r="T6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2489.7400820793432</v>
      </c>
    </row>
    <row r="63" spans="1:20" ht="20.100000000000001" customHeight="1">
      <c r="A63">
        <v>10059</v>
      </c>
      <c r="B63" s="34" t="s">
        <v>233</v>
      </c>
      <c r="C63" s="34" t="s">
        <v>234</v>
      </c>
      <c r="D63" s="34" t="s">
        <v>48</v>
      </c>
      <c r="E63" s="34" t="s">
        <v>49</v>
      </c>
      <c r="F63" s="34" t="s">
        <v>235</v>
      </c>
      <c r="G63" s="34" t="s">
        <v>51</v>
      </c>
      <c r="H63" s="34" t="s">
        <v>27</v>
      </c>
      <c r="I63" s="34" t="s">
        <v>27</v>
      </c>
      <c r="J63" s="34" t="s">
        <v>27</v>
      </c>
      <c r="K63" s="34" t="s">
        <v>51</v>
      </c>
      <c r="L63" s="34" t="s">
        <v>51</v>
      </c>
      <c r="M63" s="34" t="s">
        <v>197</v>
      </c>
      <c r="N63" s="40">
        <v>45576</v>
      </c>
      <c r="O63" s="39">
        <f ca="1">YEARFRAC(TODAY(),Table1[[#This Row],[تاريخ الإلتحاق]],1)</f>
        <v>1.2175102599179206</v>
      </c>
      <c r="P63" s="39">
        <f ca="1">IF(Table1[[#This Row],[فترة العمل بالشركة]]&lt;=5,Table1[[#This Row],[فترة العمل بالشركة]]*21,(((Table1[[#This Row],[فترة العمل بالشركة]]-5)*30)+(5*21)))</f>
        <v>25.567715458276332</v>
      </c>
      <c r="Q63" s="34">
        <f>'10059'!E37</f>
        <v>6</v>
      </c>
      <c r="R63" s="39">
        <f ca="1">Table1[[#This Row],[رصيد الاجازة المستحق]]-Table1[[#This Row],[رصيد الاجازة المستخدم]]</f>
        <v>19.567715458276332</v>
      </c>
      <c r="S63" s="39">
        <f ca="1">Table1[[#This Row],[رصيد الاجازة الحالي]]/30*Table1[[#This Row],[إجمالي الأجر]]</f>
        <v>2609.0287277701777</v>
      </c>
      <c r="T6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2435.0205198358412</v>
      </c>
    </row>
    <row r="64" spans="1:20" ht="20.100000000000001" customHeight="1">
      <c r="A64">
        <v>10060</v>
      </c>
      <c r="B64" s="34" t="s">
        <v>236</v>
      </c>
      <c r="C64" s="34" t="s">
        <v>237</v>
      </c>
      <c r="D64" s="34" t="s">
        <v>48</v>
      </c>
      <c r="E64" s="34" t="s">
        <v>49</v>
      </c>
      <c r="F64" s="34" t="s">
        <v>238</v>
      </c>
      <c r="G64" s="34" t="s">
        <v>51</v>
      </c>
      <c r="H64" s="34" t="s">
        <v>27</v>
      </c>
      <c r="I64" s="34" t="s">
        <v>27</v>
      </c>
      <c r="J64" s="34" t="s">
        <v>27</v>
      </c>
      <c r="K64" s="34" t="s">
        <v>51</v>
      </c>
      <c r="L64" s="34" t="s">
        <v>51</v>
      </c>
      <c r="M64" s="34" t="s">
        <v>197</v>
      </c>
      <c r="N64" s="40">
        <v>45578</v>
      </c>
      <c r="O64" s="39">
        <f ca="1">YEARFRAC(TODAY(),Table1[[#This Row],[تاريخ الإلتحاق]],1)</f>
        <v>1.2120383036935705</v>
      </c>
      <c r="P64" s="39">
        <f ca="1">IF(Table1[[#This Row],[فترة العمل بالشركة]]&lt;=5,Table1[[#This Row],[فترة العمل بالشركة]]*21,(((Table1[[#This Row],[فترة العمل بالشركة]]-5)*30)+(5*21)))</f>
        <v>25.452804377564981</v>
      </c>
      <c r="Q64" s="34">
        <f>'10060'!E37</f>
        <v>5</v>
      </c>
      <c r="R64" s="39">
        <f ca="1">Table1[[#This Row],[رصيد الاجازة المستحق]]-Table1[[#This Row],[رصيد الاجازة المستخدم]]</f>
        <v>20.452804377564981</v>
      </c>
      <c r="S64" s="39">
        <f ca="1">Table1[[#This Row],[رصيد الاجازة الحالي]]/30*Table1[[#This Row],[إجمالي الأجر]]</f>
        <v>2727.0405836753307</v>
      </c>
      <c r="T6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2424.0766073871409</v>
      </c>
    </row>
    <row r="65" spans="1:20" ht="20.100000000000001" customHeight="1">
      <c r="A65">
        <v>10061</v>
      </c>
      <c r="B65" s="34" t="s">
        <v>239</v>
      </c>
      <c r="C65" s="34" t="s">
        <v>240</v>
      </c>
      <c r="D65" s="34" t="s">
        <v>48</v>
      </c>
      <c r="E65" s="34" t="s">
        <v>49</v>
      </c>
      <c r="F65" s="34" t="s">
        <v>241</v>
      </c>
      <c r="G65" s="34" t="s">
        <v>242</v>
      </c>
      <c r="H65" s="34" t="s">
        <v>243</v>
      </c>
      <c r="I65" s="34" t="s">
        <v>27</v>
      </c>
      <c r="J65" s="34" t="s">
        <v>27</v>
      </c>
      <c r="K65" s="34" t="s">
        <v>51</v>
      </c>
      <c r="L65" s="34" t="s">
        <v>51</v>
      </c>
      <c r="M65" s="34" t="s">
        <v>127</v>
      </c>
      <c r="N65" s="40">
        <v>45594</v>
      </c>
      <c r="O65" s="39">
        <f ca="1">YEARFRAC(TODAY(),Table1[[#This Row],[تاريخ الإلتحاق]],1)</f>
        <v>1.1682626538987688</v>
      </c>
      <c r="P65" s="39">
        <f ca="1">IF(Table1[[#This Row],[فترة العمل بالشركة]]&lt;=5,Table1[[#This Row],[فترة العمل بالشركة]]*21,(((Table1[[#This Row],[فترة العمل بالشركة]]-5)*30)+(5*21)))</f>
        <v>24.533515731874147</v>
      </c>
      <c r="Q65" s="34">
        <f>'10061'!E37</f>
        <v>7</v>
      </c>
      <c r="R65" s="39">
        <f ca="1">Table1[[#This Row],[رصيد الاجازة المستحق]]-Table1[[#This Row],[رصيد الاجازة المستخدم]]</f>
        <v>17.533515731874147</v>
      </c>
      <c r="S65" s="39">
        <f ca="1">Table1[[#This Row],[رصيد الاجازة الحالي]]/30*Table1[[#This Row],[إجمالي الأجر]]</f>
        <v>2337.8020975832196</v>
      </c>
      <c r="T6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2336.5253077975376</v>
      </c>
    </row>
    <row r="66" spans="1:20" ht="20.100000000000001" customHeight="1">
      <c r="A66">
        <v>10062</v>
      </c>
      <c r="B66" s="34" t="s">
        <v>244</v>
      </c>
      <c r="C66" s="34" t="s">
        <v>245</v>
      </c>
      <c r="D66" s="34" t="s">
        <v>48</v>
      </c>
      <c r="E66" s="34" t="s">
        <v>49</v>
      </c>
      <c r="F66" s="34" t="s">
        <v>246</v>
      </c>
      <c r="G66" s="34" t="s">
        <v>242</v>
      </c>
      <c r="H66" s="34" t="s">
        <v>243</v>
      </c>
      <c r="I66" s="34" t="s">
        <v>27</v>
      </c>
      <c r="J66" s="34" t="s">
        <v>27</v>
      </c>
      <c r="K66" s="34" t="s">
        <v>51</v>
      </c>
      <c r="L66" s="34" t="s">
        <v>51</v>
      </c>
      <c r="M66" s="34" t="s">
        <v>197</v>
      </c>
      <c r="N66" s="40">
        <v>45620</v>
      </c>
      <c r="O66" s="39">
        <f ca="1">YEARFRAC(TODAY(),Table1[[#This Row],[تاريخ الإلتحاق]],1)</f>
        <v>1.0971272229822162</v>
      </c>
      <c r="P66" s="39">
        <f ca="1">IF(Table1[[#This Row],[فترة العمل بالشركة]]&lt;=5,Table1[[#This Row],[فترة العمل بالشركة]]*21,(((Table1[[#This Row],[فترة العمل بالشركة]]-5)*30)+(5*21)))</f>
        <v>23.03967168262654</v>
      </c>
      <c r="Q66" s="34">
        <f>'10062'!E37</f>
        <v>2</v>
      </c>
      <c r="R66" s="39">
        <f ca="1">Table1[[#This Row],[رصيد الاجازة المستحق]]-Table1[[#This Row],[رصيد الاجازة المستخدم]]</f>
        <v>21.03967168262654</v>
      </c>
      <c r="S66" s="39">
        <f ca="1">Table1[[#This Row],[رصيد الاجازة الحالي]]/30*Table1[[#This Row],[إجمالي الأجر]]</f>
        <v>2805.2895576835385</v>
      </c>
      <c r="T6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2194.2544459644323</v>
      </c>
    </row>
    <row r="67" spans="1:20" ht="20.100000000000001" customHeight="1">
      <c r="A67">
        <v>10063</v>
      </c>
      <c r="B67" s="34" t="s">
        <v>247</v>
      </c>
      <c r="C67" s="34" t="s">
        <v>248</v>
      </c>
      <c r="D67" s="34" t="s">
        <v>48</v>
      </c>
      <c r="E67" s="34" t="s">
        <v>49</v>
      </c>
      <c r="F67" s="34" t="s">
        <v>249</v>
      </c>
      <c r="G67" s="34" t="s">
        <v>242</v>
      </c>
      <c r="H67" s="34" t="s">
        <v>243</v>
      </c>
      <c r="I67" s="34" t="s">
        <v>27</v>
      </c>
      <c r="J67" s="34" t="s">
        <v>27</v>
      </c>
      <c r="K67" s="34" t="s">
        <v>51</v>
      </c>
      <c r="L67" s="34" t="s">
        <v>51</v>
      </c>
      <c r="M67" s="34" t="s">
        <v>197</v>
      </c>
      <c r="N67" s="40">
        <v>45632</v>
      </c>
      <c r="O67" s="39">
        <f ca="1">YEARFRAC(TODAY(),Table1[[#This Row],[تاريخ الإلتحاق]],1)</f>
        <v>1.0642954856361149</v>
      </c>
      <c r="P67" s="39">
        <f ca="1">IF(Table1[[#This Row],[فترة العمل بالشركة]]&lt;=5,Table1[[#This Row],[فترة العمل بالشركة]]*21,(((Table1[[#This Row],[فترة العمل بالشركة]]-5)*30)+(5*21)))</f>
        <v>22.350205198358413</v>
      </c>
      <c r="Q67" s="34">
        <f>'10063'!E37</f>
        <v>1</v>
      </c>
      <c r="R67" s="39">
        <f ca="1">Table1[[#This Row],[رصيد الاجازة المستحق]]-Table1[[#This Row],[رصيد الاجازة المستخدم]]</f>
        <v>21.350205198358413</v>
      </c>
      <c r="S67" s="39">
        <f ca="1">Table1[[#This Row],[رصيد الاجازة الحالي]]/30*Table1[[#This Row],[إجمالي الأجر]]</f>
        <v>2846.694026447788</v>
      </c>
      <c r="T6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2128.5909712722296</v>
      </c>
    </row>
    <row r="68" spans="1:20" ht="20.100000000000001" customHeight="1">
      <c r="A68">
        <v>10064</v>
      </c>
      <c r="B68" s="34" t="s">
        <v>250</v>
      </c>
      <c r="C68" s="34" t="s">
        <v>251</v>
      </c>
      <c r="D68" s="34" t="s">
        <v>31</v>
      </c>
      <c r="E68" s="34" t="s">
        <v>24</v>
      </c>
      <c r="F68" s="34" t="s">
        <v>252</v>
      </c>
      <c r="G68" s="34" t="s">
        <v>92</v>
      </c>
      <c r="H68" s="34" t="s">
        <v>27</v>
      </c>
      <c r="I68" s="34" t="s">
        <v>27</v>
      </c>
      <c r="J68" s="34" t="s">
        <v>27</v>
      </c>
      <c r="K68" s="34" t="s">
        <v>92</v>
      </c>
      <c r="L68" s="34" t="s">
        <v>92</v>
      </c>
      <c r="M68" s="34" t="s">
        <v>253</v>
      </c>
      <c r="N68" s="40">
        <v>45643</v>
      </c>
      <c r="O68" s="39">
        <f ca="1">YEARFRAC(TODAY(),Table1[[#This Row],[تاريخ الإلتحاق]],1)</f>
        <v>1.0341997264021887</v>
      </c>
      <c r="P68" s="39">
        <f ca="1">IF(Table1[[#This Row],[فترة العمل بالشركة]]&lt;=5,Table1[[#This Row],[فترة العمل بالشركة]]*21,(((Table1[[#This Row],[فترة العمل بالشركة]]-5)*30)+(5*21)))</f>
        <v>21.718194254445962</v>
      </c>
      <c r="Q68" s="34">
        <f>'10064'!E37</f>
        <v>0</v>
      </c>
      <c r="R68" s="39">
        <f ca="1">Table1[[#This Row],[رصيد الاجازة المستحق]]-Table1[[#This Row],[رصيد الاجازة المستخدم]]</f>
        <v>21.718194254445962</v>
      </c>
      <c r="S68" s="39">
        <f ca="1">Table1[[#This Row],[رصيد الاجازة الحالي]]/30*Table1[[#This Row],[إجمالي الأجر]]</f>
        <v>1882.2435020519833</v>
      </c>
      <c r="T6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1344.4596443228454</v>
      </c>
    </row>
    <row r="69" spans="1:20" ht="20.100000000000001" customHeight="1">
      <c r="A69">
        <v>10065</v>
      </c>
      <c r="B69" s="34" t="s">
        <v>254</v>
      </c>
      <c r="C69" s="34" t="s">
        <v>255</v>
      </c>
      <c r="D69" s="34" t="s">
        <v>31</v>
      </c>
      <c r="E69" s="34" t="s">
        <v>24</v>
      </c>
      <c r="F69" s="34" t="s">
        <v>256</v>
      </c>
      <c r="G69" s="34" t="s">
        <v>92</v>
      </c>
      <c r="H69" s="34" t="s">
        <v>27</v>
      </c>
      <c r="I69" s="34" t="s">
        <v>27</v>
      </c>
      <c r="J69" s="34" t="s">
        <v>27</v>
      </c>
      <c r="K69" s="34" t="s">
        <v>92</v>
      </c>
      <c r="L69" s="34" t="s">
        <v>92</v>
      </c>
      <c r="M69" s="34" t="s">
        <v>153</v>
      </c>
      <c r="N69" s="40">
        <v>45648</v>
      </c>
      <c r="O69" s="39">
        <f ca="1">YEARFRAC(TODAY(),Table1[[#This Row],[تاريخ الإلتحاق]],1)</f>
        <v>1.0205198358413132</v>
      </c>
      <c r="P69" s="39">
        <f ca="1">IF(Table1[[#This Row],[فترة العمل بالشركة]]&lt;=5,Table1[[#This Row],[فترة العمل بالشركة]]*21,(((Table1[[#This Row],[فترة العمل بالشركة]]-5)*30)+(5*21)))</f>
        <v>21.430916552667579</v>
      </c>
      <c r="Q69" s="34">
        <f>'10065'!E37</f>
        <v>0</v>
      </c>
      <c r="R69" s="39">
        <f ca="1">Table1[[#This Row],[رصيد الاجازة المستحق]]-Table1[[#This Row],[رصيد الاجازة المستخدم]]</f>
        <v>21.430916552667579</v>
      </c>
      <c r="S69" s="39">
        <f ca="1">Table1[[#This Row],[رصيد الاجازة الحالي]]/30*Table1[[#This Row],[إجمالي الأجر]]</f>
        <v>1857.3461012311902</v>
      </c>
      <c r="T6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1326.6757865937072</v>
      </c>
    </row>
    <row r="70" spans="1:20" ht="20.100000000000001" customHeight="1">
      <c r="A70">
        <v>10066</v>
      </c>
      <c r="B70" s="34" t="s">
        <v>257</v>
      </c>
      <c r="C70" s="34" t="s">
        <v>258</v>
      </c>
      <c r="D70" s="34" t="s">
        <v>48</v>
      </c>
      <c r="E70" s="34" t="s">
        <v>49</v>
      </c>
      <c r="F70" s="34" t="s">
        <v>259</v>
      </c>
      <c r="G70" s="34" t="s">
        <v>242</v>
      </c>
      <c r="H70" s="34" t="s">
        <v>243</v>
      </c>
      <c r="I70" s="34" t="s">
        <v>27</v>
      </c>
      <c r="J70" s="34" t="s">
        <v>27</v>
      </c>
      <c r="K70" s="34" t="s">
        <v>51</v>
      </c>
      <c r="L70" s="34" t="s">
        <v>51</v>
      </c>
      <c r="M70" s="34" t="s">
        <v>127</v>
      </c>
      <c r="N70" s="40">
        <v>45654</v>
      </c>
      <c r="O70" s="39">
        <f ca="1">YEARFRAC(TODAY(),Table1[[#This Row],[تاريخ الإلتحاق]],1)</f>
        <v>1.0041039671682626</v>
      </c>
      <c r="P70" s="39">
        <f ca="1">IF(Table1[[#This Row],[فترة العمل بالشركة]]&lt;=5,Table1[[#This Row],[فترة العمل بالشركة]]*21,(((Table1[[#This Row],[فترة العمل بالشركة]]-5)*30)+(5*21)))</f>
        <v>21.086183310533514</v>
      </c>
      <c r="Q70" s="34">
        <f>'10066'!E37</f>
        <v>0</v>
      </c>
      <c r="R70" s="39">
        <f ca="1">Table1[[#This Row],[رصيد الاجازة المستحق]]-Table1[[#This Row],[رصيد الاجازة المستخدم]]</f>
        <v>21.086183310533514</v>
      </c>
      <c r="S70" s="39">
        <f ca="1">Table1[[#This Row],[رصيد الاجازة الحالي]]/30*Table1[[#This Row],[إجمالي الأجر]]</f>
        <v>2811.4911080711354</v>
      </c>
      <c r="T7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2008.2079343365251</v>
      </c>
    </row>
    <row r="71" spans="1:20" ht="20.100000000000001" customHeight="1">
      <c r="A71">
        <v>10067</v>
      </c>
      <c r="B71" s="34" t="s">
        <v>260</v>
      </c>
      <c r="C71" s="34" t="s">
        <v>261</v>
      </c>
      <c r="D71" s="34" t="s">
        <v>262</v>
      </c>
      <c r="E71" s="34" t="s">
        <v>24</v>
      </c>
      <c r="F71" s="34" t="s">
        <v>263</v>
      </c>
      <c r="G71" s="34" t="s">
        <v>33</v>
      </c>
      <c r="H71" s="34" t="s">
        <v>27</v>
      </c>
      <c r="I71" s="34" t="s">
        <v>27</v>
      </c>
      <c r="J71" s="34" t="s">
        <v>27</v>
      </c>
      <c r="K71" s="34" t="s">
        <v>33</v>
      </c>
      <c r="L71" s="34" t="s">
        <v>33</v>
      </c>
      <c r="M71" s="34" t="s">
        <v>28</v>
      </c>
      <c r="N71" s="40">
        <v>45677</v>
      </c>
      <c r="O71" s="39">
        <f ca="1">YEARFRAC(TODAY(),Table1[[#This Row],[تاريخ الإلتحاق]],1)</f>
        <v>0.94246575342465755</v>
      </c>
      <c r="P71" s="39">
        <f ca="1">IF(Table1[[#This Row],[فترة العمل بالشركة]]&lt;=5,Table1[[#This Row],[فترة العمل بالشركة]]*21,(((Table1[[#This Row],[فترة العمل بالشركة]]-5)*30)+(5*21)))</f>
        <v>19.791780821917808</v>
      </c>
      <c r="Q71" s="34">
        <f>'10067'!E37</f>
        <v>0</v>
      </c>
      <c r="R71" s="39">
        <f ca="1">Table1[[#This Row],[رصيد الاجازة المستحق]]-Table1[[#This Row],[رصيد الاجازة المستخدم]]</f>
        <v>19.791780821917808</v>
      </c>
      <c r="S71" s="39">
        <f ca="1">Table1[[#This Row],[رصيد الاجازة الحالي]]/30*Table1[[#This Row],[إجمالي الأجر]]</f>
        <v>2309.0410958904108</v>
      </c>
      <c r="T7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1649.3150684931506</v>
      </c>
    </row>
    <row r="72" spans="1:20" ht="20.100000000000001" customHeight="1">
      <c r="A72">
        <v>10068</v>
      </c>
      <c r="B72" s="34" t="s">
        <v>264</v>
      </c>
      <c r="C72" s="34" t="s">
        <v>265</v>
      </c>
      <c r="D72" s="34" t="s">
        <v>262</v>
      </c>
      <c r="E72" s="34" t="s">
        <v>24</v>
      </c>
      <c r="F72" s="34" t="s">
        <v>266</v>
      </c>
      <c r="G72" s="34" t="s">
        <v>26</v>
      </c>
      <c r="H72" s="34" t="s">
        <v>27</v>
      </c>
      <c r="I72" s="34" t="s">
        <v>27</v>
      </c>
      <c r="J72" s="34" t="s">
        <v>27</v>
      </c>
      <c r="K72" s="34" t="s">
        <v>26</v>
      </c>
      <c r="L72" s="34" t="s">
        <v>26</v>
      </c>
      <c r="M72" s="34" t="s">
        <v>267</v>
      </c>
      <c r="N72" s="40">
        <v>45680</v>
      </c>
      <c r="O72" s="39">
        <f ca="1">YEARFRAC(TODAY(),Table1[[#This Row],[تاريخ الإلتحاق]],1)</f>
        <v>0.9342465753424658</v>
      </c>
      <c r="P72" s="39">
        <f ca="1">IF(Table1[[#This Row],[فترة العمل بالشركة]]&lt;=5,Table1[[#This Row],[فترة العمل بالشركة]]*21,(((Table1[[#This Row],[فترة العمل بالشركة]]-5)*30)+(5*21)))</f>
        <v>19.61917808219178</v>
      </c>
      <c r="Q72" s="34">
        <f>'10068'!E37</f>
        <v>0</v>
      </c>
      <c r="R72" s="39">
        <f ca="1">Table1[[#This Row],[رصيد الاجازة المستحق]]-Table1[[#This Row],[رصيد الاجازة المستخدم]]</f>
        <v>19.61917808219178</v>
      </c>
      <c r="S72" s="39">
        <f ca="1">Table1[[#This Row],[رصيد الاجازة الحالي]]/30*Table1[[#This Row],[إجمالي الأجر]]</f>
        <v>1438.7397260273972</v>
      </c>
      <c r="T7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1027.6712328767123</v>
      </c>
    </row>
    <row r="73" spans="1:20" ht="20.100000000000001" customHeight="1">
      <c r="A73">
        <v>10069</v>
      </c>
      <c r="B73" s="34" t="s">
        <v>268</v>
      </c>
      <c r="C73" s="34" t="s">
        <v>269</v>
      </c>
      <c r="D73" s="34" t="s">
        <v>48</v>
      </c>
      <c r="E73" s="34" t="s">
        <v>49</v>
      </c>
      <c r="F73" s="34" t="s">
        <v>270</v>
      </c>
      <c r="G73" s="34" t="s">
        <v>242</v>
      </c>
      <c r="H73" s="34" t="s">
        <v>243</v>
      </c>
      <c r="I73" s="34" t="s">
        <v>27</v>
      </c>
      <c r="J73" s="34" t="s">
        <v>27</v>
      </c>
      <c r="K73" s="34" t="s">
        <v>51</v>
      </c>
      <c r="L73" s="34" t="s">
        <v>51</v>
      </c>
      <c r="M73" s="34" t="s">
        <v>197</v>
      </c>
      <c r="N73" s="40">
        <v>45689</v>
      </c>
      <c r="O73" s="39">
        <f ca="1">YEARFRAC(TODAY(),Table1[[#This Row],[تاريخ الإلتحاق]],1)</f>
        <v>0.90958904109589045</v>
      </c>
      <c r="P73" s="39">
        <f ca="1">IF(Table1[[#This Row],[فترة العمل بالشركة]]&lt;=5,Table1[[#This Row],[فترة العمل بالشركة]]*21,(((Table1[[#This Row],[فترة العمل بالشركة]]-5)*30)+(5*21)))</f>
        <v>19.101369863013698</v>
      </c>
      <c r="Q73" s="34">
        <f>'10069'!E37</f>
        <v>1</v>
      </c>
      <c r="R73" s="39">
        <f ca="1">Table1[[#This Row],[رصيد الاجازة المستحق]]-Table1[[#This Row],[رصيد الاجازة المستخدم]]</f>
        <v>18.101369863013698</v>
      </c>
      <c r="S73" s="39">
        <f ca="1">Table1[[#This Row],[رصيد الاجازة الحالي]]/30*Table1[[#This Row],[إجمالي الأجر]]</f>
        <v>2413.5159817351596</v>
      </c>
      <c r="T7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1819.178082191781</v>
      </c>
    </row>
    <row r="74" spans="1:20" ht="20.100000000000001" customHeight="1">
      <c r="A74">
        <v>10070</v>
      </c>
      <c r="B74" s="34" t="s">
        <v>271</v>
      </c>
      <c r="C74" s="34" t="s">
        <v>272</v>
      </c>
      <c r="D74" s="34" t="s">
        <v>48</v>
      </c>
      <c r="E74" s="34" t="s">
        <v>49</v>
      </c>
      <c r="F74" s="34" t="s">
        <v>273</v>
      </c>
      <c r="G74" s="34" t="s">
        <v>242</v>
      </c>
      <c r="H74" s="34" t="s">
        <v>243</v>
      </c>
      <c r="I74" s="34" t="s">
        <v>27</v>
      </c>
      <c r="J74" s="34" t="s">
        <v>27</v>
      </c>
      <c r="K74" s="34" t="s">
        <v>51</v>
      </c>
      <c r="L74" s="34" t="s">
        <v>51</v>
      </c>
      <c r="M74" s="34" t="s">
        <v>127</v>
      </c>
      <c r="N74" s="40">
        <v>45722</v>
      </c>
      <c r="O74" s="39">
        <f ca="1">YEARFRAC(TODAY(),Table1[[#This Row],[تاريخ الإلتحاق]],1)</f>
        <v>0.81917808219178079</v>
      </c>
      <c r="P74" s="39">
        <f ca="1">IF(Table1[[#This Row],[فترة العمل بالشركة]]&lt;=5,Table1[[#This Row],[فترة العمل بالشركة]]*21,(((Table1[[#This Row],[فترة العمل بالشركة]]-5)*30)+(5*21)))</f>
        <v>17.202739726027396</v>
      </c>
      <c r="Q74" s="34">
        <f>'10070'!E37</f>
        <v>0</v>
      </c>
      <c r="R74" s="39">
        <f ca="1">Table1[[#This Row],[رصيد الاجازة المستحق]]-Table1[[#This Row],[رصيد الاجازة المستخدم]]</f>
        <v>17.202739726027396</v>
      </c>
      <c r="S74" s="39">
        <f ca="1">Table1[[#This Row],[رصيد الاجازة الحالي]]/30*Table1[[#This Row],[إجمالي الأجر]]</f>
        <v>2293.6986301369861</v>
      </c>
      <c r="T74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1638.3561643835615</v>
      </c>
    </row>
    <row r="75" spans="1:20" ht="20.100000000000001" customHeight="1">
      <c r="A75">
        <v>10071</v>
      </c>
      <c r="B75" s="34" t="s">
        <v>274</v>
      </c>
      <c r="C75" s="34" t="s">
        <v>275</v>
      </c>
      <c r="D75" s="34" t="s">
        <v>48</v>
      </c>
      <c r="E75" s="34" t="s">
        <v>49</v>
      </c>
      <c r="F75" s="34" t="s">
        <v>276</v>
      </c>
      <c r="G75" s="34" t="s">
        <v>242</v>
      </c>
      <c r="H75" s="34" t="s">
        <v>243</v>
      </c>
      <c r="I75" s="34" t="s">
        <v>27</v>
      </c>
      <c r="J75" s="34" t="s">
        <v>27</v>
      </c>
      <c r="K75" s="34" t="s">
        <v>51</v>
      </c>
      <c r="L75" s="34" t="s">
        <v>51</v>
      </c>
      <c r="M75" s="34" t="s">
        <v>127</v>
      </c>
      <c r="N75" s="40">
        <v>45731</v>
      </c>
      <c r="O75" s="39">
        <f ca="1">YEARFRAC(TODAY(),Table1[[#This Row],[تاريخ الإلتحاق]],1)</f>
        <v>0.79452054794520544</v>
      </c>
      <c r="P75" s="39">
        <f ca="1">IF(Table1[[#This Row],[فترة العمل بالشركة]]&lt;=5,Table1[[#This Row],[فترة العمل بالشركة]]*21,(((Table1[[#This Row],[فترة العمل بالشركة]]-5)*30)+(5*21)))</f>
        <v>16.684931506849313</v>
      </c>
      <c r="Q75" s="34">
        <f>'10071'!E37</f>
        <v>0</v>
      </c>
      <c r="R75" s="39">
        <f ca="1">Table1[[#This Row],[رصيد الاجازة المستحق]]-Table1[[#This Row],[رصيد الاجازة المستخدم]]</f>
        <v>16.684931506849313</v>
      </c>
      <c r="S75" s="39">
        <f ca="1">Table1[[#This Row],[رصيد الاجازة الحالي]]/30*Table1[[#This Row],[إجمالي الأجر]]</f>
        <v>2224.6575342465749</v>
      </c>
      <c r="T75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1589.0410958904108</v>
      </c>
    </row>
    <row r="76" spans="1:20" ht="20.100000000000001" customHeight="1">
      <c r="A76">
        <v>10072</v>
      </c>
      <c r="B76" s="34" t="s">
        <v>277</v>
      </c>
      <c r="C76" s="34" t="s">
        <v>278</v>
      </c>
      <c r="D76" s="34" t="s">
        <v>48</v>
      </c>
      <c r="E76" s="34" t="s">
        <v>49</v>
      </c>
      <c r="F76" s="34" t="s">
        <v>279</v>
      </c>
      <c r="G76" s="34" t="s">
        <v>242</v>
      </c>
      <c r="H76" s="34" t="s">
        <v>243</v>
      </c>
      <c r="I76" s="34" t="s">
        <v>27</v>
      </c>
      <c r="J76" s="34" t="s">
        <v>27</v>
      </c>
      <c r="K76" s="34" t="s">
        <v>51</v>
      </c>
      <c r="L76" s="34" t="s">
        <v>51</v>
      </c>
      <c r="M76" s="34" t="s">
        <v>127</v>
      </c>
      <c r="N76" s="40">
        <v>45736</v>
      </c>
      <c r="O76" s="39">
        <f ca="1">YEARFRAC(TODAY(),Table1[[#This Row],[تاريخ الإلتحاق]],1)</f>
        <v>0.78082191780821919</v>
      </c>
      <c r="P76" s="39">
        <f ca="1">IF(Table1[[#This Row],[فترة العمل بالشركة]]&lt;=5,Table1[[#This Row],[فترة العمل بالشركة]]*21,(((Table1[[#This Row],[فترة العمل بالشركة]]-5)*30)+(5*21)))</f>
        <v>16.397260273972602</v>
      </c>
      <c r="Q76" s="34">
        <f>'10072'!E37</f>
        <v>1</v>
      </c>
      <c r="R76" s="39">
        <f ca="1">Table1[[#This Row],[رصيد الاجازة المستحق]]-Table1[[#This Row],[رصيد الاجازة المستخدم]]</f>
        <v>15.397260273972602</v>
      </c>
      <c r="S76" s="39">
        <f ca="1">Table1[[#This Row],[رصيد الاجازة الحالي]]/30*Table1[[#This Row],[إجمالي الأجر]]</f>
        <v>2052.9680365296799</v>
      </c>
      <c r="T76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1561.6438356164383</v>
      </c>
    </row>
    <row r="77" spans="1:20" ht="20.100000000000001" customHeight="1">
      <c r="A77">
        <v>10073</v>
      </c>
      <c r="B77" s="34" t="s">
        <v>280</v>
      </c>
      <c r="C77" s="34" t="s">
        <v>281</v>
      </c>
      <c r="D77" s="34" t="s">
        <v>48</v>
      </c>
      <c r="E77" s="34" t="s">
        <v>49</v>
      </c>
      <c r="F77" s="34" t="s">
        <v>282</v>
      </c>
      <c r="G77" s="34" t="s">
        <v>242</v>
      </c>
      <c r="H77" s="34" t="s">
        <v>243</v>
      </c>
      <c r="I77" s="34" t="s">
        <v>27</v>
      </c>
      <c r="J77" s="34" t="s">
        <v>27</v>
      </c>
      <c r="K77" s="34" t="s">
        <v>51</v>
      </c>
      <c r="L77" s="34" t="s">
        <v>51</v>
      </c>
      <c r="M77" s="34" t="s">
        <v>127</v>
      </c>
      <c r="N77" s="40">
        <v>45738</v>
      </c>
      <c r="O77" s="39">
        <f ca="1">YEARFRAC(TODAY(),Table1[[#This Row],[تاريخ الإلتحاق]],1)</f>
        <v>0.77534246575342469</v>
      </c>
      <c r="P77" s="39">
        <f ca="1">IF(Table1[[#This Row],[فترة العمل بالشركة]]&lt;=5,Table1[[#This Row],[فترة العمل بالشركة]]*21,(((Table1[[#This Row],[فترة العمل بالشركة]]-5)*30)+(5*21)))</f>
        <v>16.282191780821918</v>
      </c>
      <c r="Q77" s="34">
        <f>'10073'!E37</f>
        <v>0</v>
      </c>
      <c r="R77" s="39">
        <f ca="1">Table1[[#This Row],[رصيد الاجازة المستحق]]-Table1[[#This Row],[رصيد الاجازة المستخدم]]</f>
        <v>16.282191780821918</v>
      </c>
      <c r="S77" s="39">
        <f ca="1">Table1[[#This Row],[رصيد الاجازة الحالي]]/30*Table1[[#This Row],[إجمالي الأجر]]</f>
        <v>2170.9589041095892</v>
      </c>
      <c r="T77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1550.6849315068494</v>
      </c>
    </row>
    <row r="78" spans="1:20" ht="20.100000000000001" customHeight="1">
      <c r="A78">
        <v>10074</v>
      </c>
      <c r="B78" s="34" t="s">
        <v>283</v>
      </c>
      <c r="C78" s="34" t="s">
        <v>284</v>
      </c>
      <c r="D78" s="34" t="s">
        <v>48</v>
      </c>
      <c r="E78" s="34" t="s">
        <v>49</v>
      </c>
      <c r="F78" s="34" t="s">
        <v>285</v>
      </c>
      <c r="G78" s="34" t="s">
        <v>242</v>
      </c>
      <c r="H78" s="34" t="s">
        <v>243</v>
      </c>
      <c r="I78" s="34" t="s">
        <v>27</v>
      </c>
      <c r="J78" s="34" t="s">
        <v>27</v>
      </c>
      <c r="K78" s="34" t="s">
        <v>51</v>
      </c>
      <c r="L78" s="34" t="s">
        <v>51</v>
      </c>
      <c r="M78" s="34" t="s">
        <v>127</v>
      </c>
      <c r="N78" s="40">
        <v>45739</v>
      </c>
      <c r="O78" s="39">
        <f ca="1">YEARFRAC(TODAY(),Table1[[#This Row],[تاريخ الإلتحاق]],1)</f>
        <v>0.77260273972602744</v>
      </c>
      <c r="P78" s="39">
        <f ca="1">IF(Table1[[#This Row],[فترة العمل بالشركة]]&lt;=5,Table1[[#This Row],[فترة العمل بالشركة]]*21,(((Table1[[#This Row],[فترة العمل بالشركة]]-5)*30)+(5*21)))</f>
        <v>16.224657534246575</v>
      </c>
      <c r="Q78" s="34">
        <f>'10074'!E37</f>
        <v>0</v>
      </c>
      <c r="R78" s="39">
        <f ca="1">Table1[[#This Row],[رصيد الاجازة المستحق]]-Table1[[#This Row],[رصيد الاجازة المستخدم]]</f>
        <v>16.224657534246575</v>
      </c>
      <c r="S78" s="39">
        <f ca="1">Table1[[#This Row],[رصيد الاجازة الحالي]]/30*Table1[[#This Row],[إجمالي الأجر]]</f>
        <v>2163.2876712328766</v>
      </c>
      <c r="T78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1545.205479452055</v>
      </c>
    </row>
    <row r="79" spans="1:20" ht="20.100000000000001" customHeight="1">
      <c r="A79">
        <v>10075</v>
      </c>
      <c r="B79" s="34" t="s">
        <v>286</v>
      </c>
      <c r="C79" s="34" t="s">
        <v>287</v>
      </c>
      <c r="D79" s="34" t="s">
        <v>31</v>
      </c>
      <c r="E79" s="34" t="s">
        <v>24</v>
      </c>
      <c r="F79" s="34" t="s">
        <v>288</v>
      </c>
      <c r="G79" s="34" t="s">
        <v>92</v>
      </c>
      <c r="H79" s="34" t="s">
        <v>27</v>
      </c>
      <c r="I79" s="34" t="s">
        <v>27</v>
      </c>
      <c r="J79" s="34" t="s">
        <v>27</v>
      </c>
      <c r="K79" s="34" t="s">
        <v>92</v>
      </c>
      <c r="L79" s="34" t="s">
        <v>92</v>
      </c>
      <c r="M79" s="34" t="s">
        <v>76</v>
      </c>
      <c r="N79" s="40">
        <v>45748</v>
      </c>
      <c r="O79" s="39">
        <f ca="1">YEARFRAC(TODAY(),Table1[[#This Row],[تاريخ الإلتحاق]],1)</f>
        <v>0.74794520547945209</v>
      </c>
      <c r="P79" s="39">
        <f ca="1">IF(Table1[[#This Row],[فترة العمل بالشركة]]&lt;=5,Table1[[#This Row],[فترة العمل بالشركة]]*21,(((Table1[[#This Row],[فترة العمل بالشركة]]-5)*30)+(5*21)))</f>
        <v>15.706849315068494</v>
      </c>
      <c r="Q79" s="34">
        <f>'10075'!E37</f>
        <v>0</v>
      </c>
      <c r="R79" s="39">
        <f ca="1">Table1[[#This Row],[رصيد الاجازة المستحق]]-Table1[[#This Row],[رصيد الاجازة المستخدم]]</f>
        <v>15.706849315068494</v>
      </c>
      <c r="S79" s="39">
        <f ca="1">Table1[[#This Row],[رصيد الاجازة الحالي]]/30*Table1[[#This Row],[إجمالي الأجر]]</f>
        <v>1361.2602739726028</v>
      </c>
      <c r="T79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972.32876712328766</v>
      </c>
    </row>
    <row r="80" spans="1:20" ht="20.100000000000001" customHeight="1">
      <c r="A80">
        <v>10076</v>
      </c>
      <c r="B80" s="34" t="s">
        <v>289</v>
      </c>
      <c r="C80" s="34" t="s">
        <v>290</v>
      </c>
      <c r="D80" s="34" t="s">
        <v>48</v>
      </c>
      <c r="E80" s="34" t="s">
        <v>49</v>
      </c>
      <c r="F80" s="34" t="s">
        <v>291</v>
      </c>
      <c r="G80" s="34" t="s">
        <v>242</v>
      </c>
      <c r="H80" s="34" t="s">
        <v>243</v>
      </c>
      <c r="I80" s="34" t="s">
        <v>27</v>
      </c>
      <c r="J80" s="34" t="s">
        <v>27</v>
      </c>
      <c r="K80" s="34" t="s">
        <v>51</v>
      </c>
      <c r="L80" s="34" t="s">
        <v>51</v>
      </c>
      <c r="M80" s="34" t="s">
        <v>127</v>
      </c>
      <c r="N80" s="40">
        <v>45750</v>
      </c>
      <c r="O80" s="39">
        <f ca="1">YEARFRAC(TODAY(),Table1[[#This Row],[تاريخ الإلتحاق]],1)</f>
        <v>0.74246575342465748</v>
      </c>
      <c r="P80" s="39">
        <f ca="1">IF(Table1[[#This Row],[فترة العمل بالشركة]]&lt;=5,Table1[[#This Row],[فترة العمل بالشركة]]*21,(((Table1[[#This Row],[فترة العمل بالشركة]]-5)*30)+(5*21)))</f>
        <v>15.591780821917807</v>
      </c>
      <c r="Q80" s="34">
        <f>'10076'!E37</f>
        <v>0</v>
      </c>
      <c r="R80" s="39">
        <f ca="1">Table1[[#This Row],[رصيد الاجازة المستحق]]-Table1[[#This Row],[رصيد الاجازة المستخدم]]</f>
        <v>15.591780821917807</v>
      </c>
      <c r="S80" s="39">
        <f ca="1">Table1[[#This Row],[رصيد الاجازة الحالي]]/30*Table1[[#This Row],[إجمالي الأجر]]</f>
        <v>2078.9041095890411</v>
      </c>
      <c r="T80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1484.9315068493149</v>
      </c>
    </row>
    <row r="81" spans="1:20" ht="20.100000000000001" customHeight="1">
      <c r="A81">
        <v>10077</v>
      </c>
      <c r="B81" s="34" t="s">
        <v>292</v>
      </c>
      <c r="C81" s="34" t="s">
        <v>293</v>
      </c>
      <c r="D81" s="34" t="s">
        <v>48</v>
      </c>
      <c r="E81" s="34" t="s">
        <v>49</v>
      </c>
      <c r="F81" s="34" t="s">
        <v>294</v>
      </c>
      <c r="G81" s="34" t="s">
        <v>242</v>
      </c>
      <c r="H81" s="34" t="s">
        <v>243</v>
      </c>
      <c r="I81" s="34" t="s">
        <v>27</v>
      </c>
      <c r="J81" s="34" t="s">
        <v>27</v>
      </c>
      <c r="K81" s="34" t="s">
        <v>51</v>
      </c>
      <c r="L81" s="34" t="s">
        <v>51</v>
      </c>
      <c r="M81" s="34" t="s">
        <v>127</v>
      </c>
      <c r="N81" s="40">
        <v>45752</v>
      </c>
      <c r="O81" s="39">
        <f ca="1">YEARFRAC(TODAY(),Table1[[#This Row],[تاريخ الإلتحاق]],1)</f>
        <v>0.73698630136986298</v>
      </c>
      <c r="P81" s="39">
        <f ca="1">IF(Table1[[#This Row],[فترة العمل بالشركة]]&lt;=5,Table1[[#This Row],[فترة العمل بالشركة]]*21,(((Table1[[#This Row],[فترة العمل بالشركة]]-5)*30)+(5*21)))</f>
        <v>15.476712328767123</v>
      </c>
      <c r="Q81" s="34">
        <f>'10077'!E37</f>
        <v>1</v>
      </c>
      <c r="R81" s="39">
        <f ca="1">Table1[[#This Row],[رصيد الاجازة المستحق]]-Table1[[#This Row],[رصيد الاجازة المستخدم]]</f>
        <v>14.476712328767123</v>
      </c>
      <c r="S81" s="39">
        <f ca="1">Table1[[#This Row],[رصيد الاجازة الحالي]]/30*Table1[[#This Row],[إجمالي الأجر]]</f>
        <v>1930.228310502283</v>
      </c>
      <c r="T81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1473.972602739726</v>
      </c>
    </row>
    <row r="82" spans="1:20" ht="20.100000000000001" customHeight="1">
      <c r="A82">
        <v>10078</v>
      </c>
      <c r="B82" s="34" t="s">
        <v>295</v>
      </c>
      <c r="C82" s="34" t="s">
        <v>296</v>
      </c>
      <c r="D82" s="34" t="s">
        <v>48</v>
      </c>
      <c r="E82" s="34" t="s">
        <v>49</v>
      </c>
      <c r="F82" s="34" t="s">
        <v>297</v>
      </c>
      <c r="G82" s="34" t="s">
        <v>242</v>
      </c>
      <c r="H82" s="34" t="s">
        <v>243</v>
      </c>
      <c r="I82" s="34" t="s">
        <v>27</v>
      </c>
      <c r="J82" s="34" t="s">
        <v>27</v>
      </c>
      <c r="K82" s="34" t="s">
        <v>51</v>
      </c>
      <c r="L82" s="34" t="s">
        <v>51</v>
      </c>
      <c r="M82" s="34" t="s">
        <v>197</v>
      </c>
      <c r="N82" s="40">
        <v>45763</v>
      </c>
      <c r="O82" s="39">
        <f ca="1">YEARFRAC(TODAY(),Table1[[#This Row],[تاريخ الإلتحاق]],1)</f>
        <v>0.70684931506849313</v>
      </c>
      <c r="P82" s="39">
        <f ca="1">IF(Table1[[#This Row],[فترة العمل بالشركة]]&lt;=5,Table1[[#This Row],[فترة العمل بالشركة]]*21,(((Table1[[#This Row],[فترة العمل بالشركة]]-5)*30)+(5*21)))</f>
        <v>14.843835616438355</v>
      </c>
      <c r="Q82" s="34">
        <f>'10078'!E37</f>
        <v>0</v>
      </c>
      <c r="R82" s="39">
        <f ca="1">Table1[[#This Row],[رصيد الاجازة المستحق]]-Table1[[#This Row],[رصيد الاجازة المستخدم]]</f>
        <v>14.843835616438355</v>
      </c>
      <c r="S82" s="39">
        <f ca="1">Table1[[#This Row],[رصيد الاجازة الحالي]]/30*Table1[[#This Row],[إجمالي الأجر]]</f>
        <v>1979.1780821917805</v>
      </c>
      <c r="T82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1413.6986301369864</v>
      </c>
    </row>
    <row r="83" spans="1:20" ht="20.100000000000001" customHeight="1">
      <c r="A83">
        <v>10079</v>
      </c>
      <c r="B83" s="34" t="s">
        <v>298</v>
      </c>
      <c r="C83" s="34" t="s">
        <v>299</v>
      </c>
      <c r="D83" s="34" t="s">
        <v>48</v>
      </c>
      <c r="E83" s="34" t="s">
        <v>49</v>
      </c>
      <c r="F83" s="34" t="s">
        <v>300</v>
      </c>
      <c r="G83" s="34" t="s">
        <v>242</v>
      </c>
      <c r="H83" s="34" t="s">
        <v>243</v>
      </c>
      <c r="I83" s="34" t="s">
        <v>27</v>
      </c>
      <c r="J83" s="34" t="s">
        <v>27</v>
      </c>
      <c r="K83" s="34" t="s">
        <v>51</v>
      </c>
      <c r="L83" s="34" t="s">
        <v>51</v>
      </c>
      <c r="M83" s="34" t="s">
        <v>197</v>
      </c>
      <c r="N83" s="40">
        <v>45784</v>
      </c>
      <c r="O83" s="39">
        <f ca="1">YEARFRAC(TODAY(),Table1[[#This Row],[تاريخ الإلتحاق]],1)</f>
        <v>0.64931506849315068</v>
      </c>
      <c r="P83" s="39">
        <f ca="1">IF(Table1[[#This Row],[فترة العمل بالشركة]]&lt;=5,Table1[[#This Row],[فترة العمل بالشركة]]*21,(((Table1[[#This Row],[فترة العمل بالشركة]]-5)*30)+(5*21)))</f>
        <v>13.635616438356164</v>
      </c>
      <c r="Q83" s="34">
        <f>'10079'!E37</f>
        <v>0</v>
      </c>
      <c r="R83" s="39">
        <f ca="1">Table1[[#This Row],[رصيد الاجازة المستحق]]-Table1[[#This Row],[رصيد الاجازة المستخدم]]</f>
        <v>13.635616438356164</v>
      </c>
      <c r="S83" s="39">
        <f ca="1">Table1[[#This Row],[رصيد الاجازة الحالي]]/30*Table1[[#This Row],[إجمالي الأجر]]</f>
        <v>1818.0821917808219</v>
      </c>
      <c r="T83" s="39">
        <f ca="1">IF(Table1[[#This Row],[فترة العمل بالشركة]]&lt;=5,Table1[[#This Row],[فترة العمل بالشركة]]*Table1[[#This Row],[الاجر الخاضع للاشتراك]]/2,((Table1[[#This Row],[فترة العمل بالشركة]]-2.5)*Table1[[#This Row],[الاجر الخاضع للاشتراك]]))</f>
        <v>1298.6301369863013</v>
      </c>
    </row>
    <row r="84" spans="1:20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3"/>
      <c r="P84" s="3"/>
      <c r="Q84" s="1"/>
      <c r="R84" s="3"/>
      <c r="S84" s="3"/>
      <c r="T84" s="3"/>
    </row>
  </sheetData>
  <mergeCells count="1">
    <mergeCell ref="A1:T2"/>
  </mergeCells>
  <printOptions horizontalCentered="1"/>
  <pageMargins left="0.25" right="0.25" top="0.41" bottom="0.53" header="0.3" footer="0.3"/>
  <pageSetup paperSize="9" scale="59" fitToHeight="0" orientation="landscape" r:id="rId1"/>
  <headerFooter>
    <oddHeader>&amp;F</oddHeader>
    <oddFooter>Page &amp;P of &amp;N</oddFooter>
  </headerFooter>
  <ignoredErrors>
    <ignoredError sqref="A5:A83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9F94-FFB9-4FC0-B5CC-B34E2674DAD7}">
  <sheetPr codeName="Sheet3">
    <pageSetUpPr fitToPage="1"/>
  </sheetPr>
  <dimension ref="B1:F49"/>
  <sheetViews>
    <sheetView rightToLeft="1" topLeftCell="A4" zoomScaleNormal="100" workbookViewId="0">
      <selection activeCell="E13" sqref="E13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10001</v>
      </c>
      <c r="D3" s="54"/>
      <c r="E3" s="32" t="s">
        <v>303</v>
      </c>
      <c r="F3" s="31">
        <f ca="1">YEARFRAC(TODAY(),C6,1)</f>
        <v>7.6659822039698833</v>
      </c>
    </row>
    <row r="4" spans="2:6" ht="16.5">
      <c r="B4" s="29" t="s">
        <v>304</v>
      </c>
      <c r="C4" s="55" t="str">
        <f>VLOOKUP(C3,score,2,FALSE)</f>
        <v>عمر محمد احمد صالح الوايلي</v>
      </c>
      <c r="D4" s="55"/>
      <c r="E4" s="28" t="s">
        <v>305</v>
      </c>
      <c r="F4" s="30">
        <f ca="1">IF(F3&lt;=5,F3*21,(((F3-5)*30)+(5*21)))</f>
        <v>184.97946611909651</v>
      </c>
    </row>
    <row r="5" spans="2:6" ht="16.5">
      <c r="B5" s="29" t="s">
        <v>306</v>
      </c>
      <c r="C5" s="55" t="str">
        <f>VLOOKUP(C3,score,13,FALSE)</f>
        <v>سائق شاحنة صغيرة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43221</v>
      </c>
      <c r="D6" s="57"/>
      <c r="E6" s="18" t="s">
        <v>309</v>
      </c>
      <c r="F6" s="25">
        <f ca="1">F4-E37</f>
        <v>19.979466119096514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6.6687524442706296</v>
      </c>
      <c r="E9" s="18" t="s">
        <v>312</v>
      </c>
      <c r="F9" s="17">
        <f>(IF(D9&lt;=5,D9*21,(((D9-5)*30)+(5*21))))-E37</f>
        <v>-9.9374266718810986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44851</v>
      </c>
      <c r="D12" s="11">
        <v>45016</v>
      </c>
      <c r="E12" s="10">
        <f>D12-C12</f>
        <v>165</v>
      </c>
      <c r="F12" s="9" t="s">
        <v>317</v>
      </c>
    </row>
    <row r="13" spans="2:6">
      <c r="B13" s="12">
        <v>2</v>
      </c>
      <c r="C13" s="11"/>
      <c r="D13" s="11"/>
      <c r="E13" s="10">
        <f>D13-C13</f>
        <v>0</v>
      </c>
      <c r="F13" s="9"/>
    </row>
    <row r="14" spans="2:6">
      <c r="B14" s="12">
        <v>3</v>
      </c>
      <c r="C14" s="11"/>
      <c r="D14" s="11"/>
      <c r="E14" s="10">
        <f>D14-C14</f>
        <v>0</v>
      </c>
      <c r="F14" s="9"/>
    </row>
    <row r="15" spans="2:6">
      <c r="B15" s="12">
        <v>4</v>
      </c>
      <c r="C15" s="11"/>
      <c r="D15" s="42"/>
      <c r="E15" s="10">
        <f>D14-C15</f>
        <v>0</v>
      </c>
      <c r="F15" s="9"/>
    </row>
    <row r="16" spans="2:6">
      <c r="B16" s="12">
        <v>5</v>
      </c>
      <c r="C16" s="11"/>
      <c r="D16" s="11"/>
      <c r="E16" s="10">
        <f t="shared" ref="E16:E36" si="0">D16-C16</f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165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45016</v>
      </c>
      <c r="D42" s="11">
        <v>45043</v>
      </c>
      <c r="E42" s="10">
        <f t="shared" ref="E42:E49" si="1">D42-C42</f>
        <v>27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5AV1O34uD7+OiZzOM3eOAHnCtZRVEfVdph5LHENjTdBQoueL9WBqgTaATTC9dw0bN6bm6Bc7eybbOCpwV8Q3oA==" saltValue="LfPNHuSysQWnoKW//pSGSA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58DB-76A8-40D8-A74A-B997438DEA4B}">
  <sheetPr codeName="Sheet2">
    <pageSetUpPr fitToPage="1"/>
  </sheetPr>
  <dimension ref="B1:F49"/>
  <sheetViews>
    <sheetView rightToLeft="1" tabSelected="1" zoomScaleNormal="100" workbookViewId="0">
      <selection activeCell="F9" sqref="F9"/>
    </sheetView>
  </sheetViews>
  <sheetFormatPr defaultRowHeight="15"/>
  <cols>
    <col min="1" max="1" width="9.140625" style="4"/>
    <col min="2" max="2" width="15.7109375" style="4" bestFit="1" customWidth="1"/>
    <col min="3" max="4" width="16.57031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10000</v>
      </c>
      <c r="D3" s="54"/>
      <c r="E3" s="32" t="s">
        <v>303</v>
      </c>
      <c r="F3" s="31">
        <f ca="1">YEARFRAC(TODAY(),C6,1)</f>
        <v>8.1703681168238518</v>
      </c>
    </row>
    <row r="4" spans="2:6" ht="16.5">
      <c r="B4" s="29" t="s">
        <v>304</v>
      </c>
      <c r="C4" s="55" t="str">
        <f>VLOOKUP(C3,score,2,FALSE)</f>
        <v>GOLAM   NOBI</v>
      </c>
      <c r="D4" s="55"/>
      <c r="E4" s="28" t="s">
        <v>305</v>
      </c>
      <c r="F4" s="30">
        <f ca="1">IF(F3&lt;=5,F3*21,(((F3-5)*30)+(5*21)))</f>
        <v>200.11104350471555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43037</v>
      </c>
      <c r="D6" s="57"/>
      <c r="E6" s="18" t="s">
        <v>309</v>
      </c>
      <c r="F6" s="25">
        <f ca="1">F4-E37</f>
        <v>30.111043504715553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45945</v>
      </c>
      <c r="D9" s="19">
        <f>YEARFRAC(C9,C6,1)</f>
        <v>7.9622756312747187</v>
      </c>
      <c r="E9" s="18" t="s">
        <v>312</v>
      </c>
      <c r="F9" s="17">
        <f>(IF(D9&lt;=5,D9*21,(((D9-5)*30)+(5*21))))-E37</f>
        <v>23.868268938241556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43922</v>
      </c>
      <c r="D12" s="11">
        <v>44047</v>
      </c>
      <c r="E12" s="10">
        <f t="shared" ref="E12:E36" si="0">D12-C12</f>
        <v>125</v>
      </c>
      <c r="F12" s="9" t="s">
        <v>317</v>
      </c>
    </row>
    <row r="13" spans="2:6">
      <c r="B13" s="12">
        <v>2</v>
      </c>
      <c r="C13" s="11">
        <v>45139</v>
      </c>
      <c r="D13" s="11">
        <v>45184</v>
      </c>
      <c r="E13" s="10">
        <f t="shared" si="0"/>
        <v>45</v>
      </c>
      <c r="F13" s="9" t="s">
        <v>317</v>
      </c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170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9VdjxKvCJ/O31zVurkmbuPt480XXx68Z5XtrOm+lSEWZ5z8S9W4fUoT4GCfv9A6G/5efxmd0Ppm9d+fPwC9wqA==" saltValue="m0Gz1ngAY+0hfuow7++FoQ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C050-0770-4260-B165-23C04764624C}">
  <sheetPr codeName="Sheet4">
    <pageSetUpPr fitToPage="1"/>
  </sheetPr>
  <dimension ref="B1:F49"/>
  <sheetViews>
    <sheetView rightToLeft="1" topLeftCell="A5" zoomScaleNormal="100" workbookViewId="0">
      <selection activeCell="D14" sqref="D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10002</v>
      </c>
      <c r="D3" s="54"/>
      <c r="E3" s="32" t="s">
        <v>303</v>
      </c>
      <c r="F3" s="31">
        <f ca="1">YEARFRAC(TODAY(),C6,1)</f>
        <v>7.2114989733059547</v>
      </c>
    </row>
    <row r="4" spans="2:6" ht="16.5">
      <c r="B4" s="29" t="s">
        <v>304</v>
      </c>
      <c r="C4" s="55" t="str">
        <f>VLOOKUP(C3,score,2,FALSE)</f>
        <v>عصام محمد عبده قايد العربي</v>
      </c>
      <c r="D4" s="55"/>
      <c r="E4" s="28" t="s">
        <v>305</v>
      </c>
      <c r="F4" s="30">
        <f ca="1">IF(F3&lt;=5,F3*21,(((F3-5)*30)+(5*21)))</f>
        <v>171.34496919917865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43387</v>
      </c>
      <c r="D6" s="57"/>
      <c r="E6" s="18" t="s">
        <v>309</v>
      </c>
      <c r="F6" s="25">
        <f ca="1">F4-E37</f>
        <v>37.344969199178649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6.2143136488071962</v>
      </c>
      <c r="E9" s="18" t="s">
        <v>312</v>
      </c>
      <c r="F9" s="17">
        <f>(IF(D9&lt;=5,D9*21,(((D9-5)*30)+(5*21))))-E37</f>
        <v>7.4294094642158939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44992</v>
      </c>
      <c r="D12" s="11">
        <v>45126</v>
      </c>
      <c r="E12" s="10">
        <f t="shared" ref="E12:E36" si="0">D12-C12</f>
        <v>134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134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7A6C-09F3-466B-878C-E0B594A76D67}">
  <sheetPr codeName="Sheet5">
    <pageSetUpPr fitToPage="1"/>
  </sheetPr>
  <dimension ref="B1:F49"/>
  <sheetViews>
    <sheetView rightToLeft="1" topLeftCell="A5" zoomScaleNormal="100" workbookViewId="0">
      <selection activeCell="E13" sqref="E13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10003</v>
      </c>
      <c r="D3" s="54"/>
      <c r="E3" s="32" t="s">
        <v>303</v>
      </c>
      <c r="F3" s="31">
        <f ca="1">YEARFRAC(TODAY(),C6,1)</f>
        <v>6.9096597575283534</v>
      </c>
    </row>
    <row r="4" spans="2:6" ht="16.5">
      <c r="B4" s="29" t="s">
        <v>304</v>
      </c>
      <c r="C4" s="55" t="str">
        <f>VLOOKUP(C3,score,2,FALSE)</f>
        <v>نشوان صادق محسن عبدالله زعيل</v>
      </c>
      <c r="D4" s="55"/>
      <c r="E4" s="28" t="s">
        <v>305</v>
      </c>
      <c r="F4" s="30">
        <f ca="1">IF(F3&lt;=5,F3*21,(((F3-5)*30)+(5*21)))</f>
        <v>162.28979272585059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43497</v>
      </c>
      <c r="D6" s="57"/>
      <c r="E6" s="18" t="s">
        <v>309</v>
      </c>
      <c r="F6" s="25">
        <f ca="1">F4-E37</f>
        <v>29.289792725850589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5.9124087591240881</v>
      </c>
      <c r="E9" s="18" t="s">
        <v>312</v>
      </c>
      <c r="F9" s="17">
        <f>(IF(D9&lt;=5,D9*21,(((D9-5)*30)+(5*21))))-E37</f>
        <v>-0.62773722627736106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45264</v>
      </c>
      <c r="D12" s="11">
        <v>45397</v>
      </c>
      <c r="E12" s="10">
        <f t="shared" ref="E12:E36" si="0">D12-C12</f>
        <v>133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133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45397</v>
      </c>
      <c r="D42" s="11">
        <v>45441</v>
      </c>
      <c r="E42" s="10">
        <f t="shared" ref="E42:E49" si="1">D42-C42</f>
        <v>44</v>
      </c>
      <c r="F42" s="9" t="s">
        <v>321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7D41-5BB8-4804-BB11-96FB45ABDAA4}">
  <sheetPr codeName="Sheet6">
    <pageSetUpPr fitToPage="1"/>
  </sheetPr>
  <dimension ref="B1:F49"/>
  <sheetViews>
    <sheetView rightToLeft="1" topLeftCell="A5" zoomScaleNormal="100" workbookViewId="0">
      <selection activeCell="E15" sqref="E15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10004</v>
      </c>
      <c r="D3" s="54"/>
      <c r="E3" s="32" t="s">
        <v>303</v>
      </c>
      <c r="F3" s="31">
        <f ca="1">YEARFRAC(TODAY(),C6,1)</f>
        <v>6.7481423543214705</v>
      </c>
    </row>
    <row r="4" spans="2:6" ht="16.5">
      <c r="B4" s="29" t="s">
        <v>304</v>
      </c>
      <c r="C4" s="55" t="str">
        <f>VLOOKUP(C3,score,2,FALSE)</f>
        <v>MD KAWSAR GOLAM RASUL</v>
      </c>
      <c r="D4" s="55"/>
      <c r="E4" s="28" t="s">
        <v>305</v>
      </c>
      <c r="F4" s="30">
        <f ca="1">IF(F3&lt;=5,F3*21,(((F3-5)*30)+(5*21)))</f>
        <v>157.44427062964411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43556</v>
      </c>
      <c r="D6" s="57"/>
      <c r="E6" s="18" t="s">
        <v>309</v>
      </c>
      <c r="F6" s="25">
        <f ca="1">F4-E37</f>
        <v>28.444270629644109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5.7509124087591248</v>
      </c>
      <c r="E9" s="18" t="s">
        <v>312</v>
      </c>
      <c r="F9" s="17">
        <f>(IF(D9&lt;=5,D9*21,(((D9-5)*30)+(5*21))))-E37</f>
        <v>-1.4726277372262473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45288</v>
      </c>
      <c r="D12" s="11">
        <v>45417</v>
      </c>
      <c r="E12" s="10">
        <f t="shared" ref="E12:E36" si="0">D12-C12</f>
        <v>129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129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45417</v>
      </c>
      <c r="D42" s="11">
        <v>45423</v>
      </c>
      <c r="E42" s="10">
        <f t="shared" ref="E42:E49" si="1">D42-C42</f>
        <v>6</v>
      </c>
      <c r="F42" s="9" t="s">
        <v>321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B258-5F24-414A-90A2-DE3AA28CB57B}">
  <sheetPr codeName="Sheet7">
    <pageSetUpPr fitToPage="1"/>
  </sheetPr>
  <dimension ref="B1:F49"/>
  <sheetViews>
    <sheetView rightToLeft="1" topLeftCell="A4" zoomScaleNormal="100" workbookViewId="0">
      <selection activeCell="D18" sqref="D18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10005</v>
      </c>
      <c r="D3" s="54"/>
      <c r="E3" s="32" t="s">
        <v>303</v>
      </c>
      <c r="F3" s="31">
        <f ca="1">YEARFRAC(TODAY(),C6,1)</f>
        <v>5.2445255474452557</v>
      </c>
    </row>
    <row r="4" spans="2:6" ht="16.5">
      <c r="B4" s="29" t="s">
        <v>304</v>
      </c>
      <c r="C4" s="55" t="str">
        <f>VLOOKUP(C3,score,2,FALSE)</f>
        <v>عيده مدلف مرزوق الجحيشي</v>
      </c>
      <c r="D4" s="55"/>
      <c r="E4" s="28" t="s">
        <v>305</v>
      </c>
      <c r="F4" s="30">
        <f ca="1">IF(F3&lt;=5,F3*21,(((F3-5)*30)+(5*21)))</f>
        <v>112.33576642335767</v>
      </c>
    </row>
    <row r="5" spans="2:6" ht="16.5">
      <c r="B5" s="29" t="s">
        <v>306</v>
      </c>
      <c r="C5" s="55" t="str">
        <f>VLOOKUP(C3,score,13,FALSE)</f>
        <v>مندوب مشتريات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44105</v>
      </c>
      <c r="D6" s="57"/>
      <c r="E6" s="18" t="s">
        <v>309</v>
      </c>
      <c r="F6" s="25">
        <f ca="1">F4-E37</f>
        <v>22.335766423357668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4.2474001094690754</v>
      </c>
      <c r="E9" s="18" t="s">
        <v>312</v>
      </c>
      <c r="F9" s="17">
        <f>(IF(D9&lt;=5,D9*21,(((D9-5)*30)+(5*21))))-E37</f>
        <v>-0.80459770114941875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44652</v>
      </c>
      <c r="D12" s="11">
        <v>44685</v>
      </c>
      <c r="E12" s="10">
        <f t="shared" ref="E12:E36" si="0">D12-C12</f>
        <v>33</v>
      </c>
      <c r="F12" s="9"/>
    </row>
    <row r="13" spans="2:6">
      <c r="B13" s="12">
        <v>2</v>
      </c>
      <c r="C13" s="11">
        <v>45047</v>
      </c>
      <c r="D13" s="11">
        <v>45068</v>
      </c>
      <c r="E13" s="10">
        <f t="shared" si="0"/>
        <v>21</v>
      </c>
      <c r="F13" s="9"/>
    </row>
    <row r="14" spans="2:6">
      <c r="B14" s="12">
        <v>3</v>
      </c>
      <c r="C14" s="11">
        <v>45597</v>
      </c>
      <c r="D14" s="11">
        <v>45633</v>
      </c>
      <c r="E14" s="10">
        <f t="shared" si="0"/>
        <v>36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90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9250-DE36-4E05-BEB5-B1920E58B9E5}">
  <sheetPr codeName="Sheet8">
    <pageSetUpPr fitToPage="1"/>
  </sheetPr>
  <dimension ref="B1:F49"/>
  <sheetViews>
    <sheetView rightToLeft="1" topLeftCell="D9" zoomScale="364" zoomScaleNormal="364" workbookViewId="0">
      <selection activeCell="D17" sqref="D17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10006</v>
      </c>
      <c r="D3" s="54"/>
      <c r="E3" s="32" t="s">
        <v>303</v>
      </c>
      <c r="F3" s="31">
        <f ca="1">YEARFRAC(TODAY(),C6,1)</f>
        <v>5.2445255474452557</v>
      </c>
    </row>
    <row r="4" spans="2:6" ht="16.5">
      <c r="B4" s="29" t="s">
        <v>304</v>
      </c>
      <c r="C4" s="55" t="str">
        <f>VLOOKUP(C3,score,2,FALSE)</f>
        <v>هلا خالد عبدالله القعيد</v>
      </c>
      <c r="D4" s="55"/>
      <c r="E4" s="28" t="s">
        <v>305</v>
      </c>
      <c r="F4" s="30">
        <f ca="1">IF(F3&lt;=5,F3*21,(((F3-5)*30)+(5*21)))</f>
        <v>112.33576642335767</v>
      </c>
    </row>
    <row r="5" spans="2:6" ht="16.5">
      <c r="B5" s="29" t="s">
        <v>306</v>
      </c>
      <c r="C5" s="55" t="str">
        <f>VLOOKUP(C3,score,13,FALSE)</f>
        <v>مندوب مشتريات</v>
      </c>
      <c r="D5" s="55"/>
      <c r="E5" s="28" t="s">
        <v>307</v>
      </c>
      <c r="F5" s="27">
        <f ca="1">IF(F3&lt;=5,21,30)</f>
        <v>30</v>
      </c>
    </row>
    <row r="6" spans="2:6" ht="17.25" thickBot="1">
      <c r="B6" s="26" t="s">
        <v>308</v>
      </c>
      <c r="C6" s="56">
        <f>VLOOKUP(C3,score,14,FALSE)</f>
        <v>44105</v>
      </c>
      <c r="D6" s="57"/>
      <c r="E6" s="18" t="s">
        <v>309</v>
      </c>
      <c r="F6" s="25">
        <f ca="1">F4-E37</f>
        <v>23.335766423357668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4.2474001094690754</v>
      </c>
      <c r="E9" s="18" t="s">
        <v>312</v>
      </c>
      <c r="F9" s="17">
        <f>(IF(D9&lt;=5,D9*21,(((D9-5)*30)+(5*21))))-E37</f>
        <v>0.19540229885058125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44652</v>
      </c>
      <c r="D12" s="11">
        <v>44685</v>
      </c>
      <c r="E12" s="10">
        <f t="shared" ref="E12:E36" si="0">D12-C12</f>
        <v>33</v>
      </c>
      <c r="F12" s="9"/>
    </row>
    <row r="13" spans="2:6">
      <c r="B13" s="12">
        <v>2</v>
      </c>
      <c r="C13" s="11">
        <v>45231</v>
      </c>
      <c r="D13" s="11">
        <v>45266</v>
      </c>
      <c r="E13" s="10">
        <f t="shared" si="0"/>
        <v>35</v>
      </c>
      <c r="F13" s="9"/>
    </row>
    <row r="14" spans="2:6">
      <c r="B14" s="12">
        <v>3</v>
      </c>
      <c r="C14" s="11">
        <v>45627</v>
      </c>
      <c r="D14" s="11">
        <v>45648</v>
      </c>
      <c r="E14" s="10">
        <f t="shared" si="0"/>
        <v>21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89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1E68-7F58-4FDF-A3AB-41C56503EAC0}">
  <sheetPr codeName="Sheet9">
    <pageSetUpPr fitToPage="1"/>
  </sheetPr>
  <dimension ref="B1:F49"/>
  <sheetViews>
    <sheetView rightToLeft="1" topLeftCell="B2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6.5703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10007</v>
      </c>
      <c r="D3" s="54"/>
      <c r="E3" s="32" t="s">
        <v>303</v>
      </c>
      <c r="F3" s="31">
        <f ca="1">YEARFRAC(TODAY(),C6,1)</f>
        <v>4.5372398685651696</v>
      </c>
    </row>
    <row r="4" spans="2:6" ht="16.5">
      <c r="B4" s="29" t="s">
        <v>304</v>
      </c>
      <c r="C4" s="55" t="str">
        <f>VLOOKUP(C3,score,2,FALSE)</f>
        <v>ABDUL   KADIR</v>
      </c>
      <c r="D4" s="55"/>
      <c r="E4" s="28" t="s">
        <v>305</v>
      </c>
      <c r="F4" s="30">
        <f ca="1">IF(F3&lt;=5,F3*21,(((F3-5)*30)+(5*21)))</f>
        <v>95.282037239868558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44364</v>
      </c>
      <c r="D6" s="57"/>
      <c r="E6" s="18" t="s">
        <v>309</v>
      </c>
      <c r="F6" s="25">
        <f ca="1">F4-E37</f>
        <v>21.282037239868558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3.5400410677618068</v>
      </c>
      <c r="E9" s="18" t="s">
        <v>312</v>
      </c>
      <c r="F9" s="17">
        <f>(IF(D9&lt;=5,D9*21,(((D9-5)*30)+(5*21))))-E37</f>
        <v>0.34086242299794378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45506</v>
      </c>
      <c r="D12" s="11">
        <v>45580</v>
      </c>
      <c r="E12" s="10">
        <f t="shared" ref="E12:E36" si="0">D12-C12</f>
        <v>74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45580</v>
      </c>
      <c r="D42" s="11">
        <v>45591</v>
      </c>
      <c r="E42" s="10">
        <f t="shared" ref="E42:E49" si="1">D42-C42</f>
        <v>11</v>
      </c>
      <c r="F42" s="9" t="s">
        <v>321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7FF6-8243-4694-848E-52E0F3D78575}">
  <sheetPr codeName="Sheet10">
    <pageSetUpPr fitToPage="1"/>
  </sheetPr>
  <dimension ref="B1:F49"/>
  <sheetViews>
    <sheetView rightToLeft="1" topLeftCell="A5" zoomScaleNormal="100" workbookViewId="0">
      <selection activeCell="E17" sqref="E17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10008</v>
      </c>
      <c r="D3" s="54"/>
      <c r="E3" s="32" t="s">
        <v>303</v>
      </c>
      <c r="F3" s="31">
        <f ca="1">YEARFRAC(TODAY(),C6,1)</f>
        <v>4.5372398685651696</v>
      </c>
    </row>
    <row r="4" spans="2:6" ht="16.5">
      <c r="B4" s="29" t="s">
        <v>304</v>
      </c>
      <c r="C4" s="55" t="str">
        <f>VLOOKUP(C3,score,2,FALSE)</f>
        <v>MONIR   HOSSAIN</v>
      </c>
      <c r="D4" s="55"/>
      <c r="E4" s="28" t="s">
        <v>305</v>
      </c>
      <c r="F4" s="30">
        <f ca="1">IF(F3&lt;=5,F3*21,(((F3-5)*30)+(5*21)))</f>
        <v>95.282037239868558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44364</v>
      </c>
      <c r="D6" s="57"/>
      <c r="E6" s="18" t="s">
        <v>309</v>
      </c>
      <c r="F6" s="25">
        <f ca="1">F4-E37</f>
        <v>21.282037239868558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3.5400410677618068</v>
      </c>
      <c r="E9" s="18" t="s">
        <v>312</v>
      </c>
      <c r="F9" s="17">
        <f>(IF(D9&lt;=5,D9*21,(((D9-5)*30)+(5*21))))-E37</f>
        <v>0.34086242299794378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44835</v>
      </c>
      <c r="D12" s="11">
        <v>44859</v>
      </c>
      <c r="E12" s="10">
        <f t="shared" ref="E12:E36" si="0">D12-C12</f>
        <v>24</v>
      </c>
      <c r="F12" s="9" t="s">
        <v>317</v>
      </c>
    </row>
    <row r="13" spans="2:6">
      <c r="B13" s="12">
        <v>2</v>
      </c>
      <c r="C13" s="11">
        <v>45261</v>
      </c>
      <c r="D13" s="11">
        <v>45290</v>
      </c>
      <c r="E13" s="10">
        <f t="shared" si="0"/>
        <v>29</v>
      </c>
      <c r="F13" s="9" t="s">
        <v>317</v>
      </c>
    </row>
    <row r="14" spans="2:6">
      <c r="B14" s="12">
        <v>3</v>
      </c>
      <c r="C14" s="11">
        <v>45627</v>
      </c>
      <c r="D14" s="11">
        <v>45648</v>
      </c>
      <c r="E14" s="10">
        <f t="shared" si="0"/>
        <v>21</v>
      </c>
      <c r="F14" s="9" t="s">
        <v>317</v>
      </c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C19-5C24-41E2-A201-F80FF1D8F0FC}">
  <sheetPr codeName="Sheet11">
    <pageSetUpPr fitToPage="1"/>
  </sheetPr>
  <dimension ref="B1:F49"/>
  <sheetViews>
    <sheetView rightToLeft="1" topLeftCell="A2" zoomScaleNormal="100" workbookViewId="0">
      <selection activeCell="D16" sqref="D16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6.57031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10009</v>
      </c>
      <c r="D3" s="54"/>
      <c r="E3" s="32" t="s">
        <v>303</v>
      </c>
      <c r="F3" s="31">
        <f ca="1">YEARFRAC(TODAY(),C6,1)</f>
        <v>3.8329911019849416</v>
      </c>
    </row>
    <row r="4" spans="2:6" ht="16.5">
      <c r="B4" s="29" t="s">
        <v>304</v>
      </c>
      <c r="C4" s="55" t="str">
        <f>VLOOKUP(C3,score,2,FALSE)</f>
        <v>فاطمه عليان بن ثواب الحربي</v>
      </c>
      <c r="D4" s="55"/>
      <c r="E4" s="28" t="s">
        <v>305</v>
      </c>
      <c r="F4" s="30">
        <f ca="1">IF(F3&lt;=5,F3*21,(((F3-5)*30)+(5*21)))</f>
        <v>80.492813141683769</v>
      </c>
    </row>
    <row r="5" spans="2:6" ht="16.5">
      <c r="B5" s="29" t="s">
        <v>306</v>
      </c>
      <c r="C5" s="55" t="str">
        <f>VLOOKUP(C3,score,13,FALSE)</f>
        <v>أخصائي تسويق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44621</v>
      </c>
      <c r="D6" s="57"/>
      <c r="E6" s="18" t="s">
        <v>309</v>
      </c>
      <c r="F6" s="25">
        <f ca="1">F4-E37</f>
        <v>40.492813141683769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2.8357664233576645</v>
      </c>
      <c r="E9" s="18" t="s">
        <v>312</v>
      </c>
      <c r="F9" s="17">
        <f>(IF(D9&lt;=5,D9*21,(((D9-5)*30)+(5*21))))-E37</f>
        <v>19.551094890510953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45089</v>
      </c>
      <c r="D12" s="11">
        <v>45098</v>
      </c>
      <c r="E12" s="10">
        <f t="shared" ref="E12:E36" si="0">D12-C12</f>
        <v>9</v>
      </c>
      <c r="F12" s="9"/>
    </row>
    <row r="13" spans="2:6">
      <c r="B13" s="12">
        <v>2</v>
      </c>
      <c r="C13" s="11">
        <v>45488</v>
      </c>
      <c r="D13" s="11">
        <v>45519</v>
      </c>
      <c r="E13" s="10">
        <f t="shared" si="0"/>
        <v>31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9VdjxKvCJ/O31zVurkmbuPt480XXx68Z5XtrOm+lSEWZ5z8S9W4fUoT4GCfv9A6G/5efxmd0Ppm9d+fPwC9wqA==" saltValue="m0Gz1ngAY+0hfuow7++FoQ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50C1-352E-420C-AC05-2B3059FCED12}">
  <sheetPr codeName="Sheet13">
    <pageSetUpPr fitToPage="1"/>
  </sheetPr>
  <dimension ref="B1:F49"/>
  <sheetViews>
    <sheetView rightToLeft="1" topLeftCell="A4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3" width="16.5703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10011</v>
      </c>
      <c r="D3" s="54"/>
      <c r="E3" s="32" t="s">
        <v>303</v>
      </c>
      <c r="F3" s="31">
        <f ca="1">YEARFRAC(TODAY(),C6,1)</f>
        <v>3.8138261464750172</v>
      </c>
    </row>
    <row r="4" spans="2:6" ht="16.5">
      <c r="B4" s="29" t="s">
        <v>304</v>
      </c>
      <c r="C4" s="55" t="str">
        <f>VLOOKUP(C3,score,2,FALSE)</f>
        <v>أديب محمد سعيد عبدالصفي</v>
      </c>
      <c r="D4" s="55"/>
      <c r="E4" s="28" t="s">
        <v>305</v>
      </c>
      <c r="F4" s="30">
        <f ca="1">IF(F3&lt;=5,F3*21,(((F3-5)*30)+(5*21)))</f>
        <v>80.090349075975354</v>
      </c>
    </row>
    <row r="5" spans="2:6" ht="16.5">
      <c r="B5" s="29" t="s">
        <v>306</v>
      </c>
      <c r="C5" s="55" t="str">
        <f>VLOOKUP(C3,score,13,FALSE)</f>
        <v>عامل عادي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44628</v>
      </c>
      <c r="D6" s="57"/>
      <c r="E6" s="18" t="s">
        <v>309</v>
      </c>
      <c r="F6" s="25">
        <f ca="1">F4-E37</f>
        <v>25.090349075975354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2.8166058394160585</v>
      </c>
      <c r="E9" s="18" t="s">
        <v>312</v>
      </c>
      <c r="F9" s="17">
        <f>(IF(D9&lt;=5,D9*21,(((D9-5)*30)+(5*21))))-E37</f>
        <v>4.1487226277372287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45162</v>
      </c>
      <c r="D12" s="11">
        <v>45171</v>
      </c>
      <c r="E12" s="10">
        <f t="shared" ref="E12:E36" si="0">D12-C12</f>
        <v>9</v>
      </c>
      <c r="F12" s="9" t="s">
        <v>317</v>
      </c>
    </row>
    <row r="13" spans="2:6">
      <c r="B13" s="12">
        <v>2</v>
      </c>
      <c r="C13" s="11">
        <v>45516</v>
      </c>
      <c r="D13" s="11">
        <v>45562</v>
      </c>
      <c r="E13" s="10">
        <f t="shared" si="0"/>
        <v>46</v>
      </c>
      <c r="F13" s="9" t="s">
        <v>317</v>
      </c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55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97FF-6357-43A7-925A-D95498D90D53}">
  <sheetPr codeName="Sheet12">
    <pageSetUpPr fitToPage="1"/>
  </sheetPr>
  <dimension ref="B1:F49"/>
  <sheetViews>
    <sheetView rightToLeft="1" topLeftCell="A6" zoomScaleNormal="100" workbookViewId="0">
      <selection activeCell="E18" sqref="E18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10010</v>
      </c>
      <c r="D3" s="54"/>
      <c r="E3" s="32" t="s">
        <v>303</v>
      </c>
      <c r="F3" s="31">
        <f ca="1">YEARFRAC(TODAY(),C6,1)</f>
        <v>3.8329911019849416</v>
      </c>
    </row>
    <row r="4" spans="2:6" ht="16.5">
      <c r="B4" s="29" t="s">
        <v>304</v>
      </c>
      <c r="C4" s="55" t="str">
        <f>VLOOKUP(C3,score,2,FALSE)</f>
        <v>ساره صالح مطلق الراكضي</v>
      </c>
      <c r="D4" s="55"/>
      <c r="E4" s="28" t="s">
        <v>305</v>
      </c>
      <c r="F4" s="30">
        <f ca="1">IF(F3&lt;=5,F3*21,(((F3-5)*30)+(5*21)))</f>
        <v>80.492813141683769</v>
      </c>
    </row>
    <row r="5" spans="2:6" ht="16.5">
      <c r="B5" s="29" t="s">
        <v>306</v>
      </c>
      <c r="C5" s="55" t="str">
        <f>VLOOKUP(C3,score,13,FALSE)</f>
        <v>أخصائي تسويق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44621</v>
      </c>
      <c r="D6" s="57"/>
      <c r="E6" s="18" t="s">
        <v>309</v>
      </c>
      <c r="F6" s="25">
        <f ca="1">F4-E37</f>
        <v>35.492813141683769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2.8357664233576645</v>
      </c>
      <c r="E9" s="18" t="s">
        <v>312</v>
      </c>
      <c r="F9" s="17">
        <f>(IF(D9&lt;=5,D9*21,(((D9-5)*30)+(5*21))))-E37</f>
        <v>14.551094890510953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45569</v>
      </c>
      <c r="D12" s="11">
        <v>45571</v>
      </c>
      <c r="E12" s="10">
        <f t="shared" ref="E12:E36" si="0">D12-C12</f>
        <v>2</v>
      </c>
      <c r="F12" s="9"/>
    </row>
    <row r="13" spans="2:6">
      <c r="B13" s="12">
        <v>2</v>
      </c>
      <c r="C13" s="11">
        <v>45308</v>
      </c>
      <c r="D13" s="11">
        <v>45311</v>
      </c>
      <c r="E13" s="10">
        <f t="shared" si="0"/>
        <v>3</v>
      </c>
      <c r="F13" s="9"/>
    </row>
    <row r="14" spans="2:6">
      <c r="B14" s="12">
        <v>3</v>
      </c>
      <c r="C14" s="11">
        <v>45455</v>
      </c>
      <c r="D14" s="11">
        <v>45494</v>
      </c>
      <c r="E14" s="10">
        <f t="shared" si="0"/>
        <v>39</v>
      </c>
      <c r="F14" s="9"/>
    </row>
    <row r="15" spans="2:6">
      <c r="B15" s="12">
        <v>4</v>
      </c>
      <c r="C15" s="11">
        <v>45609</v>
      </c>
      <c r="D15" s="11">
        <v>45610</v>
      </c>
      <c r="E15" s="10">
        <f t="shared" si="0"/>
        <v>1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45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51A0-FE2C-4F64-8A2D-63FA7CDCEE32}">
  <sheetPr codeName="Sheet14">
    <pageSetUpPr fitToPage="1"/>
  </sheetPr>
  <dimension ref="B1:F49"/>
  <sheetViews>
    <sheetView rightToLeft="1" topLeftCell="A5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10012</v>
      </c>
      <c r="D3" s="54"/>
      <c r="E3" s="32" t="s">
        <v>303</v>
      </c>
      <c r="F3" s="31">
        <f ca="1">YEARFRAC(TODAY(),C6,1)</f>
        <v>3.8110882956878851</v>
      </c>
    </row>
    <row r="4" spans="2:6" ht="16.5">
      <c r="B4" s="29" t="s">
        <v>304</v>
      </c>
      <c r="C4" s="55" t="str">
        <f>VLOOKUP(C3,score,2,FALSE)</f>
        <v>MO AKRAM  HASIN</v>
      </c>
      <c r="D4" s="55"/>
      <c r="E4" s="28" t="s">
        <v>305</v>
      </c>
      <c r="F4" s="30">
        <f ca="1">IF(F3&lt;=5,F3*21,(((F3-5)*30)+(5*21)))</f>
        <v>80.032854209445588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44629</v>
      </c>
      <c r="D6" s="57"/>
      <c r="E6" s="18" t="s">
        <v>309</v>
      </c>
      <c r="F6" s="25">
        <f ca="1">F4-E37</f>
        <v>21.032854209445588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2.8138686131386863</v>
      </c>
      <c r="E9" s="18" t="s">
        <v>312</v>
      </c>
      <c r="F9" s="17">
        <f>(IF(D9&lt;=5,D9*21,(((D9-5)*30)+(5*21))))-E37</f>
        <v>9.1240875912411923E-2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44983</v>
      </c>
      <c r="D12" s="11">
        <v>45001</v>
      </c>
      <c r="E12" s="10">
        <f t="shared" ref="E12:E36" si="0">D12-C12</f>
        <v>18</v>
      </c>
      <c r="F12" s="9" t="s">
        <v>317</v>
      </c>
    </row>
    <row r="13" spans="2:6">
      <c r="B13" s="12">
        <v>2</v>
      </c>
      <c r="C13" s="11">
        <v>45070</v>
      </c>
      <c r="D13" s="11">
        <v>45072</v>
      </c>
      <c r="E13" s="10">
        <f t="shared" si="0"/>
        <v>2</v>
      </c>
      <c r="F13" s="9" t="s">
        <v>322</v>
      </c>
    </row>
    <row r="14" spans="2:6">
      <c r="B14" s="12">
        <v>3</v>
      </c>
      <c r="C14" s="11">
        <v>45224</v>
      </c>
      <c r="D14" s="11">
        <v>45226</v>
      </c>
      <c r="E14" s="10">
        <f t="shared" si="0"/>
        <v>2</v>
      </c>
      <c r="F14" s="9" t="s">
        <v>322</v>
      </c>
    </row>
    <row r="15" spans="2:6">
      <c r="B15" s="12">
        <v>4</v>
      </c>
      <c r="C15" s="11">
        <v>45378</v>
      </c>
      <c r="D15" s="11">
        <v>45408</v>
      </c>
      <c r="E15" s="10">
        <f t="shared" si="0"/>
        <v>30</v>
      </c>
      <c r="F15" s="9" t="s">
        <v>317</v>
      </c>
    </row>
    <row r="16" spans="2:6">
      <c r="B16" s="12">
        <v>5</v>
      </c>
      <c r="C16" s="11">
        <v>45569</v>
      </c>
      <c r="D16" s="11">
        <v>45576</v>
      </c>
      <c r="E16" s="10">
        <f t="shared" si="0"/>
        <v>7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59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8C50-E607-4A01-BB1F-A6E4CBFD159A}">
  <sheetPr codeName="Sheet15">
    <pageSetUpPr fitToPage="1"/>
  </sheetPr>
  <dimension ref="B1:F49"/>
  <sheetViews>
    <sheetView rightToLeft="1" topLeftCell="A20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6.5703125" style="4" bestFit="1" customWidth="1"/>
    <col min="4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10013</v>
      </c>
      <c r="D3" s="54"/>
      <c r="E3" s="32" t="s">
        <v>303</v>
      </c>
      <c r="F3" s="31">
        <f ca="1">YEARFRAC(TODAY(),C6,1)</f>
        <v>3.805612594113621</v>
      </c>
    </row>
    <row r="4" spans="2:6" ht="16.5">
      <c r="B4" s="29" t="s">
        <v>304</v>
      </c>
      <c r="C4" s="55" t="str">
        <f>VLOOKUP(C3,score,2,FALSE)</f>
        <v>ماهر مهيوب محمد سلطان الفقيه</v>
      </c>
      <c r="D4" s="55"/>
      <c r="E4" s="28" t="s">
        <v>305</v>
      </c>
      <c r="F4" s="30">
        <f ca="1">IF(F3&lt;=5,F3*21,(((F3-5)*30)+(5*21)))</f>
        <v>79.917864476386043</v>
      </c>
    </row>
    <row r="5" spans="2:6" ht="16.5">
      <c r="B5" s="29" t="s">
        <v>306</v>
      </c>
      <c r="C5" s="55" t="str">
        <f>VLOOKUP(C3,score,13,FALSE)</f>
        <v>سائق شاحنة صغيرة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44631</v>
      </c>
      <c r="D6" s="57"/>
      <c r="E6" s="18" t="s">
        <v>309</v>
      </c>
      <c r="F6" s="25">
        <f ca="1">F4-E37</f>
        <v>15.917864476386043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2.8083941605839415</v>
      </c>
      <c r="E9" s="18" t="s">
        <v>312</v>
      </c>
      <c r="F9" s="17">
        <f>(IF(D9&lt;=5,D9*21,(((D9-5)*30)+(5*21))))-E37</f>
        <v>-5.0237226277372287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45522</v>
      </c>
      <c r="D12" s="11">
        <v>45579</v>
      </c>
      <c r="E12" s="10">
        <f t="shared" ref="E12:E36" si="0">D12-C12</f>
        <v>57</v>
      </c>
      <c r="F12" s="9" t="s">
        <v>317</v>
      </c>
    </row>
    <row r="13" spans="2:6">
      <c r="B13" s="12">
        <v>2</v>
      </c>
      <c r="C13" s="11">
        <v>45629</v>
      </c>
      <c r="D13" s="11">
        <v>45636</v>
      </c>
      <c r="E13" s="10">
        <f t="shared" si="0"/>
        <v>7</v>
      </c>
      <c r="F13" s="9" t="s">
        <v>322</v>
      </c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64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E808-29AB-4570-950B-46DF2179A40B}">
  <sheetPr codeName="Sheet16">
    <pageSetUpPr fitToPage="1"/>
  </sheetPr>
  <dimension ref="B1:F49"/>
  <sheetViews>
    <sheetView rightToLeft="1" topLeftCell="A5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6.57031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10014</v>
      </c>
      <c r="D3" s="54"/>
      <c r="E3" s="32" t="s">
        <v>303</v>
      </c>
      <c r="F3" s="31">
        <f ca="1">YEARFRAC(TODAY(),C6,1)</f>
        <v>3.7782340862422998</v>
      </c>
    </row>
    <row r="4" spans="2:6" ht="16.5">
      <c r="B4" s="29" t="s">
        <v>304</v>
      </c>
      <c r="C4" s="55" t="str">
        <f>VLOOKUP(C3,score,2,FALSE)</f>
        <v>PAPON HASAN  APU</v>
      </c>
      <c r="D4" s="55"/>
      <c r="E4" s="28" t="s">
        <v>305</v>
      </c>
      <c r="F4" s="30">
        <f ca="1">IF(F3&lt;=5,F3*21,(((F3-5)*30)+(5*21)))</f>
        <v>79.34291581108829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44641</v>
      </c>
      <c r="D6" s="57"/>
      <c r="E6" s="18" t="s">
        <v>309</v>
      </c>
      <c r="F6" s="25">
        <f ca="1">F4-E37</f>
        <v>18.34291581108829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2.781021897810219</v>
      </c>
      <c r="E9" s="18" t="s">
        <v>312</v>
      </c>
      <c r="F9" s="17">
        <f>(IF(D9&lt;=5,D9*21,(((D9-5)*30)+(5*21))))-E37</f>
        <v>-2.5985401459854032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45446</v>
      </c>
      <c r="D12" s="11">
        <v>45507</v>
      </c>
      <c r="E12" s="10">
        <f t="shared" ref="E12:E36" si="0">D12-C12</f>
        <v>61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61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4385-818A-4051-9E06-30DF3E281478}">
  <sheetPr codeName="Sheet17">
    <pageSetUpPr fitToPage="1"/>
  </sheetPr>
  <dimension ref="B1:F49"/>
  <sheetViews>
    <sheetView rightToLeft="1" zoomScaleNormal="100" workbookViewId="0">
      <selection activeCell="C9" sqref="C9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10015</v>
      </c>
      <c r="D3" s="54"/>
      <c r="E3" s="32" t="s">
        <v>303</v>
      </c>
      <c r="F3" s="31">
        <f ca="1">YEARFRAC(TODAY(),C6,1)</f>
        <v>3.5044490075290895</v>
      </c>
    </row>
    <row r="4" spans="2:6" ht="16.5">
      <c r="B4" s="29" t="s">
        <v>304</v>
      </c>
      <c r="C4" s="55" t="str">
        <f>VLOOKUP(C3,score,2,FALSE)</f>
        <v>صدام عبده علي الغانمي</v>
      </c>
      <c r="D4" s="55"/>
      <c r="E4" s="28" t="s">
        <v>305</v>
      </c>
      <c r="F4" s="30">
        <f ca="1">IF(F3&lt;=5,F3*21,(((F3-5)*30)+(5*21)))</f>
        <v>73.593429158110879</v>
      </c>
    </row>
    <row r="5" spans="2:6" ht="16.5">
      <c r="B5" s="29" t="s">
        <v>306</v>
      </c>
      <c r="C5" s="55" t="str">
        <f>VLOOKUP(C3,score,13,FALSE)</f>
        <v>سائق شاحنة صغيرة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44741</v>
      </c>
      <c r="D6" s="57"/>
      <c r="E6" s="18" t="s">
        <v>309</v>
      </c>
      <c r="F6" s="25">
        <f ca="1">F4-E37</f>
        <v>15.593429158110879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2.507299270072993</v>
      </c>
      <c r="E9" s="18" t="s">
        <v>312</v>
      </c>
      <c r="F9" s="17">
        <f>(IF(D9&lt;=5,D9*21,(((D9-5)*30)+(5*21))))-E37</f>
        <v>-5.3467153284671483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45494</v>
      </c>
      <c r="D12" s="11">
        <v>45552</v>
      </c>
      <c r="E12" s="10">
        <f t="shared" ref="E12:E36" si="0">D12-C12</f>
        <v>58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58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27F8-7F35-4E56-AC42-3321C83715F4}">
  <sheetPr codeName="Sheet18">
    <pageSetUpPr fitToPage="1"/>
  </sheetPr>
  <dimension ref="B1:F49"/>
  <sheetViews>
    <sheetView rightToLeft="1" view="pageBreakPreview" zoomScale="60" zoomScaleNormal="100" workbookViewId="0">
      <selection activeCell="E15" sqref="E15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10016</v>
      </c>
      <c r="D3" s="54"/>
      <c r="E3" s="32" t="s">
        <v>303</v>
      </c>
      <c r="F3" s="31">
        <f ca="1">YEARFRAC(TODAY(),C6,1)</f>
        <v>3.4989733059548254</v>
      </c>
    </row>
    <row r="4" spans="2:6" ht="16.5">
      <c r="B4" s="29" t="s">
        <v>304</v>
      </c>
      <c r="C4" s="55" t="str">
        <f>VLOOKUP(C3,score,2,FALSE)</f>
        <v>مارية ابراهيم بن صالح الخضيري</v>
      </c>
      <c r="D4" s="55"/>
      <c r="E4" s="28" t="s">
        <v>305</v>
      </c>
      <c r="F4" s="30">
        <f ca="1">IF(F3&lt;=5,F3*21,(((F3-5)*30)+(5*21)))</f>
        <v>73.478439425051334</v>
      </c>
    </row>
    <row r="5" spans="2:6" ht="16.5">
      <c r="B5" s="29" t="s">
        <v>306</v>
      </c>
      <c r="C5" s="55" t="str">
        <f>VLOOKUP(C3,score,13,FALSE)</f>
        <v>مندوب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44743</v>
      </c>
      <c r="D6" s="57"/>
      <c r="E6" s="18" t="s">
        <v>309</v>
      </c>
      <c r="F6" s="25">
        <f ca="1">F4-E37</f>
        <v>39.478439425051334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2.5018248175182483</v>
      </c>
      <c r="E9" s="18" t="s">
        <v>312</v>
      </c>
      <c r="F9" s="17">
        <f>(IF(D9&lt;=5,D9*21,(((D9-5)*30)+(5*21))))-E37</f>
        <v>18.538321167883211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44983</v>
      </c>
      <c r="D12" s="11">
        <v>45001</v>
      </c>
      <c r="E12" s="10">
        <f t="shared" ref="E12:E36" si="0">D12-C12</f>
        <v>18</v>
      </c>
      <c r="F12" s="9"/>
    </row>
    <row r="13" spans="2:6">
      <c r="B13" s="12">
        <v>2</v>
      </c>
      <c r="C13" s="11">
        <v>45357</v>
      </c>
      <c r="D13" s="11">
        <v>45373</v>
      </c>
      <c r="E13" s="10">
        <f t="shared" si="0"/>
        <v>16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17DF-02EA-4E4A-A74F-53C9E49E605F}">
  <sheetPr codeName="Sheet19">
    <pageSetUpPr fitToPage="1"/>
  </sheetPr>
  <dimension ref="B1:F49"/>
  <sheetViews>
    <sheetView rightToLeft="1" topLeftCell="A5" zoomScaleNormal="100" workbookViewId="0">
      <selection activeCell="C9" sqref="C9"/>
    </sheetView>
  </sheetViews>
  <sheetFormatPr defaultRowHeight="15"/>
  <cols>
    <col min="1" max="1" width="9.140625" style="4"/>
    <col min="2" max="2" width="15.7109375" style="4" bestFit="1" customWidth="1"/>
    <col min="3" max="3" width="16.5703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10017</v>
      </c>
      <c r="D3" s="54"/>
      <c r="E3" s="32" t="s">
        <v>303</v>
      </c>
      <c r="F3" s="31">
        <f ca="1">YEARFRAC(TODAY(),C6,1)</f>
        <v>3.3100616016427105</v>
      </c>
    </row>
    <row r="4" spans="2:6" ht="16.5">
      <c r="B4" s="29" t="s">
        <v>304</v>
      </c>
      <c r="C4" s="55" t="str">
        <f>VLOOKUP(C3,score,2,FALSE)</f>
        <v>PAWAN SINGH BACHI SINGH</v>
      </c>
      <c r="D4" s="55"/>
      <c r="E4" s="28" t="s">
        <v>305</v>
      </c>
      <c r="F4" s="30">
        <f ca="1">IF(F3&lt;=5,F3*21,(((F3-5)*30)+(5*21)))</f>
        <v>69.511293634496923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44812</v>
      </c>
      <c r="D6" s="57"/>
      <c r="E6" s="18" t="s">
        <v>309</v>
      </c>
      <c r="F6" s="25">
        <f ca="1">F4-E37</f>
        <v>21.511293634496923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2.312956204379562</v>
      </c>
      <c r="E9" s="18" t="s">
        <v>312</v>
      </c>
      <c r="F9" s="17">
        <f>(IF(D9&lt;=5,D9*21,(((D9-5)*30)+(5*21))))-E37</f>
        <v>0.57208029197079924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45505</v>
      </c>
      <c r="D12" s="11">
        <v>45553</v>
      </c>
      <c r="E12" s="10">
        <f t="shared" ref="E12:E36" si="0">D12-C12</f>
        <v>48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48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B685-06CB-4A90-85E3-0308326BB4C6}">
  <sheetPr codeName="Sheet20">
    <pageSetUpPr fitToPage="1"/>
  </sheetPr>
  <dimension ref="B1:F49"/>
  <sheetViews>
    <sheetView rightToLeft="1" topLeftCell="A6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10018</v>
      </c>
      <c r="D3" s="54"/>
      <c r="E3" s="32" t="s">
        <v>303</v>
      </c>
      <c r="F3" s="31">
        <f ca="1">YEARFRAC(TODAY(),C6,1)</f>
        <v>3.2114989733059547</v>
      </c>
    </row>
    <row r="4" spans="2:6" ht="16.5">
      <c r="B4" s="29" t="s">
        <v>304</v>
      </c>
      <c r="C4" s="55" t="str">
        <f>VLOOKUP(C3,score,2,FALSE)</f>
        <v>MD MONIR  HOSEN</v>
      </c>
      <c r="D4" s="55"/>
      <c r="E4" s="28" t="s">
        <v>305</v>
      </c>
      <c r="F4" s="30">
        <f ca="1">IF(F3&lt;=5,F3*21,(((F3-5)*30)+(5*21)))</f>
        <v>67.441478439425055</v>
      </c>
    </row>
    <row r="5" spans="2:6" ht="16.5">
      <c r="B5" s="29" t="s">
        <v>306</v>
      </c>
      <c r="C5" s="55" t="str">
        <f>VLOOKUP(C3,score,13,FALSE)</f>
        <v>عامل تنظيف مكاتب ومنشآت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44848</v>
      </c>
      <c r="D6" s="57"/>
      <c r="E6" s="18" t="s">
        <v>309</v>
      </c>
      <c r="F6" s="25">
        <f ca="1">F4-E37</f>
        <v>13.441478439425055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2.2144160583941606</v>
      </c>
      <c r="E9" s="18" t="s">
        <v>312</v>
      </c>
      <c r="F9" s="17">
        <f>(IF(D9&lt;=5,D9*21,(((D9-5)*30)+(5*21))))-E37</f>
        <v>-7.4972627737226247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45288</v>
      </c>
      <c r="D12" s="11">
        <v>45342</v>
      </c>
      <c r="E12" s="10">
        <f t="shared" ref="E12:E36" si="0">D12-C12</f>
        <v>54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54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45342</v>
      </c>
      <c r="D42" s="11">
        <v>45376</v>
      </c>
      <c r="E42" s="10">
        <f t="shared" ref="E42:E49" si="1">D42-C42</f>
        <v>34</v>
      </c>
      <c r="F42" s="9" t="s">
        <v>321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5A3F-A6E1-443B-B270-EB2021B8B2FA}">
  <sheetPr codeName="Sheet21">
    <pageSetUpPr fitToPage="1"/>
  </sheetPr>
  <dimension ref="B1:F49"/>
  <sheetViews>
    <sheetView rightToLeft="1" topLeftCell="A5" zoomScaleNormal="100" workbookViewId="0">
      <selection activeCell="C9" sqref="C9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10019</v>
      </c>
      <c r="D3" s="54"/>
      <c r="E3" s="32" t="s">
        <v>303</v>
      </c>
      <c r="F3" s="31">
        <f ca="1">YEARFRAC(TODAY(),C6,1)</f>
        <v>3.2114989733059547</v>
      </c>
    </row>
    <row r="4" spans="2:6" ht="16.5">
      <c r="B4" s="29" t="s">
        <v>304</v>
      </c>
      <c r="C4" s="55" t="str">
        <f>VLOOKUP(C3,score,2,FALSE)</f>
        <v>FAKHRUL   ISLAM</v>
      </c>
      <c r="D4" s="55"/>
      <c r="E4" s="28" t="s">
        <v>305</v>
      </c>
      <c r="F4" s="30">
        <f ca="1">IF(F3&lt;=5,F3*21,(((F3-5)*30)+(5*21)))</f>
        <v>67.441478439425055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44848</v>
      </c>
      <c r="D6" s="57"/>
      <c r="E6" s="18" t="s">
        <v>309</v>
      </c>
      <c r="F6" s="25">
        <f ca="1">F4-E37</f>
        <v>21.441478439425055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2.2144160583941606</v>
      </c>
      <c r="E9" s="18" t="s">
        <v>312</v>
      </c>
      <c r="F9" s="17">
        <f>(IF(D9&lt;=5,D9*21,(((D9-5)*30)+(5*21))))-E37</f>
        <v>0.50273722627737527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45597</v>
      </c>
      <c r="D12" s="11">
        <v>45643</v>
      </c>
      <c r="E12" s="10">
        <f t="shared" ref="E12:E36" si="0">D12-C12</f>
        <v>46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46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F8C4-D622-4F14-8959-B4EE43F37C09}">
  <sheetPr codeName="Sheet22">
    <pageSetUpPr fitToPage="1"/>
  </sheetPr>
  <dimension ref="B1:F49"/>
  <sheetViews>
    <sheetView rightToLeft="1" topLeftCell="B3" zoomScaleNormal="100" workbookViewId="0">
      <selection activeCell="D14" sqref="D14"/>
    </sheetView>
  </sheetViews>
  <sheetFormatPr defaultRowHeight="15"/>
  <cols>
    <col min="1" max="1" width="9.140625" style="4"/>
    <col min="2" max="2" width="15.7109375" style="4" bestFit="1" customWidth="1"/>
    <col min="3" max="4" width="16.57031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10020</v>
      </c>
      <c r="D3" s="54"/>
      <c r="E3" s="32" t="s">
        <v>303</v>
      </c>
      <c r="F3" s="31">
        <f ca="1">YEARFRAC(TODAY(),C6,1)</f>
        <v>3.1868583162217661</v>
      </c>
    </row>
    <row r="4" spans="2:6" ht="16.5">
      <c r="B4" s="29" t="s">
        <v>304</v>
      </c>
      <c r="C4" s="55" t="str">
        <f>VLOOKUP(C3,score,2,FALSE)</f>
        <v>حمد دفع الله حمد على</v>
      </c>
      <c r="D4" s="55"/>
      <c r="E4" s="28" t="s">
        <v>305</v>
      </c>
      <c r="F4" s="30">
        <f ca="1">IF(F3&lt;=5,F3*21,(((F3-5)*30)+(5*21)))</f>
        <v>66.92402464065708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44857</v>
      </c>
      <c r="D6" s="57"/>
      <c r="E6" s="18" t="s">
        <v>309</v>
      </c>
      <c r="F6" s="25">
        <f ca="1">F4-E37</f>
        <v>20.92402464065708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2.1897810218978102</v>
      </c>
      <c r="E9" s="18" t="s">
        <v>312</v>
      </c>
      <c r="F9" s="17">
        <f>(IF(D9&lt;=5,D9*21,(((D9-5)*30)+(5*21))))-E37</f>
        <v>-1.4598540145982497E-2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45096</v>
      </c>
      <c r="D12" s="11">
        <v>45142</v>
      </c>
      <c r="E12" s="10">
        <f t="shared" ref="E12:E36" si="0">D12-C12</f>
        <v>46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46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45143</v>
      </c>
      <c r="D42" s="11">
        <v>45157</v>
      </c>
      <c r="E42" s="10">
        <f t="shared" ref="E42:E49" si="1">D42-C42</f>
        <v>14</v>
      </c>
      <c r="F42" s="9" t="s">
        <v>321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9VdjxKvCJ/O31zVurkmbuPt480XXx68Z5XtrOm+lSEWZ5z8S9W4fUoT4GCfv9A6G/5efxmd0Ppm9d+fPwC9wqA==" saltValue="m0Gz1ngAY+0hfuow7++FoQ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1AF6-AD46-48A4-A15F-32548DF5C4E1}">
  <sheetPr codeName="Sheet23">
    <pageSetUpPr fitToPage="1"/>
  </sheetPr>
  <dimension ref="B1:F49"/>
  <sheetViews>
    <sheetView rightToLeft="1" topLeftCell="B7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10021</v>
      </c>
      <c r="D3" s="54"/>
      <c r="E3" s="32" t="s">
        <v>303</v>
      </c>
      <c r="F3" s="31">
        <f ca="1">YEARFRAC(TODAY(),C6,1)</f>
        <v>2.9178832116788325</v>
      </c>
    </row>
    <row r="4" spans="2:6" ht="16.5">
      <c r="B4" s="29" t="s">
        <v>304</v>
      </c>
      <c r="C4" s="55" t="str">
        <f>VLOOKUP(C3,score,2,FALSE)</f>
        <v>شادي عبدالكافي محسن عبدالله</v>
      </c>
      <c r="D4" s="55"/>
      <c r="E4" s="28" t="s">
        <v>305</v>
      </c>
      <c r="F4" s="30">
        <f ca="1">IF(F3&lt;=5,F3*21,(((F3-5)*30)+(5*21)))</f>
        <v>61.275547445255484</v>
      </c>
    </row>
    <row r="5" spans="2:6" ht="16.5">
      <c r="B5" s="29" t="s">
        <v>306</v>
      </c>
      <c r="C5" s="55" t="str">
        <f>VLOOKUP(C3,score,13,FALSE)</f>
        <v>عامل عادي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44955</v>
      </c>
      <c r="D6" s="57"/>
      <c r="E6" s="18" t="s">
        <v>309</v>
      </c>
      <c r="F6" s="25">
        <f ca="1">F4-E37</f>
        <v>21.275547445255484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1.9206566347469221</v>
      </c>
      <c r="E9" s="18" t="s">
        <v>312</v>
      </c>
      <c r="F9" s="17">
        <f>(IF(D9&lt;=5,D9*21,(((D9-5)*30)+(5*21))))-E37</f>
        <v>0.33378932968536645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45442</v>
      </c>
      <c r="D12" s="11">
        <v>45482</v>
      </c>
      <c r="E12" s="10">
        <f t="shared" ref="E12:E36" si="0">D12-C12</f>
        <v>40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45473</v>
      </c>
      <c r="D42" s="11">
        <v>45493</v>
      </c>
      <c r="E42" s="10">
        <f t="shared" ref="E42:E49" si="1">D42-C42</f>
        <v>20</v>
      </c>
      <c r="F42" s="9" t="s">
        <v>321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4089-DF18-4BD3-B271-62001D553068}">
  <sheetPr codeName="Sheet24">
    <pageSetUpPr fitToPage="1"/>
  </sheetPr>
  <dimension ref="B1:F49"/>
  <sheetViews>
    <sheetView rightToLeft="1" topLeftCell="A10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10022</v>
      </c>
      <c r="D3" s="54"/>
      <c r="E3" s="32" t="s">
        <v>303</v>
      </c>
      <c r="F3" s="31">
        <f ca="1">YEARFRAC(TODAY(),C6,1)</f>
        <v>2.9096715328467155</v>
      </c>
    </row>
    <row r="4" spans="2:6" ht="16.5">
      <c r="B4" s="29" t="s">
        <v>304</v>
      </c>
      <c r="C4" s="55" t="str">
        <f>VLOOKUP(C3,score,2,FALSE)</f>
        <v>صادق امين محمد شملان</v>
      </c>
      <c r="D4" s="55"/>
      <c r="E4" s="28" t="s">
        <v>305</v>
      </c>
      <c r="F4" s="30">
        <f ca="1">IF(F3&lt;=5,F3*21,(((F3-5)*30)+(5*21)))</f>
        <v>61.103102189781026</v>
      </c>
    </row>
    <row r="5" spans="2:6" ht="16.5">
      <c r="B5" s="29" t="s">
        <v>306</v>
      </c>
      <c r="C5" s="55" t="str">
        <f>VLOOKUP(C3,score,13,FALSE)</f>
        <v>سائق شاحنة صغيرة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44958</v>
      </c>
      <c r="D6" s="57"/>
      <c r="E6" s="18" t="s">
        <v>309</v>
      </c>
      <c r="F6" s="25">
        <f ca="1">F4-E37</f>
        <v>14.103102189781026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1.9124487004103967</v>
      </c>
      <c r="E9" s="18" t="s">
        <v>312</v>
      </c>
      <c r="F9" s="17">
        <f>(IF(D9&lt;=5,D9*21,(((D9-5)*30)+(5*21))))-E37</f>
        <v>-6.838577291381668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45645</v>
      </c>
      <c r="D12" s="11">
        <v>45659</v>
      </c>
      <c r="E12" s="10">
        <f t="shared" ref="E12:E36" si="0">D12-C12</f>
        <v>14</v>
      </c>
      <c r="F12" s="9" t="s">
        <v>322</v>
      </c>
    </row>
    <row r="13" spans="2:6">
      <c r="B13" s="12">
        <v>2</v>
      </c>
      <c r="C13" s="11">
        <v>45782</v>
      </c>
      <c r="D13" s="11">
        <v>45815</v>
      </c>
      <c r="E13" s="10">
        <f t="shared" si="0"/>
        <v>33</v>
      </c>
      <c r="F13" s="9" t="s">
        <v>317</v>
      </c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47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45815</v>
      </c>
      <c r="D42" s="11">
        <v>45820</v>
      </c>
      <c r="E42" s="10">
        <f t="shared" ref="E42:E49" si="1">D42-C42</f>
        <v>5</v>
      </c>
      <c r="F42" s="9" t="s">
        <v>323</v>
      </c>
    </row>
    <row r="43" spans="2:6">
      <c r="B43" s="12">
        <v>2</v>
      </c>
      <c r="C43" s="11">
        <v>45820</v>
      </c>
      <c r="D43" s="11">
        <v>45905</v>
      </c>
      <c r="E43" s="10">
        <f t="shared" si="1"/>
        <v>85</v>
      </c>
      <c r="F43" s="9" t="s">
        <v>321</v>
      </c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5F00-442E-460B-A9B8-D37BC5110887}">
  <sheetPr codeName="Sheet25">
    <pageSetUpPr fitToPage="1"/>
  </sheetPr>
  <dimension ref="B1:F49"/>
  <sheetViews>
    <sheetView rightToLeft="1" topLeftCell="A2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10023</v>
      </c>
      <c r="D3" s="54"/>
      <c r="E3" s="32" t="s">
        <v>303</v>
      </c>
      <c r="F3" s="31">
        <f ca="1">YEARFRAC(TODAY(),C6,1)</f>
        <v>2.8193430656934306</v>
      </c>
    </row>
    <row r="4" spans="2:6" ht="16.5">
      <c r="B4" s="29" t="s">
        <v>304</v>
      </c>
      <c r="C4" s="55" t="str">
        <f>VLOOKUP(C3,score,2,FALSE)</f>
        <v>MD MEHEDI  HASAN</v>
      </c>
      <c r="D4" s="55"/>
      <c r="E4" s="28" t="s">
        <v>305</v>
      </c>
      <c r="F4" s="30">
        <f ca="1">IF(F3&lt;=5,F3*21,(((F3-5)*30)+(5*21)))</f>
        <v>59.206204379562045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44991</v>
      </c>
      <c r="D6" s="57"/>
      <c r="E6" s="18" t="s">
        <v>309</v>
      </c>
      <c r="F6" s="25">
        <f ca="1">F4-E37</f>
        <v>21.206204379562045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1.8221614227086183</v>
      </c>
      <c r="E9" s="18" t="s">
        <v>312</v>
      </c>
      <c r="F9" s="17">
        <f>(IF(D9&lt;=5,D9*21,(((D9-5)*30)+(5*21))))-E37</f>
        <v>0.26538987688098103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45597</v>
      </c>
      <c r="D12" s="11">
        <v>45635</v>
      </c>
      <c r="E12" s="10">
        <f t="shared" ref="E12:E36" si="0">D12-C12</f>
        <v>38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38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951D-5E32-449A-AB27-15EE2CE80B2E}">
  <sheetPr codeName="Sheet26">
    <pageSetUpPr fitToPage="1"/>
  </sheetPr>
  <dimension ref="B1:F49"/>
  <sheetViews>
    <sheetView rightToLeft="1" topLeftCell="A5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10024</v>
      </c>
      <c r="D3" s="54"/>
      <c r="E3" s="32" t="s">
        <v>303</v>
      </c>
      <c r="F3" s="31">
        <f ca="1">YEARFRAC(TODAY(),C6,1)</f>
        <v>2.7837591240875912</v>
      </c>
    </row>
    <row r="4" spans="2:6" ht="16.5">
      <c r="B4" s="29" t="s">
        <v>304</v>
      </c>
      <c r="C4" s="55" t="str">
        <f>VLOOKUP(C3,score,2,FALSE)</f>
        <v>عبدالرحمن خالد عبدالله القعيد</v>
      </c>
      <c r="D4" s="55"/>
      <c r="E4" s="28" t="s">
        <v>305</v>
      </c>
      <c r="F4" s="30">
        <f ca="1">IF(F3&lt;=5,F3*21,(((F3-5)*30)+(5*21)))</f>
        <v>58.458941605839414</v>
      </c>
    </row>
    <row r="5" spans="2:6" ht="16.5">
      <c r="B5" s="29" t="s">
        <v>306</v>
      </c>
      <c r="C5" s="55" t="str">
        <f>VLOOKUP(C3,score,13,FALSE)</f>
        <v>مشرف مدخلي البيانات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45004</v>
      </c>
      <c r="D6" s="57"/>
      <c r="E6" s="18" t="s">
        <v>309</v>
      </c>
      <c r="F6" s="25">
        <f ca="1">F4-E37</f>
        <v>21.458941605839414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1.7865937072503419</v>
      </c>
      <c r="E9" s="18" t="s">
        <v>312</v>
      </c>
      <c r="F9" s="17">
        <f>(IF(D9&lt;=5,D9*21,(((D9-5)*30)+(5*21))))-E37</f>
        <v>0.51846785225718151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45292</v>
      </c>
      <c r="D12" s="11">
        <v>45308</v>
      </c>
      <c r="E12" s="10">
        <f t="shared" ref="E12:E36" si="0">D12-C12</f>
        <v>16</v>
      </c>
      <c r="F12" s="9"/>
    </row>
    <row r="13" spans="2:6">
      <c r="B13" s="12">
        <v>2</v>
      </c>
      <c r="C13" s="11">
        <v>45627</v>
      </c>
      <c r="D13" s="11">
        <v>45648</v>
      </c>
      <c r="E13" s="10">
        <f t="shared" si="0"/>
        <v>21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DE9A-C497-4D2D-9B77-73FA25B65DE0}">
  <sheetPr codeName="Sheet27">
    <pageSetUpPr fitToPage="1"/>
  </sheetPr>
  <dimension ref="B1:F49"/>
  <sheetViews>
    <sheetView rightToLeft="1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10025</v>
      </c>
      <c r="D3" s="54"/>
      <c r="E3" s="32" t="s">
        <v>303</v>
      </c>
      <c r="F3" s="31">
        <f ca="1">YEARFRAC(TODAY(),C6,1)</f>
        <v>2.570255474452555</v>
      </c>
    </row>
    <row r="4" spans="2:6" ht="16.5">
      <c r="B4" s="29" t="s">
        <v>304</v>
      </c>
      <c r="C4" s="55" t="str">
        <f>VLOOKUP(C3,score,2,FALSE)</f>
        <v>أميره هليل بديع العنزي</v>
      </c>
      <c r="D4" s="55"/>
      <c r="E4" s="28" t="s">
        <v>305</v>
      </c>
      <c r="F4" s="30">
        <f ca="1">IF(F3&lt;=5,F3*21,(((F3-5)*30)+(5*21)))</f>
        <v>53.975364963503651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45082</v>
      </c>
      <c r="D6" s="57"/>
      <c r="E6" s="18" t="s">
        <v>309</v>
      </c>
      <c r="F6" s="25">
        <f ca="1">F4-E37</f>
        <v>20.975364963503651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1.5731874145006839</v>
      </c>
      <c r="E9" s="18" t="s">
        <v>312</v>
      </c>
      <c r="F9" s="17">
        <f>(IF(D9&lt;=5,D9*21,(((D9-5)*30)+(5*21))))-E37</f>
        <v>3.693570451436301E-2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45323</v>
      </c>
      <c r="D12" s="11">
        <v>45335</v>
      </c>
      <c r="E12" s="10">
        <f t="shared" ref="E12:E36" si="0">D12-C12</f>
        <v>12</v>
      </c>
      <c r="F12" s="9"/>
    </row>
    <row r="13" spans="2:6">
      <c r="B13" s="12">
        <v>2</v>
      </c>
      <c r="C13" s="11">
        <v>45627</v>
      </c>
      <c r="D13" s="11">
        <v>45648</v>
      </c>
      <c r="E13" s="10">
        <f t="shared" si="0"/>
        <v>21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33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C64F-F05A-4263-8025-484FD2477208}">
  <sheetPr codeName="Sheet28">
    <pageSetUpPr fitToPage="1"/>
  </sheetPr>
  <dimension ref="B1:F49"/>
  <sheetViews>
    <sheetView rightToLeft="1" zoomScaleNormal="100" workbookViewId="0">
      <selection activeCell="D16" sqref="D16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10026</v>
      </c>
      <c r="D3" s="54"/>
      <c r="E3" s="32" t="s">
        <v>303</v>
      </c>
      <c r="F3" s="31">
        <f ca="1">YEARFRAC(TODAY(),C6,1)</f>
        <v>2.5675182481751828</v>
      </c>
    </row>
    <row r="4" spans="2:6" ht="16.5">
      <c r="B4" s="29" t="s">
        <v>304</v>
      </c>
      <c r="C4" s="55" t="str">
        <f>VLOOKUP(C3,score,2,FALSE)</f>
        <v>حليمه محمد محمد طميحي</v>
      </c>
      <c r="D4" s="55"/>
      <c r="E4" s="28" t="s">
        <v>305</v>
      </c>
      <c r="F4" s="30">
        <f ca="1">IF(F3&lt;=5,F3*21,(((F3-5)*30)+(5*21)))</f>
        <v>53.917883211678841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45083</v>
      </c>
      <c r="D6" s="57"/>
      <c r="E6" s="18" t="s">
        <v>309</v>
      </c>
      <c r="F6" s="25">
        <f ca="1">F4-E37</f>
        <v>21.917883211678841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1.5704514363885089</v>
      </c>
      <c r="E9" s="18" t="s">
        <v>312</v>
      </c>
      <c r="F9" s="17">
        <f>(IF(D9&lt;=5,D9*21,(((D9-5)*30)+(5*21))))-E37</f>
        <v>0.97948016415868722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45566</v>
      </c>
      <c r="D12" s="11">
        <v>45598</v>
      </c>
      <c r="E12" s="10">
        <f t="shared" ref="E12:E36" si="0">D12-C12</f>
        <v>32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0CB-7FA7-4D2F-B93D-209A19EB34A6}">
  <sheetPr codeName="Sheet29">
    <pageSetUpPr fitToPage="1"/>
  </sheetPr>
  <dimension ref="B1:F49"/>
  <sheetViews>
    <sheetView rightToLeft="1" topLeftCell="A2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10027</v>
      </c>
      <c r="D3" s="54"/>
      <c r="E3" s="32" t="s">
        <v>303</v>
      </c>
      <c r="F3" s="31">
        <f ca="1">YEARFRAC(TODAY(),C6,1)</f>
        <v>2.5593065693430659</v>
      </c>
    </row>
    <row r="4" spans="2:6" ht="16.5">
      <c r="B4" s="29" t="s">
        <v>304</v>
      </c>
      <c r="C4" s="55" t="str">
        <f>VLOOKUP(C3,score,2,FALSE)</f>
        <v>رغد علي بن غياض العنزي</v>
      </c>
      <c r="D4" s="55"/>
      <c r="E4" s="28" t="s">
        <v>305</v>
      </c>
      <c r="F4" s="30">
        <f ca="1">IF(F3&lt;=5,F3*21,(((F3-5)*30)+(5*21)))</f>
        <v>53.745437956204384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45086</v>
      </c>
      <c r="D6" s="57"/>
      <c r="E6" s="18" t="s">
        <v>309</v>
      </c>
      <c r="F6" s="25">
        <f ca="1">F4-E37</f>
        <v>21.745437956204384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1.5622435020519836</v>
      </c>
      <c r="E9" s="18" t="s">
        <v>312</v>
      </c>
      <c r="F9" s="17">
        <f>(IF(D9&lt;=5,D9*21,(((D9-5)*30)+(5*21))))-E37</f>
        <v>0.80711354309165273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45567</v>
      </c>
      <c r="D12" s="11">
        <v>45599</v>
      </c>
      <c r="E12" s="10">
        <f t="shared" ref="E12:E36" si="0">D12-C12</f>
        <v>32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E42-C77A-46D5-9873-15E8CCD6FF60}">
  <sheetPr codeName="Sheet30">
    <pageSetUpPr fitToPage="1"/>
  </sheetPr>
  <dimension ref="B1:F49"/>
  <sheetViews>
    <sheetView rightToLeft="1" zoomScaleNormal="100" workbookViewId="0">
      <selection activeCell="E13" sqref="E13"/>
    </sheetView>
  </sheetViews>
  <sheetFormatPr defaultRowHeight="15"/>
  <cols>
    <col min="1" max="1" width="9.140625" style="4"/>
    <col min="2" max="2" width="15.7109375" style="4" bestFit="1" customWidth="1"/>
    <col min="3" max="3" width="16.5703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10028</v>
      </c>
      <c r="D3" s="54"/>
      <c r="E3" s="32" t="s">
        <v>303</v>
      </c>
      <c r="F3" s="31">
        <f ca="1">YEARFRAC(TODAY(),C6,1)</f>
        <v>2.4990875912408761</v>
      </c>
    </row>
    <row r="4" spans="2:6" ht="16.5">
      <c r="B4" s="29" t="s">
        <v>304</v>
      </c>
      <c r="C4" s="55" t="str">
        <f>VLOOKUP(C3,score,2,FALSE)</f>
        <v>رشيد محمد عبدالله قائد الشميري</v>
      </c>
      <c r="D4" s="55"/>
      <c r="E4" s="28" t="s">
        <v>305</v>
      </c>
      <c r="F4" s="30">
        <f ca="1">IF(F3&lt;=5,F3*21,(((F3-5)*30)+(5*21)))</f>
        <v>52.480839416058402</v>
      </c>
    </row>
    <row r="5" spans="2:6" ht="16.5">
      <c r="B5" s="29" t="s">
        <v>306</v>
      </c>
      <c r="C5" s="55" t="str">
        <f>VLOOKUP(C3,score,13,FALSE)</f>
        <v>عامل عادي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45108</v>
      </c>
      <c r="D6" s="57"/>
      <c r="E6" s="18" t="s">
        <v>309</v>
      </c>
      <c r="F6" s="25">
        <f ca="1">F4-E37</f>
        <v>21.480839416058402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1.5020519835841313</v>
      </c>
      <c r="E9" s="18" t="s">
        <v>312</v>
      </c>
      <c r="F9" s="17">
        <f>(IF(D9&lt;=5,D9*21,(((D9-5)*30)+(5*21))))-E37</f>
        <v>0.54309165526675685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45505</v>
      </c>
      <c r="D12" s="11">
        <v>45536</v>
      </c>
      <c r="E12" s="10">
        <f t="shared" ref="E12:E36" si="0">D12-C12</f>
        <v>31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7CB3-79DC-480C-B9E2-E5FE643ECB31}">
  <sheetPr codeName="Sheet31">
    <pageSetUpPr fitToPage="1"/>
  </sheetPr>
  <dimension ref="B1:F49"/>
  <sheetViews>
    <sheetView rightToLeft="1" topLeftCell="A5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10029</v>
      </c>
      <c r="D3" s="54"/>
      <c r="E3" s="32" t="s">
        <v>303</v>
      </c>
      <c r="F3" s="31">
        <f ca="1">YEARFRAC(TODAY(),C6,1)</f>
        <v>2.4854014598540148</v>
      </c>
    </row>
    <row r="4" spans="2:6" ht="16.5">
      <c r="B4" s="29" t="s">
        <v>304</v>
      </c>
      <c r="C4" s="55" t="str">
        <f>VLOOKUP(C3,score,2,FALSE)</f>
        <v>سامي ابراهيم محمد عبده الشلح</v>
      </c>
      <c r="D4" s="55"/>
      <c r="E4" s="28" t="s">
        <v>305</v>
      </c>
      <c r="F4" s="30">
        <f ca="1">IF(F3&lt;=5,F3*21,(((F3-5)*30)+(5*21)))</f>
        <v>52.193430656934311</v>
      </c>
    </row>
    <row r="5" spans="2:6" ht="16.5">
      <c r="B5" s="29" t="s">
        <v>306</v>
      </c>
      <c r="C5" s="55" t="str">
        <f>VLOOKUP(C3,score,13,FALSE)</f>
        <v>سائق شاحنة صغيرة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45113</v>
      </c>
      <c r="D6" s="57"/>
      <c r="E6" s="18" t="s">
        <v>309</v>
      </c>
      <c r="F6" s="25">
        <f ca="1">F4-E37</f>
        <v>21.193430656934311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1.4883720930232558</v>
      </c>
      <c r="E9" s="18" t="s">
        <v>312</v>
      </c>
      <c r="F9" s="17">
        <f>(IF(D9&lt;=5,D9*21,(((D9-5)*30)+(5*21))))-E37</f>
        <v>0.25581395348837077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45597</v>
      </c>
      <c r="D12" s="11">
        <v>45628</v>
      </c>
      <c r="E12" s="10">
        <f t="shared" ref="E12:E36" si="0">D12-C12</f>
        <v>31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3E26-A9D1-4922-9E0E-D3623383744E}">
  <sheetPr codeName="Sheet32">
    <pageSetUpPr fitToPage="1"/>
  </sheetPr>
  <dimension ref="B1:F49"/>
  <sheetViews>
    <sheetView rightToLeft="1" topLeftCell="A5" zoomScaleNormal="100" workbookViewId="0">
      <selection activeCell="C15" sqref="C15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10030</v>
      </c>
      <c r="D3" s="54"/>
      <c r="E3" s="32" t="s">
        <v>303</v>
      </c>
      <c r="F3" s="31">
        <f ca="1">YEARFRAC(TODAY(),C6,1)</f>
        <v>2.3293795620437958</v>
      </c>
    </row>
    <row r="4" spans="2:6" ht="16.5">
      <c r="B4" s="29" t="s">
        <v>304</v>
      </c>
      <c r="C4" s="55" t="str">
        <f>VLOOKUP(C3,score,2,FALSE)</f>
        <v>SAROJIT BISWAS BISWAS</v>
      </c>
      <c r="D4" s="55"/>
      <c r="E4" s="28" t="s">
        <v>305</v>
      </c>
      <c r="F4" s="30">
        <f ca="1">IF(F3&lt;=5,F3*21,(((F3-5)*30)+(5*21)))</f>
        <v>48.916970802919714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45170</v>
      </c>
      <c r="D6" s="57"/>
      <c r="E6" s="18" t="s">
        <v>309</v>
      </c>
      <c r="F6" s="25">
        <f ca="1">F4-E37</f>
        <v>21.916970802919714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1.3324213406292749</v>
      </c>
      <c r="E9" s="18" t="s">
        <v>312</v>
      </c>
      <c r="F9" s="17">
        <f>(IF(D9&lt;=5,D9*21,(((D9-5)*30)+(5*21))))-E37</f>
        <v>0.98084815321477237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45627</v>
      </c>
      <c r="D12" s="11">
        <v>45654</v>
      </c>
      <c r="E12" s="10">
        <f t="shared" ref="E12:E36" si="0">D12-C12</f>
        <v>27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E726-707C-4BD1-85E2-F83E30DBF199}">
  <sheetPr codeName="Sheet33">
    <pageSetUpPr fitToPage="1"/>
  </sheetPr>
  <dimension ref="B1:F49"/>
  <sheetViews>
    <sheetView rightToLeft="1" topLeftCell="A5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10031</v>
      </c>
      <c r="D3" s="54"/>
      <c r="E3" s="32" t="s">
        <v>303</v>
      </c>
      <c r="F3" s="31">
        <f ca="1">YEARFRAC(TODAY(),C6,1)</f>
        <v>2.2855839416058394</v>
      </c>
    </row>
    <row r="4" spans="2:6" ht="16.5">
      <c r="B4" s="29" t="s">
        <v>304</v>
      </c>
      <c r="C4" s="55" t="str">
        <f>VLOOKUP(C3,score,2,FALSE)</f>
        <v>شروق جهاد بن مقاط العنزي</v>
      </c>
      <c r="D4" s="55"/>
      <c r="E4" s="28" t="s">
        <v>305</v>
      </c>
      <c r="F4" s="30">
        <f ca="1">IF(F3&lt;=5,F3*21,(((F3-5)*30)+(5*21)))</f>
        <v>47.997262773722625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45186</v>
      </c>
      <c r="D6" s="57"/>
      <c r="E6" s="18" t="s">
        <v>309</v>
      </c>
      <c r="F6" s="25">
        <f ca="1">F4-E37</f>
        <v>20.997262773722625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1.2886456908344732</v>
      </c>
      <c r="E9" s="18" t="s">
        <v>312</v>
      </c>
      <c r="F9" s="17">
        <f>(IF(D9&lt;=5,D9*21,(((D9-5)*30)+(5*21))))-E37</f>
        <v>6.155950752393835E-2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45444</v>
      </c>
      <c r="D12" s="11">
        <v>45458</v>
      </c>
      <c r="E12" s="10">
        <f t="shared" ref="E12:E36" si="0">D12-C12</f>
        <v>14</v>
      </c>
      <c r="F12" s="9"/>
    </row>
    <row r="13" spans="2:6">
      <c r="B13" s="12">
        <v>2</v>
      </c>
      <c r="C13" s="11">
        <v>45627</v>
      </c>
      <c r="D13" s="11">
        <v>45640</v>
      </c>
      <c r="E13" s="10">
        <f t="shared" si="0"/>
        <v>13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E77C-5743-403A-92D7-4D74BB8D5CC8}">
  <sheetPr codeName="Sheet34">
    <pageSetUpPr fitToPage="1"/>
  </sheetPr>
  <dimension ref="B1:F49"/>
  <sheetViews>
    <sheetView rightToLeft="1" topLeftCell="A2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4" width="16.57031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10032</v>
      </c>
      <c r="D3" s="54"/>
      <c r="E3" s="32" t="s">
        <v>303</v>
      </c>
      <c r="F3" s="31">
        <f ca="1">YEARFRAC(TODAY(),C6,1)</f>
        <v>2.2527372262773722</v>
      </c>
    </row>
    <row r="4" spans="2:6" ht="16.5">
      <c r="B4" s="29" t="s">
        <v>304</v>
      </c>
      <c r="C4" s="55" t="str">
        <f>VLOOKUP(C3,score,2,FALSE)</f>
        <v>نوره محمد عبدالرحمن القعيد</v>
      </c>
      <c r="D4" s="55"/>
      <c r="E4" s="28" t="s">
        <v>305</v>
      </c>
      <c r="F4" s="30">
        <f ca="1">IF(F3&lt;=5,F3*21,(((F3-5)*30)+(5*21)))</f>
        <v>47.307481751824817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45198</v>
      </c>
      <c r="D6" s="57"/>
      <c r="E6" s="18" t="s">
        <v>309</v>
      </c>
      <c r="F6" s="25">
        <f ca="1">F4-E37</f>
        <v>21.307481751824817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1.2558139534883721</v>
      </c>
      <c r="E9" s="18" t="s">
        <v>312</v>
      </c>
      <c r="F9" s="17">
        <f>(IF(D9&lt;=5,D9*21,(((D9-5)*30)+(5*21))))-E37</f>
        <v>0.37209302325581461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45505</v>
      </c>
      <c r="D12" s="11">
        <v>45531</v>
      </c>
      <c r="E12" s="10">
        <f t="shared" ref="E12:E36" si="0">D12-C12</f>
        <v>26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26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6034-7899-4D08-B005-CE43CBFB8593}">
  <sheetPr codeName="Sheet35">
    <pageSetUpPr fitToPage="1"/>
  </sheetPr>
  <dimension ref="B1:F49"/>
  <sheetViews>
    <sheetView rightToLeft="1" topLeftCell="A2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10033</v>
      </c>
      <c r="D3" s="54"/>
      <c r="E3" s="32" t="s">
        <v>303</v>
      </c>
      <c r="F3" s="31">
        <f ca="1">YEARFRAC(TODAY(),C6,1)</f>
        <v>2.2062043795620441</v>
      </c>
    </row>
    <row r="4" spans="2:6" ht="16.5">
      <c r="B4" s="29" t="s">
        <v>304</v>
      </c>
      <c r="C4" s="55" t="str">
        <f>VLOOKUP(C3,score,2,FALSE)</f>
        <v>MD AMRAN   HOSSAIN</v>
      </c>
      <c r="D4" s="55"/>
      <c r="E4" s="28" t="s">
        <v>305</v>
      </c>
      <c r="F4" s="30">
        <f ca="1">IF(F3&lt;=5,F3*21,(((F3-5)*30)+(5*21)))</f>
        <v>46.330291970802925</v>
      </c>
    </row>
    <row r="5" spans="2:6" ht="16.5">
      <c r="B5" s="29" t="s">
        <v>306</v>
      </c>
      <c r="C5" s="55" t="str">
        <f>VLOOKUP(C3,score,13,FALSE)</f>
        <v>عامل تحميل وتنزيل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45215</v>
      </c>
      <c r="D6" s="57"/>
      <c r="E6" s="18" t="s">
        <v>309</v>
      </c>
      <c r="F6" s="25">
        <f ca="1">F4-E37</f>
        <v>21.330291970802925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1.2093023255813953</v>
      </c>
      <c r="E9" s="18" t="s">
        <v>312</v>
      </c>
      <c r="F9" s="17">
        <f>(IF(D9&lt;=5,D9*21,(((D9-5)*30)+(5*21))))-E37</f>
        <v>0.39534883720930125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45627</v>
      </c>
      <c r="D12" s="11">
        <v>45652</v>
      </c>
      <c r="E12" s="10">
        <f t="shared" ref="E12:E36" si="0">D12-C12</f>
        <v>25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25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2B21-7E44-4A87-A645-B742B818DC5E}">
  <sheetPr codeName="Sheet36">
    <pageSetUpPr fitToPage="1"/>
  </sheetPr>
  <dimension ref="B1:F49"/>
  <sheetViews>
    <sheetView rightToLeft="1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10034</v>
      </c>
      <c r="D3" s="54"/>
      <c r="E3" s="32" t="s">
        <v>303</v>
      </c>
      <c r="F3" s="31">
        <f ca="1">YEARFRAC(TODAY(),C6,1)</f>
        <v>2.1104014598540148</v>
      </c>
    </row>
    <row r="4" spans="2:6" ht="16.5">
      <c r="B4" s="29" t="s">
        <v>304</v>
      </c>
      <c r="C4" s="55" t="str">
        <f>VLOOKUP(C3,score,2,FALSE)</f>
        <v>MAHAMUDUL   HASAN</v>
      </c>
      <c r="D4" s="55"/>
      <c r="E4" s="28" t="s">
        <v>305</v>
      </c>
      <c r="F4" s="30">
        <f ca="1">IF(F3&lt;=5,F3*21,(((F3-5)*30)+(5*21)))</f>
        <v>44.318430656934311</v>
      </c>
    </row>
    <row r="5" spans="2:6" ht="16.5">
      <c r="B5" s="29" t="s">
        <v>306</v>
      </c>
      <c r="C5" s="55" t="str">
        <f>VLOOKUP(C3,score,13,FALSE)</f>
        <v>عامل تحميل وتنزيل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45250</v>
      </c>
      <c r="D6" s="57"/>
      <c r="E6" s="18" t="s">
        <v>309</v>
      </c>
      <c r="F6" s="25">
        <f ca="1">F4-E37</f>
        <v>21.318430656934311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1.1135430916552667</v>
      </c>
      <c r="E9" s="18" t="s">
        <v>312</v>
      </c>
      <c r="F9" s="17">
        <f>(IF(D9&lt;=5,D9*21,(((D9-5)*30)+(5*21))))-E37</f>
        <v>0.38440492476059873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45597</v>
      </c>
      <c r="D12" s="11">
        <v>45620</v>
      </c>
      <c r="E12" s="10">
        <f t="shared" ref="E12:E36" si="0">D12-C12</f>
        <v>23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23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9VdjxKvCJ/O31zVurkmbuPt480XXx68Z5XtrOm+lSEWZ5z8S9W4fUoT4GCfv9A6G/5efxmd0Ppm9d+fPwC9wqA==" saltValue="m0Gz1ngAY+0hfuow7++FoQ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4E25-1BB4-434A-8194-07AB579279CB}">
  <sheetPr codeName="Sheet37">
    <pageSetUpPr fitToPage="1"/>
  </sheetPr>
  <dimension ref="B1:F49"/>
  <sheetViews>
    <sheetView rightToLeft="1" topLeftCell="A5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10035</v>
      </c>
      <c r="D3" s="54"/>
      <c r="E3" s="32" t="s">
        <v>303</v>
      </c>
      <c r="F3" s="31">
        <f ca="1">YEARFRAC(TODAY(),C6,1)</f>
        <v>2.0748175182481754</v>
      </c>
    </row>
    <row r="4" spans="2:6" ht="16.5">
      <c r="B4" s="29" t="s">
        <v>304</v>
      </c>
      <c r="C4" s="55" t="str">
        <f>VLOOKUP(C3,score,2,FALSE)</f>
        <v>MANOJ SINGH BIHARI</v>
      </c>
      <c r="D4" s="55"/>
      <c r="E4" s="28" t="s">
        <v>305</v>
      </c>
      <c r="F4" s="30">
        <f ca="1">IF(F3&lt;=5,F3*21,(((F3-5)*30)+(5*21)))</f>
        <v>43.571167883211686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45263</v>
      </c>
      <c r="D6" s="57"/>
      <c r="E6" s="18" t="s">
        <v>309</v>
      </c>
      <c r="F6" s="25">
        <f ca="1">F4-E37</f>
        <v>21.571167883211686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1.0779753761969904</v>
      </c>
      <c r="E9" s="18" t="s">
        <v>312</v>
      </c>
      <c r="F9" s="17">
        <f>(IF(D9&lt;=5,D9*21,(((D9-5)*30)+(5*21))))-E37</f>
        <v>0.63748290013679565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45536</v>
      </c>
      <c r="D12" s="11">
        <v>45558</v>
      </c>
      <c r="E12" s="10">
        <f t="shared" ref="E12:E36" si="0">D12-C12</f>
        <v>22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2A6E-FCF5-4B03-9D6E-2493588A0B8C}">
  <sheetPr codeName="Sheet38">
    <pageSetUpPr fitToPage="1"/>
  </sheetPr>
  <dimension ref="B1:F49"/>
  <sheetViews>
    <sheetView rightToLeft="1" topLeftCell="A5" zoomScaleNormal="100" workbookViewId="0">
      <selection activeCell="C16" sqref="C16"/>
    </sheetView>
  </sheetViews>
  <sheetFormatPr defaultRowHeight="15"/>
  <cols>
    <col min="1" max="1" width="9.140625" style="4"/>
    <col min="2" max="2" width="15.7109375" style="4" bestFit="1" customWidth="1"/>
    <col min="3" max="4" width="16.57031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10036</v>
      </c>
      <c r="D3" s="54"/>
      <c r="E3" s="32" t="s">
        <v>303</v>
      </c>
      <c r="F3" s="31">
        <f ca="1">YEARFRAC(TODAY(),C6,1)</f>
        <v>2.0748175182481754</v>
      </c>
    </row>
    <row r="4" spans="2:6" ht="16.5">
      <c r="B4" s="29" t="s">
        <v>304</v>
      </c>
      <c r="C4" s="55" t="str">
        <f>VLOOKUP(C3,score,2,FALSE)</f>
        <v>RUPESH VILAS  GAIKWAD</v>
      </c>
      <c r="D4" s="55"/>
      <c r="E4" s="28" t="s">
        <v>305</v>
      </c>
      <c r="F4" s="30">
        <f ca="1">IF(F3&lt;=5,F3*21,(((F3-5)*30)+(5*21)))</f>
        <v>43.571167883211686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45263</v>
      </c>
      <c r="D6" s="57"/>
      <c r="E6" s="18" t="s">
        <v>309</v>
      </c>
      <c r="F6" s="25">
        <f ca="1">F4-E37</f>
        <v>21.571167883211686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1.0779753761969904</v>
      </c>
      <c r="E9" s="18" t="s">
        <v>312</v>
      </c>
      <c r="F9" s="17">
        <f>(IF(D9&lt;=5,D9*21,(((D9-5)*30)+(5*21))))-E37</f>
        <v>0.63748290013679565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45505</v>
      </c>
      <c r="D12" s="11">
        <v>45527</v>
      </c>
      <c r="E12" s="10">
        <f t="shared" ref="E12:E36" si="0">D12-C12</f>
        <v>22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B43C-9844-4A80-8000-39EB84A050F4}">
  <sheetPr codeName="Sheet39">
    <pageSetUpPr fitToPage="1"/>
  </sheetPr>
  <dimension ref="B1:F49"/>
  <sheetViews>
    <sheetView rightToLeft="1" topLeftCell="A5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10037</v>
      </c>
      <c r="D3" s="54"/>
      <c r="E3" s="32" t="s">
        <v>303</v>
      </c>
      <c r="F3" s="31">
        <f ca="1">YEARFRAC(TODAY(),C6,1)</f>
        <v>2.0748175182481754</v>
      </c>
    </row>
    <row r="4" spans="2:6" ht="16.5">
      <c r="B4" s="29" t="s">
        <v>304</v>
      </c>
      <c r="C4" s="55" t="str">
        <f>VLOOKUP(C3,score,2,FALSE)</f>
        <v>SATEESH PAL DURGA PRASAD</v>
      </c>
      <c r="D4" s="55"/>
      <c r="E4" s="28" t="s">
        <v>305</v>
      </c>
      <c r="F4" s="30">
        <f ca="1">IF(F3&lt;=5,F3*21,(((F3-5)*30)+(5*21)))</f>
        <v>43.571167883211686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45263</v>
      </c>
      <c r="D6" s="57"/>
      <c r="E6" s="18" t="s">
        <v>309</v>
      </c>
      <c r="F6" s="25">
        <f ca="1">F4-E37</f>
        <v>21.571167883211686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1.0779753761969904</v>
      </c>
      <c r="E9" s="18" t="s">
        <v>312</v>
      </c>
      <c r="F9" s="17">
        <f>(IF(D9&lt;=5,D9*21,(((D9-5)*30)+(5*21))))-E37</f>
        <v>0.63748290013679565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45474</v>
      </c>
      <c r="D12" s="11">
        <v>45496</v>
      </c>
      <c r="E12" s="10">
        <f t="shared" ref="E12:E36" si="0">D12-C12</f>
        <v>22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BD79-FAC5-44DF-9760-F3EB10BD0E85}">
  <sheetPr codeName="Sheet40">
    <pageSetUpPr fitToPage="1"/>
  </sheetPr>
  <dimension ref="B1:F49"/>
  <sheetViews>
    <sheetView rightToLeft="1" topLeftCell="A5" zoomScaleNormal="100" workbookViewId="0">
      <selection activeCell="E15" sqref="E15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10038</v>
      </c>
      <c r="D3" s="54"/>
      <c r="E3" s="32" t="s">
        <v>303</v>
      </c>
      <c r="F3" s="31">
        <f ca="1">YEARFRAC(TODAY(),C6,1)</f>
        <v>2.0556569343065694</v>
      </c>
    </row>
    <row r="4" spans="2:6" ht="16.5">
      <c r="B4" s="29" t="s">
        <v>304</v>
      </c>
      <c r="C4" s="55" t="str">
        <f>VLOOKUP(C3,score,2,FALSE)</f>
        <v>أحمد محمد عبده قايد العربي</v>
      </c>
      <c r="D4" s="55"/>
      <c r="E4" s="28" t="s">
        <v>305</v>
      </c>
      <c r="F4" s="30">
        <f ca="1">IF(F3&lt;=5,F3*21,(((F3-5)*30)+(5*21)))</f>
        <v>43.168795620437955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45270</v>
      </c>
      <c r="D6" s="57"/>
      <c r="E6" s="18" t="s">
        <v>309</v>
      </c>
      <c r="F6" s="25">
        <f ca="1">F4-E37</f>
        <v>21.168795620437955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1.0588235294117647</v>
      </c>
      <c r="E9" s="18" t="s">
        <v>312</v>
      </c>
      <c r="F9" s="17">
        <f>(IF(D9&lt;=5,D9*21,(((D9-5)*30)+(5*21))))-E37</f>
        <v>0.23529411764705799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45627</v>
      </c>
      <c r="D12" s="11">
        <v>45649</v>
      </c>
      <c r="E12" s="10">
        <f t="shared" ref="E12:E36" si="0">D12-C12</f>
        <v>22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F9F-70AB-4F32-A5AA-A29E90F4295D}">
  <sheetPr codeName="Sheet41">
    <pageSetUpPr fitToPage="1"/>
  </sheetPr>
  <dimension ref="B1:F49"/>
  <sheetViews>
    <sheetView rightToLeft="1" topLeftCell="A5" zoomScaleNormal="100" workbookViewId="0">
      <selection activeCell="E13" sqref="E13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10039</v>
      </c>
      <c r="D3" s="54"/>
      <c r="E3" s="32" t="s">
        <v>303</v>
      </c>
      <c r="F3" s="31">
        <f ca="1">YEARFRAC(TODAY(),C6,1)</f>
        <v>2.0556569343065694</v>
      </c>
    </row>
    <row r="4" spans="2:6" ht="16.5">
      <c r="B4" s="29" t="s">
        <v>304</v>
      </c>
      <c r="C4" s="55" t="str">
        <f>VLOOKUP(C3,score,2,FALSE)</f>
        <v>رياض حسين رياض محمد</v>
      </c>
      <c r="D4" s="55"/>
      <c r="E4" s="28" t="s">
        <v>305</v>
      </c>
      <c r="F4" s="30">
        <f ca="1">IF(F3&lt;=5,F3*21,(((F3-5)*30)+(5*21)))</f>
        <v>43.168795620437955</v>
      </c>
    </row>
    <row r="5" spans="2:6" ht="16.5">
      <c r="B5" s="29" t="s">
        <v>306</v>
      </c>
      <c r="C5" s="55" t="str">
        <f>VLOOKUP(C3,score,13,FALSE)</f>
        <v>محاسب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45270</v>
      </c>
      <c r="D6" s="57"/>
      <c r="E6" s="18" t="s">
        <v>309</v>
      </c>
      <c r="F6" s="25">
        <f ca="1">F4-E37</f>
        <v>21.168795620437955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1.0588235294117647</v>
      </c>
      <c r="E9" s="18" t="s">
        <v>312</v>
      </c>
      <c r="F9" s="17">
        <f>(IF(D9&lt;=5,D9*21,(((D9-5)*30)+(5*21))))-E37</f>
        <v>0.23529411764705799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45462</v>
      </c>
      <c r="D12" s="11">
        <v>45484</v>
      </c>
      <c r="E12" s="10">
        <f t="shared" ref="E12:E36" si="0">D12-C12</f>
        <v>22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80CB-3F0A-4EFD-BABA-813E1E35F4AE}">
  <sheetPr codeName="Sheet42">
    <pageSetUpPr fitToPage="1"/>
  </sheetPr>
  <dimension ref="B1:F49"/>
  <sheetViews>
    <sheetView rightToLeft="1" topLeftCell="A5" zoomScaleNormal="100" workbookViewId="0">
      <selection activeCell="C4" sqref="C4:D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10040</v>
      </c>
      <c r="D3" s="54"/>
      <c r="E3" s="32" t="s">
        <v>303</v>
      </c>
      <c r="F3" s="31">
        <f ca="1">YEARFRAC(TODAY(),C6,1)</f>
        <v>2.0529197080291972</v>
      </c>
    </row>
    <row r="4" spans="2:6" ht="16.5">
      <c r="B4" s="29" t="s">
        <v>304</v>
      </c>
      <c r="C4" s="55" t="str">
        <f>VLOOKUP(C3,score,2,FALSE)</f>
        <v>ALAM ANSARI MD MOMIN</v>
      </c>
      <c r="D4" s="55"/>
      <c r="E4" s="28" t="s">
        <v>305</v>
      </c>
      <c r="F4" s="30">
        <f ca="1">IF(F3&lt;=5,F3*21,(((F3-5)*30)+(5*21)))</f>
        <v>43.111313868613138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45271</v>
      </c>
      <c r="D6" s="57"/>
      <c r="E6" s="18" t="s">
        <v>309</v>
      </c>
      <c r="F6" s="25">
        <f ca="1">F4-E37</f>
        <v>21.111313868613138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1.0560875512995895</v>
      </c>
      <c r="E9" s="18" t="s">
        <v>312</v>
      </c>
      <c r="F9" s="17">
        <f>(IF(D9&lt;=5,D9*21,(((D9-5)*30)+(5*21))))-E37</f>
        <v>0.17783857729137864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45566</v>
      </c>
      <c r="D12" s="11">
        <v>45588</v>
      </c>
      <c r="E12" s="10">
        <f t="shared" ref="E12:E36" si="0">D12-C12</f>
        <v>22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A31A-EBCB-42B6-9274-2CE8DC2AE4B7}">
  <sheetPr codeName="Sheet43">
    <pageSetUpPr fitToPage="1"/>
  </sheetPr>
  <dimension ref="B1:F49"/>
  <sheetViews>
    <sheetView rightToLeft="1" topLeftCell="A5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10041</v>
      </c>
      <c r="D3" s="54"/>
      <c r="E3" s="32" t="s">
        <v>303</v>
      </c>
      <c r="F3" s="31">
        <f ca="1">YEARFRAC(TODAY(),C6,1)</f>
        <v>2.0529197080291972</v>
      </c>
    </row>
    <row r="4" spans="2:6" ht="16.5">
      <c r="B4" s="29" t="s">
        <v>304</v>
      </c>
      <c r="C4" s="55" t="str">
        <f>VLOOKUP(C3,score,2,FALSE)</f>
        <v>MD SOHAIL  ANSARI</v>
      </c>
      <c r="D4" s="55"/>
      <c r="E4" s="28" t="s">
        <v>305</v>
      </c>
      <c r="F4" s="30">
        <f ca="1">IF(F3&lt;=5,F3*21,(((F3-5)*30)+(5*21)))</f>
        <v>43.111313868613138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45271</v>
      </c>
      <c r="D6" s="57"/>
      <c r="E6" s="18" t="s">
        <v>309</v>
      </c>
      <c r="F6" s="25">
        <f ca="1">F4-E37</f>
        <v>21.111313868613138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1.0560875512995895</v>
      </c>
      <c r="E9" s="18" t="s">
        <v>312</v>
      </c>
      <c r="F9" s="17">
        <f>(IF(D9&lt;=5,D9*21,(((D9-5)*30)+(5*21))))-E37</f>
        <v>0.17783857729137864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45536</v>
      </c>
      <c r="D12" s="11">
        <v>45558</v>
      </c>
      <c r="E12" s="10">
        <f t="shared" ref="E12:E36" si="0">D12-C12</f>
        <v>22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826F-A6CB-4EA0-AA71-C4B72B210808}">
  <sheetPr codeName="Sheet44">
    <pageSetUpPr fitToPage="1"/>
  </sheetPr>
  <dimension ref="B1:F49"/>
  <sheetViews>
    <sheetView rightToLeft="1" topLeftCell="A5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3" width="16.5703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10042</v>
      </c>
      <c r="D3" s="54"/>
      <c r="E3" s="32" t="s">
        <v>303</v>
      </c>
      <c r="F3" s="31">
        <f ca="1">YEARFRAC(TODAY(),C6,1)</f>
        <v>2.0282846715328469</v>
      </c>
    </row>
    <row r="4" spans="2:6" ht="16.5">
      <c r="B4" s="29" t="s">
        <v>304</v>
      </c>
      <c r="C4" s="55" t="str">
        <f>VLOOKUP(C3,score,2,FALSE)</f>
        <v>احمد سعيد عبدالرازق محمد</v>
      </c>
      <c r="D4" s="55"/>
      <c r="E4" s="28" t="s">
        <v>305</v>
      </c>
      <c r="F4" s="30">
        <f ca="1">IF(F3&lt;=5,F3*21,(((F3-5)*30)+(5*21)))</f>
        <v>42.593978102189787</v>
      </c>
    </row>
    <row r="5" spans="2:6" ht="16.5">
      <c r="B5" s="29" t="s">
        <v>306</v>
      </c>
      <c r="C5" s="55" t="str">
        <f>VLOOKUP(C3,score,13,FALSE)</f>
        <v>محاسب تكاليف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45280</v>
      </c>
      <c r="D6" s="57"/>
      <c r="E6" s="18" t="s">
        <v>309</v>
      </c>
      <c r="F6" s="25">
        <f ca="1">F4-E37</f>
        <v>14.593978102189787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1.0314637482900137</v>
      </c>
      <c r="E9" s="18" t="s">
        <v>312</v>
      </c>
      <c r="F9" s="17">
        <f>(IF(D9&lt;=5,D9*21,(((D9-5)*30)+(5*21))))-E37</f>
        <v>-6.3392612859097106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45519</v>
      </c>
      <c r="D12" s="11">
        <v>45547</v>
      </c>
      <c r="E12" s="10">
        <f t="shared" ref="E12:E36" si="0">D12-C12</f>
        <v>28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28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9244-80E4-4E90-9882-F56BF6ACDAED}">
  <sheetPr codeName="Sheet45">
    <pageSetUpPr fitToPage="1"/>
  </sheetPr>
  <dimension ref="B1:F49"/>
  <sheetViews>
    <sheetView rightToLeft="1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10043</v>
      </c>
      <c r="D3" s="54"/>
      <c r="E3" s="32" t="s">
        <v>303</v>
      </c>
      <c r="F3" s="31">
        <f ca="1">YEARFRAC(TODAY(),C6,1)</f>
        <v>1.9863201094391245</v>
      </c>
    </row>
    <row r="4" spans="2:6" ht="16.5">
      <c r="B4" s="29" t="s">
        <v>304</v>
      </c>
      <c r="C4" s="55" t="str">
        <f>VLOOKUP(C3,score,2,FALSE)</f>
        <v>MOHAMMED SAJID  SALIM</v>
      </c>
      <c r="D4" s="55"/>
      <c r="E4" s="28" t="s">
        <v>305</v>
      </c>
      <c r="F4" s="30">
        <f ca="1">IF(F3&lt;=5,F3*21,(((F3-5)*30)+(5*21)))</f>
        <v>41.712722298221614</v>
      </c>
    </row>
    <row r="5" spans="2:6" ht="16.5">
      <c r="B5" s="29" t="s">
        <v>306</v>
      </c>
      <c r="C5" s="55" t="str">
        <f>VLOOKUP(C3,score,13,FALSE)</f>
        <v>كهربائي سيارات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45295</v>
      </c>
      <c r="D6" s="57"/>
      <c r="E6" s="18" t="s">
        <v>309</v>
      </c>
      <c r="F6" s="25">
        <f ca="1">F4-E37</f>
        <v>20.712722298221614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0.98907103825136611</v>
      </c>
      <c r="E9" s="18" t="s">
        <v>312</v>
      </c>
      <c r="F9" s="17">
        <f>(IF(D9&lt;=5,D9*21,(((D9-5)*30)+(5*21))))-E37</f>
        <v>-0.22950819672131217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45627</v>
      </c>
      <c r="D12" s="11">
        <v>45648</v>
      </c>
      <c r="E12" s="10">
        <f t="shared" ref="E12:E36" si="0">D12-C12</f>
        <v>21</v>
      </c>
      <c r="F12" s="9" t="s">
        <v>317</v>
      </c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EF93-DDCE-48B5-B142-46ECFE69CAEB}">
  <sheetPr codeName="Sheet46">
    <pageSetUpPr fitToPage="1"/>
  </sheetPr>
  <dimension ref="B1:F49"/>
  <sheetViews>
    <sheetView rightToLeft="1" topLeftCell="A5" zoomScaleNormal="100" workbookViewId="0">
      <selection activeCell="E15" sqref="E15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10044</v>
      </c>
      <c r="D3" s="54"/>
      <c r="E3" s="32" t="s">
        <v>303</v>
      </c>
      <c r="F3" s="31">
        <f ca="1">YEARFRAC(TODAY(),C6,1)</f>
        <v>1.8577291381668946</v>
      </c>
    </row>
    <row r="4" spans="2:6" ht="16.5">
      <c r="B4" s="29" t="s">
        <v>304</v>
      </c>
      <c r="C4" s="55" t="str">
        <f>VLOOKUP(C3,score,2,FALSE)</f>
        <v>ريوف وليد محمد الحسين</v>
      </c>
      <c r="D4" s="55"/>
      <c r="E4" s="28" t="s">
        <v>305</v>
      </c>
      <c r="F4" s="30">
        <f ca="1">IF(F3&lt;=5,F3*21,(((F3-5)*30)+(5*21)))</f>
        <v>39.012311901504788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45342</v>
      </c>
      <c r="D6" s="57"/>
      <c r="E6" s="18" t="s">
        <v>309</v>
      </c>
      <c r="F6" s="25">
        <f ca="1">F4-E37</f>
        <v>15.012311901504788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0.86065573770491799</v>
      </c>
      <c r="E9" s="18" t="s">
        <v>312</v>
      </c>
      <c r="F9" s="17">
        <f>(IF(D9&lt;=5,D9*21,(((D9-5)*30)+(5*21))))-E37</f>
        <v>-5.9262295081967231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45461</v>
      </c>
      <c r="D12" s="11">
        <v>45467</v>
      </c>
      <c r="E12" s="10">
        <f t="shared" ref="E12:E36" si="0">D12-C12</f>
        <v>6</v>
      </c>
      <c r="F12" s="9"/>
    </row>
    <row r="13" spans="2:6">
      <c r="B13" s="12">
        <v>2</v>
      </c>
      <c r="C13" s="11">
        <v>45606</v>
      </c>
      <c r="D13" s="11">
        <v>45624</v>
      </c>
      <c r="E13" s="10">
        <f t="shared" si="0"/>
        <v>18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24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BA82-5B56-4933-9444-083DE959F67B}">
  <sheetPr codeName="Sheet47">
    <pageSetUpPr fitToPage="1"/>
  </sheetPr>
  <dimension ref="B1:F49"/>
  <sheetViews>
    <sheetView rightToLeft="1" topLeftCell="A2" zoomScaleNormal="100" workbookViewId="0">
      <selection activeCell="D21" sqref="D21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10045</v>
      </c>
      <c r="D3" s="54"/>
      <c r="E3" s="32" t="s">
        <v>303</v>
      </c>
      <c r="F3" s="31">
        <f ca="1">YEARFRAC(TODAY(),C6,1)</f>
        <v>1.8577291381668946</v>
      </c>
    </row>
    <row r="4" spans="2:6" ht="16.5">
      <c r="B4" s="29" t="s">
        <v>304</v>
      </c>
      <c r="C4" s="55" t="str">
        <f>VLOOKUP(C3,score,2,FALSE)</f>
        <v>لولوه وليد محمد الحسين</v>
      </c>
      <c r="D4" s="55"/>
      <c r="E4" s="28" t="s">
        <v>305</v>
      </c>
      <c r="F4" s="30">
        <f ca="1">IF(F3&lt;=5,F3*21,(((F3-5)*30)+(5*21)))</f>
        <v>39.012311901504788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45342</v>
      </c>
      <c r="D6" s="57"/>
      <c r="E6" s="18" t="s">
        <v>309</v>
      </c>
      <c r="F6" s="25">
        <f ca="1">F4-E37</f>
        <v>32.012311901504788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0.86065573770491799</v>
      </c>
      <c r="E9" s="18" t="s">
        <v>312</v>
      </c>
      <c r="F9" s="17">
        <f>(IF(D9&lt;=5,D9*21,(((D9-5)*30)+(5*21))))-E37</f>
        <v>11.073770491803277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45568</v>
      </c>
      <c r="D12" s="11">
        <v>45574</v>
      </c>
      <c r="E12" s="10">
        <f t="shared" ref="E12:E36" si="0">D12-C12</f>
        <v>6</v>
      </c>
      <c r="F12" s="9"/>
    </row>
    <row r="13" spans="2:6">
      <c r="B13" s="12">
        <v>2</v>
      </c>
      <c r="C13" s="11">
        <v>45655</v>
      </c>
      <c r="D13" s="11">
        <v>45656</v>
      </c>
      <c r="E13" s="10">
        <f t="shared" si="0"/>
        <v>1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11AB-F333-4A10-9E18-ADB4BAF05875}">
  <sheetPr codeName="Sheet48">
    <pageSetUpPr fitToPage="1"/>
  </sheetPr>
  <dimension ref="B1:F49"/>
  <sheetViews>
    <sheetView rightToLeft="1" topLeftCell="A5" zoomScaleNormal="100" workbookViewId="0">
      <selection activeCell="C17" sqref="C17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10046</v>
      </c>
      <c r="D3" s="54"/>
      <c r="E3" s="32" t="s">
        <v>303</v>
      </c>
      <c r="F3" s="31">
        <f ca="1">YEARFRAC(TODAY(),C6,1)</f>
        <v>1.8413132694938441</v>
      </c>
    </row>
    <row r="4" spans="2:6" ht="16.5">
      <c r="B4" s="29" t="s">
        <v>304</v>
      </c>
      <c r="C4" s="55" t="str">
        <f>VLOOKUP(C3,score,2,FALSE)</f>
        <v>نوف ابراهيم محمد العبدالقادر</v>
      </c>
      <c r="D4" s="55"/>
      <c r="E4" s="28" t="s">
        <v>305</v>
      </c>
      <c r="F4" s="30">
        <f ca="1">IF(F3&lt;=5,F3*21,(((F3-5)*30)+(5*21)))</f>
        <v>38.667578659370726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45348</v>
      </c>
      <c r="D6" s="57"/>
      <c r="E6" s="18" t="s">
        <v>309</v>
      </c>
      <c r="F6" s="25">
        <f ca="1">F4-E37</f>
        <v>20.667578659370726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0.84426229508196726</v>
      </c>
      <c r="E9" s="18" t="s">
        <v>312</v>
      </c>
      <c r="F9" s="17">
        <f>(IF(D9&lt;=5,D9*21,(((D9-5)*30)+(5*21))))-E37</f>
        <v>-0.27049180327868783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45365</v>
      </c>
      <c r="D12" s="11">
        <v>45366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45449</v>
      </c>
      <c r="D13" s="11">
        <v>45459</v>
      </c>
      <c r="E13" s="10">
        <f t="shared" si="0"/>
        <v>10</v>
      </c>
      <c r="F13" s="9"/>
    </row>
    <row r="14" spans="2:6">
      <c r="B14" s="12">
        <v>3</v>
      </c>
      <c r="C14" s="11">
        <v>45327</v>
      </c>
      <c r="D14" s="11">
        <v>45334</v>
      </c>
      <c r="E14" s="10">
        <f t="shared" si="0"/>
        <v>7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18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81F6-6A48-40D4-87CD-31D6A61C69C5}">
  <sheetPr codeName="Sheet49">
    <pageSetUpPr fitToPage="1"/>
  </sheetPr>
  <dimension ref="B1:F49"/>
  <sheetViews>
    <sheetView rightToLeft="1" topLeftCell="A5" zoomScaleNormal="100" workbookViewId="0">
      <selection activeCell="D17" sqref="D17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10047</v>
      </c>
      <c r="D3" s="54"/>
      <c r="E3" s="32" t="s">
        <v>303</v>
      </c>
      <c r="F3" s="31">
        <f ca="1">YEARFRAC(TODAY(),C6,1)</f>
        <v>1.5239398084815321</v>
      </c>
    </row>
    <row r="4" spans="2:6" ht="16.5">
      <c r="B4" s="29" t="s">
        <v>304</v>
      </c>
      <c r="C4" s="55" t="str">
        <f>VLOOKUP(C3,score,2,FALSE)</f>
        <v>نوره عيسى شافي الدوسري</v>
      </c>
      <c r="D4" s="55"/>
      <c r="E4" s="28" t="s">
        <v>305</v>
      </c>
      <c r="F4" s="30">
        <f ca="1">IF(F3&lt;=5,F3*21,(((F3-5)*30)+(5*21)))</f>
        <v>32.002735978112177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45464</v>
      </c>
      <c r="D6" s="57"/>
      <c r="E6" s="18" t="s">
        <v>309</v>
      </c>
      <c r="F6" s="25">
        <f ca="1">F4-E37</f>
        <v>26.002735978112177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0.52732240437158473</v>
      </c>
      <c r="E9" s="18" t="s">
        <v>312</v>
      </c>
      <c r="F9" s="17">
        <f>(IF(D9&lt;=5,D9*21,(((D9-5)*30)+(5*21))))-E37</f>
        <v>5.0737704918032787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45659</v>
      </c>
      <c r="D12" s="11">
        <v>45660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45731</v>
      </c>
      <c r="D13" s="11">
        <v>45736</v>
      </c>
      <c r="E13" s="10">
        <f t="shared" si="0"/>
        <v>5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6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6199-A8A0-4145-8CCF-198498ECEB08}">
  <sheetPr codeName="Sheet50">
    <pageSetUpPr fitToPage="1"/>
  </sheetPr>
  <dimension ref="B1:F49"/>
  <sheetViews>
    <sheetView rightToLeft="1" topLeftCell="A5" zoomScaleNormal="100" workbookViewId="0">
      <selection activeCell="E13" sqref="E13"/>
    </sheetView>
  </sheetViews>
  <sheetFormatPr defaultRowHeight="15"/>
  <cols>
    <col min="1" max="1" width="9.140625" style="4"/>
    <col min="2" max="2" width="15.7109375" style="4" bestFit="1" customWidth="1"/>
    <col min="3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10048</v>
      </c>
      <c r="D3" s="54"/>
      <c r="E3" s="32" t="s">
        <v>303</v>
      </c>
      <c r="F3" s="31">
        <f ca="1">YEARFRAC(TODAY(),C6,1)</f>
        <v>1.5239398084815321</v>
      </c>
    </row>
    <row r="4" spans="2:6" ht="16.5">
      <c r="B4" s="29" t="s">
        <v>304</v>
      </c>
      <c r="C4" s="55" t="str">
        <f>VLOOKUP(C3,score,2,FALSE)</f>
        <v>مناير حزام حسن القحطاني</v>
      </c>
      <c r="D4" s="55"/>
      <c r="E4" s="28" t="s">
        <v>305</v>
      </c>
      <c r="F4" s="30">
        <f ca="1">IF(F3&lt;=5,F3*21,(((F3-5)*30)+(5*21)))</f>
        <v>32.002735978112177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45464</v>
      </c>
      <c r="D6" s="57"/>
      <c r="E6" s="18" t="s">
        <v>309</v>
      </c>
      <c r="F6" s="25">
        <f ca="1">F4-E37</f>
        <v>25.002735978112177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0.52732240437158473</v>
      </c>
      <c r="E9" s="18" t="s">
        <v>312</v>
      </c>
      <c r="F9" s="17">
        <f>(IF(D9&lt;=5,D9*21,(((D9-5)*30)+(5*21))))-E37</f>
        <v>4.0737704918032787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45563</v>
      </c>
      <c r="D12" s="11">
        <v>45570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17B0-4CF5-4FDA-804B-A494DD5AE60C}">
  <sheetPr codeName="Sheet51">
    <pageSetUpPr fitToPage="1"/>
  </sheetPr>
  <dimension ref="B1:F49"/>
  <sheetViews>
    <sheetView rightToLeft="1" topLeftCell="A5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10049</v>
      </c>
      <c r="D3" s="54"/>
      <c r="E3" s="32" t="s">
        <v>303</v>
      </c>
      <c r="F3" s="31">
        <f ca="1">YEARFRAC(TODAY(),C6,1)</f>
        <v>1.3543091655266757</v>
      </c>
    </row>
    <row r="4" spans="2:6" ht="16.5">
      <c r="B4" s="29" t="s">
        <v>304</v>
      </c>
      <c r="C4" s="55" t="str">
        <f>VLOOKUP(C3,score,2,FALSE)</f>
        <v>شذى علي عبدالرحمن العسكر</v>
      </c>
      <c r="D4" s="55"/>
      <c r="E4" s="28" t="s">
        <v>305</v>
      </c>
      <c r="F4" s="30">
        <f ca="1">IF(F3&lt;=5,F3*21,(((F3-5)*30)+(5*21)))</f>
        <v>28.440492476060189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45526</v>
      </c>
      <c r="D6" s="57"/>
      <c r="E6" s="18" t="s">
        <v>309</v>
      </c>
      <c r="F6" s="25">
        <f ca="1">F4-E37</f>
        <v>21.440492476060189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0.35792349726775957</v>
      </c>
      <c r="E9" s="18" t="s">
        <v>312</v>
      </c>
      <c r="F9" s="17">
        <f>(IF(D9&lt;=5,D9*21,(((D9-5)*30)+(5*21))))-E37</f>
        <v>0.51639344262295062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45619</v>
      </c>
      <c r="D12" s="11">
        <v>45626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61ED-8E31-4BF4-8FFD-3632DE1BB477}">
  <sheetPr codeName="Sheet52">
    <pageSetUpPr fitToPage="1"/>
  </sheetPr>
  <dimension ref="B1:F49"/>
  <sheetViews>
    <sheetView rightToLeft="1" zoomScaleNormal="100" workbookViewId="0">
      <selection activeCell="D17" sqref="D17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10050</v>
      </c>
      <c r="D3" s="54"/>
      <c r="E3" s="32" t="s">
        <v>303</v>
      </c>
      <c r="F3" s="31">
        <f ca="1">YEARFRAC(TODAY(),C6,1)</f>
        <v>1.3515731874145007</v>
      </c>
    </row>
    <row r="4" spans="2:6" ht="16.5">
      <c r="B4" s="29" t="s">
        <v>304</v>
      </c>
      <c r="C4" s="55" t="str">
        <f>VLOOKUP(C3,score,2,FALSE)</f>
        <v>سليمان راجح عبدالسلام راجح</v>
      </c>
      <c r="D4" s="55"/>
      <c r="E4" s="28" t="s">
        <v>305</v>
      </c>
      <c r="F4" s="30">
        <f ca="1">IF(F3&lt;=5,F3*21,(((F3-5)*30)+(5*21)))</f>
        <v>28.383036935704514</v>
      </c>
    </row>
    <row r="5" spans="2:6" ht="16.5">
      <c r="B5" s="29" t="s">
        <v>306</v>
      </c>
      <c r="C5" s="55" t="str">
        <f>VLOOKUP(C3,score,13,FALSE)</f>
        <v>عامل تحميل وتنزيل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45527</v>
      </c>
      <c r="D6" s="57"/>
      <c r="E6" s="18" t="s">
        <v>309</v>
      </c>
      <c r="F6" s="25">
        <f ca="1">F4-E37</f>
        <v>21.383036935704514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0.3551912568306011</v>
      </c>
      <c r="E9" s="18" t="s">
        <v>312</v>
      </c>
      <c r="F9" s="17">
        <f>(IF(D9&lt;=5,D9*21,(((D9-5)*30)+(5*21))))-E37</f>
        <v>0.45901639344262346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45628</v>
      </c>
      <c r="D12" s="11">
        <v>45635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9VdjxKvCJ/O31zVurkmbuPt480XXx68Z5XtrOm+lSEWZ5z8S9W4fUoT4GCfv9A6G/5efxmd0Ppm9d+fPwC9wqA==" saltValue="m0Gz1ngAY+0hfuow7++FoQ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C8FD-B8EB-42F4-A94D-13C9B89514EC}">
  <sheetPr codeName="Sheet53">
    <pageSetUpPr fitToPage="1"/>
  </sheetPr>
  <dimension ref="B1:F49"/>
  <sheetViews>
    <sheetView rightToLeft="1" topLeftCell="A2" zoomScaleNormal="100" workbookViewId="0">
      <selection activeCell="C15" sqref="C15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10051</v>
      </c>
      <c r="D3" s="54"/>
      <c r="E3" s="32" t="s">
        <v>303</v>
      </c>
      <c r="F3" s="31">
        <f ca="1">YEARFRAC(TODAY(),C6,1)</f>
        <v>1.3461012311901506</v>
      </c>
    </row>
    <row r="4" spans="2:6" ht="16.5">
      <c r="B4" s="29" t="s">
        <v>304</v>
      </c>
      <c r="C4" s="55" t="str">
        <f>VLOOKUP(C3,score,2,FALSE)</f>
        <v>ARIFUL   ISLAM</v>
      </c>
      <c r="D4" s="55"/>
      <c r="E4" s="28" t="s">
        <v>305</v>
      </c>
      <c r="F4" s="30">
        <f ca="1">IF(F3&lt;=5,F3*21,(((F3-5)*30)+(5*21)))</f>
        <v>28.268125854993162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45529</v>
      </c>
      <c r="D6" s="57"/>
      <c r="E6" s="18" t="s">
        <v>309</v>
      </c>
      <c r="F6" s="25">
        <f ca="1">F4-E37</f>
        <v>21.268125854993162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0.34972677595628415</v>
      </c>
      <c r="E9" s="18" t="s">
        <v>312</v>
      </c>
      <c r="F9" s="17">
        <f>(IF(D9&lt;=5,D9*21,(((D9-5)*30)+(5*21))))-E37</f>
        <v>0.34426229508196737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45627</v>
      </c>
      <c r="D12" s="11">
        <v>45634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9298-E344-4250-B23D-6D0E210032D2}">
  <sheetPr codeName="Sheet54">
    <pageSetUpPr fitToPage="1"/>
  </sheetPr>
  <dimension ref="B1:F49"/>
  <sheetViews>
    <sheetView rightToLeft="1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10052</v>
      </c>
      <c r="D3" s="54"/>
      <c r="E3" s="32" t="s">
        <v>303</v>
      </c>
      <c r="F3" s="31">
        <f ca="1">YEARFRAC(TODAY(),C6,1)</f>
        <v>1.3461012311901506</v>
      </c>
    </row>
    <row r="4" spans="2:6" ht="16.5">
      <c r="B4" s="29" t="s">
        <v>304</v>
      </c>
      <c r="C4" s="55" t="str">
        <f>VLOOKUP(C3,score,2,FALSE)</f>
        <v>عبدالله امين علي عبده الشلح</v>
      </c>
      <c r="D4" s="55"/>
      <c r="E4" s="28" t="s">
        <v>305</v>
      </c>
      <c r="F4" s="30">
        <f ca="1">IF(F3&lt;=5,F3*21,(((F3-5)*30)+(5*21)))</f>
        <v>28.268125854993162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45529</v>
      </c>
      <c r="D6" s="57"/>
      <c r="E6" s="18" t="s">
        <v>309</v>
      </c>
      <c r="F6" s="25">
        <f ca="1">F4-E37</f>
        <v>21.268125854993162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0.34972677595628415</v>
      </c>
      <c r="E9" s="18" t="s">
        <v>312</v>
      </c>
      <c r="F9" s="17">
        <f>(IF(D9&lt;=5,D9*21,(((D9-5)*30)+(5*21))))-E37</f>
        <v>0.34426229508196737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45597</v>
      </c>
      <c r="D12" s="11">
        <v>45604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3AF0-FC9E-4243-B3FA-5C0629076BCE}">
  <sheetPr codeName="Sheet55">
    <pageSetUpPr fitToPage="1"/>
  </sheetPr>
  <dimension ref="B1:F49"/>
  <sheetViews>
    <sheetView rightToLeft="1" zoomScaleNormal="100" workbookViewId="0">
      <selection activeCell="F12" sqref="F12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10053</v>
      </c>
      <c r="D3" s="54"/>
      <c r="E3" s="32" t="s">
        <v>303</v>
      </c>
      <c r="F3" s="31">
        <f ca="1">YEARFRAC(TODAY(),C6,1)</f>
        <v>1.3433652530779754</v>
      </c>
    </row>
    <row r="4" spans="2:6" ht="16.5">
      <c r="B4" s="29" t="s">
        <v>304</v>
      </c>
      <c r="C4" s="55" t="str">
        <f>VLOOKUP(C3,score,2,FALSE)</f>
        <v>FAKRUL ISLAM  RUBEL</v>
      </c>
      <c r="D4" s="55"/>
      <c r="E4" s="28" t="s">
        <v>305</v>
      </c>
      <c r="F4" s="30">
        <f ca="1">IF(F3&lt;=5,F3*21,(((F3-5)*30)+(5*21)))</f>
        <v>28.210670314637483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45530</v>
      </c>
      <c r="D6" s="57"/>
      <c r="E6" s="18" t="s">
        <v>309</v>
      </c>
      <c r="F6" s="25">
        <f ca="1">F4-E37</f>
        <v>21.210670314637483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0.34699453551912568</v>
      </c>
      <c r="E9" s="18" t="s">
        <v>312</v>
      </c>
      <c r="F9" s="17">
        <f>(IF(D9&lt;=5,D9*21,(((D9-5)*30)+(5*21))))-E37</f>
        <v>0.28688524590163933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45648</v>
      </c>
      <c r="D12" s="11">
        <v>45655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D524-96D8-4317-A1DF-1D2FBA5F481D}">
  <sheetPr codeName="Sheet56">
    <pageSetUpPr fitToPage="1"/>
  </sheetPr>
  <dimension ref="B1:F49"/>
  <sheetViews>
    <sheetView rightToLeft="1" topLeftCell="A2" zoomScaleNormal="100" workbookViewId="0">
      <selection activeCell="C14" sqref="C14"/>
    </sheetView>
  </sheetViews>
  <sheetFormatPr defaultRowHeight="15"/>
  <cols>
    <col min="1" max="1" width="9.140625" style="4"/>
    <col min="2" max="2" width="15.7109375" style="4" bestFit="1" customWidth="1"/>
    <col min="3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10054</v>
      </c>
      <c r="D3" s="54"/>
      <c r="E3" s="32" t="s">
        <v>303</v>
      </c>
      <c r="F3" s="31">
        <f ca="1">YEARFRAC(TODAY(),C6,1)</f>
        <v>1.3378932968536252</v>
      </c>
    </row>
    <row r="4" spans="2:6" ht="16.5">
      <c r="B4" s="29" t="s">
        <v>304</v>
      </c>
      <c r="C4" s="55" t="str">
        <f>VLOOKUP(C3,score,2,FALSE)</f>
        <v>أسماء مزهى زهيان المطيري</v>
      </c>
      <c r="D4" s="55"/>
      <c r="E4" s="28" t="s">
        <v>305</v>
      </c>
      <c r="F4" s="30">
        <f ca="1">IF(F3&lt;=5,F3*21,(((F3-5)*30)+(5*21)))</f>
        <v>28.095759233926131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45532</v>
      </c>
      <c r="D6" s="57"/>
      <c r="E6" s="18" t="s">
        <v>309</v>
      </c>
      <c r="F6" s="25">
        <f ca="1">F4-E37</f>
        <v>21.095759233926131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0.34153005464480873</v>
      </c>
      <c r="E9" s="18" t="s">
        <v>312</v>
      </c>
      <c r="F9" s="17">
        <f>(IF(D9&lt;=5,D9*21,(((D9-5)*30)+(5*21))))-E37</f>
        <v>0.17213114754098324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45558</v>
      </c>
      <c r="D12" s="11">
        <v>45565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2164-EA3D-4B52-9317-5DE4A143825E}">
  <sheetPr codeName="Sheet57">
    <pageSetUpPr fitToPage="1"/>
  </sheetPr>
  <dimension ref="B1:F49"/>
  <sheetViews>
    <sheetView rightToLeft="1" zoomScaleNormal="100" workbookViewId="0">
      <selection activeCell="E46" sqref="E46"/>
    </sheetView>
  </sheetViews>
  <sheetFormatPr defaultRowHeight="15"/>
  <cols>
    <col min="1" max="1" width="9.140625" style="4"/>
    <col min="2" max="2" width="15.7109375" style="4" bestFit="1" customWidth="1"/>
    <col min="3" max="3" width="14.425781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10055</v>
      </c>
      <c r="D3" s="54"/>
      <c r="E3" s="32" t="s">
        <v>303</v>
      </c>
      <c r="F3" s="31">
        <f ca="1">YEARFRAC(TODAY(),C6,1)</f>
        <v>1.33515731874145</v>
      </c>
    </row>
    <row r="4" spans="2:6" ht="16.5">
      <c r="B4" s="29" t="s">
        <v>304</v>
      </c>
      <c r="C4" s="55" t="str">
        <f>VLOOKUP(C3,score,2,FALSE)</f>
        <v>ميلاف سالم مطلق البلوي</v>
      </c>
      <c r="D4" s="55"/>
      <c r="E4" s="28" t="s">
        <v>305</v>
      </c>
      <c r="F4" s="30">
        <f ca="1">IF(F3&lt;=5,F3*21,(((F3-5)*30)+(5*21)))</f>
        <v>28.038303693570452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45533</v>
      </c>
      <c r="D6" s="57"/>
      <c r="E6" s="18" t="s">
        <v>309</v>
      </c>
      <c r="F6" s="25">
        <f ca="1">F4-E37</f>
        <v>21.038303693570452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0.33879781420765026</v>
      </c>
      <c r="E9" s="18" t="s">
        <v>312</v>
      </c>
      <c r="F9" s="17">
        <f>(IF(D9&lt;=5,D9*21,(((D9-5)*30)+(5*21))))-E37</f>
        <v>0.1147540983606552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45619</v>
      </c>
      <c r="D12" s="11">
        <v>45626</v>
      </c>
      <c r="E12" s="10">
        <f t="shared" ref="E12:E36" si="0">D12-C12</f>
        <v>7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45626</v>
      </c>
      <c r="D42" s="11">
        <v>45689</v>
      </c>
      <c r="E42" s="10">
        <f t="shared" ref="E42:E49" si="1">D42-C42</f>
        <v>63</v>
      </c>
      <c r="F42" s="9" t="s">
        <v>324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85BC-C8EB-4F63-8C7B-88C30F481121}">
  <sheetPr codeName="Sheet58">
    <pageSetUpPr fitToPage="1"/>
  </sheetPr>
  <dimension ref="B1:F49"/>
  <sheetViews>
    <sheetView rightToLeft="1" zoomScaleNormal="100" workbookViewId="0">
      <selection activeCell="D13" sqref="D13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10056</v>
      </c>
      <c r="D3" s="54"/>
      <c r="E3" s="32" t="s">
        <v>303</v>
      </c>
      <c r="F3" s="31">
        <f ca="1">YEARFRAC(TODAY(),C6,1)</f>
        <v>1.3132694938440492</v>
      </c>
    </row>
    <row r="4" spans="2:6" ht="16.5">
      <c r="B4" s="29" t="s">
        <v>304</v>
      </c>
      <c r="C4" s="55" t="str">
        <f>VLOOKUP(C3,score,2,FALSE)</f>
        <v>عبدالرحمن عبدالله احمد ادم</v>
      </c>
      <c r="D4" s="55"/>
      <c r="E4" s="28" t="s">
        <v>305</v>
      </c>
      <c r="F4" s="30">
        <f ca="1">IF(F3&lt;=5,F3*21,(((F3-5)*30)+(5*21)))</f>
        <v>27.578659370725035</v>
      </c>
    </row>
    <row r="5" spans="2:6" ht="16.5">
      <c r="B5" s="29" t="s">
        <v>306</v>
      </c>
      <c r="C5" s="55" t="str">
        <f>VLOOKUP(C3,score,13,FALSE)</f>
        <v>سائق شاحنة صغيرة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45541</v>
      </c>
      <c r="D6" s="57"/>
      <c r="E6" s="18" t="s">
        <v>309</v>
      </c>
      <c r="F6" s="25">
        <f ca="1">F4-E37</f>
        <v>21.578659370725035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0.31693989071038253</v>
      </c>
      <c r="E9" s="18" t="s">
        <v>312</v>
      </c>
      <c r="F9" s="17">
        <f>(IF(D9&lt;=5,D9*21,(((D9-5)*30)+(5*21))))-E37</f>
        <v>0.65573770491803351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45567</v>
      </c>
      <c r="D12" s="11">
        <v>45570</v>
      </c>
      <c r="E12" s="10">
        <f t="shared" ref="E12:E36" si="0">D12-C12</f>
        <v>3</v>
      </c>
      <c r="F12" s="9"/>
    </row>
    <row r="13" spans="2:6">
      <c r="B13" s="12">
        <v>2</v>
      </c>
      <c r="C13" s="11">
        <v>45632</v>
      </c>
      <c r="D13" s="11">
        <v>45635</v>
      </c>
      <c r="E13" s="10">
        <f t="shared" si="0"/>
        <v>3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6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F1FD-5EC4-4AEA-BF6F-81E66C07BB2D}">
  <sheetPr codeName="Sheet59">
    <pageSetUpPr fitToPage="1"/>
  </sheetPr>
  <dimension ref="B1:F49"/>
  <sheetViews>
    <sheetView rightToLeft="1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10057</v>
      </c>
      <c r="D3" s="54"/>
      <c r="E3" s="32" t="s">
        <v>303</v>
      </c>
      <c r="F3" s="31">
        <f ca="1">YEARFRAC(TODAY(),C6,1)</f>
        <v>1.2640218878248974</v>
      </c>
    </row>
    <row r="4" spans="2:6" ht="16.5">
      <c r="B4" s="29" t="s">
        <v>304</v>
      </c>
      <c r="C4" s="55" t="str">
        <f>VLOOKUP(C3,score,2,FALSE)</f>
        <v>نجيبه عبده احمد مجرشي</v>
      </c>
      <c r="D4" s="55"/>
      <c r="E4" s="28" t="s">
        <v>305</v>
      </c>
      <c r="F4" s="30">
        <f ca="1">IF(F3&lt;=5,F3*21,(((F3-5)*30)+(5*21)))</f>
        <v>26.544459644322846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45559</v>
      </c>
      <c r="D6" s="57"/>
      <c r="E6" s="18" t="s">
        <v>309</v>
      </c>
      <c r="F6" s="25">
        <f ca="1">F4-E37</f>
        <v>21.544459644322846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0.26775956284153007</v>
      </c>
      <c r="E9" s="18" t="s">
        <v>312</v>
      </c>
      <c r="F9" s="17">
        <f>(IF(D9&lt;=5,D9*21,(((D9-5)*30)+(5*21))))-E37</f>
        <v>0.6229508196721314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45616</v>
      </c>
      <c r="D12" s="11">
        <v>45617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45655</v>
      </c>
      <c r="D13" s="11">
        <v>45659</v>
      </c>
      <c r="E13" s="10">
        <f t="shared" si="0"/>
        <v>4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5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0A74-7297-4CFB-B6E0-E8017236DA9E}">
  <sheetPr codeName="Sheet60">
    <pageSetUpPr fitToPage="1"/>
  </sheetPr>
  <dimension ref="B1:F49"/>
  <sheetViews>
    <sheetView rightToLeft="1" topLeftCell="A10" zoomScaleNormal="100" workbookViewId="0">
      <selection activeCell="E16" sqref="E16"/>
    </sheetView>
  </sheetViews>
  <sheetFormatPr defaultRowHeight="15"/>
  <cols>
    <col min="1" max="1" width="9.140625" style="4"/>
    <col min="2" max="2" width="15.7109375" style="4" bestFit="1" customWidth="1"/>
    <col min="3" max="4" width="15.14062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10058</v>
      </c>
      <c r="D3" s="54"/>
      <c r="E3" s="32" t="s">
        <v>303</v>
      </c>
      <c r="F3" s="31">
        <f ca="1">YEARFRAC(TODAY(),C6,1)</f>
        <v>1.2448700410396716</v>
      </c>
    </row>
    <row r="4" spans="2:6" ht="16.5">
      <c r="B4" s="29" t="s">
        <v>304</v>
      </c>
      <c r="C4" s="55" t="str">
        <f>VLOOKUP(C3,score,2,FALSE)</f>
        <v>ريم عبدالكريم وصال العنزي</v>
      </c>
      <c r="D4" s="55"/>
      <c r="E4" s="28" t="s">
        <v>305</v>
      </c>
      <c r="F4" s="30">
        <f ca="1">IF(F3&lt;=5,F3*21,(((F3-5)*30)+(5*21)))</f>
        <v>26.142270861833104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45566</v>
      </c>
      <c r="D6" s="57"/>
      <c r="E6" s="18" t="s">
        <v>309</v>
      </c>
      <c r="F6" s="25">
        <f ca="1">F4-E37</f>
        <v>23.142270861833104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0.24863387978142076</v>
      </c>
      <c r="E9" s="18" t="s">
        <v>312</v>
      </c>
      <c r="F9" s="17">
        <f>(IF(D9&lt;=5,D9*21,(((D9-5)*30)+(5*21))))-E37</f>
        <v>2.221311475409836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45648</v>
      </c>
      <c r="D12" s="11">
        <v>45649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45742</v>
      </c>
      <c r="D13" s="11">
        <v>45744</v>
      </c>
      <c r="E13" s="10">
        <f t="shared" si="0"/>
        <v>2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3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B2C9-C79B-4EE6-8645-92CB153E0F14}">
  <sheetPr codeName="Sheet61">
    <pageSetUpPr fitToPage="1"/>
  </sheetPr>
  <dimension ref="B1:F49"/>
  <sheetViews>
    <sheetView rightToLeft="1" zoomScaleNormal="100" workbookViewId="0">
      <selection activeCell="D18" sqref="D18"/>
    </sheetView>
  </sheetViews>
  <sheetFormatPr defaultRowHeight="15"/>
  <cols>
    <col min="1" max="1" width="9.140625" style="4"/>
    <col min="2" max="2" width="15.7109375" style="4" bestFit="1" customWidth="1"/>
    <col min="3" max="3" width="15.14062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10059</v>
      </c>
      <c r="D3" s="54"/>
      <c r="E3" s="32" t="s">
        <v>303</v>
      </c>
      <c r="F3" s="31">
        <f ca="1">YEARFRAC(TODAY(),C6,1)</f>
        <v>1.2175102599179206</v>
      </c>
    </row>
    <row r="4" spans="2:6" ht="16.5">
      <c r="B4" s="29" t="s">
        <v>304</v>
      </c>
      <c r="C4" s="55" t="str">
        <f>VLOOKUP(C3,score,2,FALSE)</f>
        <v>حصه ابراهيم محمد العبدالقادر</v>
      </c>
      <c r="D4" s="55"/>
      <c r="E4" s="28" t="s">
        <v>305</v>
      </c>
      <c r="F4" s="30">
        <f ca="1">IF(F3&lt;=5,F3*21,(((F3-5)*30)+(5*21)))</f>
        <v>25.567715458276332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45576</v>
      </c>
      <c r="D6" s="57"/>
      <c r="E6" s="18" t="s">
        <v>309</v>
      </c>
      <c r="F6" s="25">
        <f ca="1">F4-E37</f>
        <v>19.567715458276332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0.22131147540983606</v>
      </c>
      <c r="E9" s="18" t="s">
        <v>312</v>
      </c>
      <c r="F9" s="17">
        <f>(IF(D9&lt;=5,D9*21,(((D9-5)*30)+(5*21))))-E37</f>
        <v>-1.3524590163934427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45675</v>
      </c>
      <c r="D12" s="11">
        <v>45676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45682</v>
      </c>
      <c r="D13" s="11">
        <v>45683</v>
      </c>
      <c r="E13" s="10">
        <f t="shared" si="0"/>
        <v>1</v>
      </c>
      <c r="F13" s="9"/>
    </row>
    <row r="14" spans="2:6">
      <c r="B14" s="12">
        <v>3</v>
      </c>
      <c r="C14" s="11">
        <v>45703</v>
      </c>
      <c r="D14" s="11">
        <v>45707</v>
      </c>
      <c r="E14" s="10">
        <f t="shared" si="0"/>
        <v>4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6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7A6F-74D9-4D3E-98EE-59474D65BA1A}">
  <sheetPr codeName="Sheet62">
    <pageSetUpPr fitToPage="1"/>
  </sheetPr>
  <dimension ref="B1:F49"/>
  <sheetViews>
    <sheetView rightToLeft="1" topLeftCell="A5" zoomScaleNormal="100" workbookViewId="0">
      <selection activeCell="C16" sqref="C16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10060</v>
      </c>
      <c r="D3" s="54"/>
      <c r="E3" s="32" t="s">
        <v>303</v>
      </c>
      <c r="F3" s="31">
        <f ca="1">YEARFRAC(TODAY(),C6,1)</f>
        <v>1.2120383036935705</v>
      </c>
    </row>
    <row r="4" spans="2:6" ht="16.5">
      <c r="B4" s="29" t="s">
        <v>304</v>
      </c>
      <c r="C4" s="55" t="str">
        <f>VLOOKUP(C3,score,2,FALSE)</f>
        <v>أفراح عبدالعزيز راشد الحربي</v>
      </c>
      <c r="D4" s="55"/>
      <c r="E4" s="28" t="s">
        <v>305</v>
      </c>
      <c r="F4" s="30">
        <f ca="1">IF(F3&lt;=5,F3*21,(((F3-5)*30)+(5*21)))</f>
        <v>25.452804377564981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45578</v>
      </c>
      <c r="D6" s="57"/>
      <c r="E6" s="18" t="s">
        <v>309</v>
      </c>
      <c r="F6" s="25">
        <f ca="1">F4-E37</f>
        <v>20.452804377564981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0.21584699453551912</v>
      </c>
      <c r="E9" s="18" t="s">
        <v>312</v>
      </c>
      <c r="F9" s="17">
        <f>(IF(D9&lt;=5,D9*21,(((D9-5)*30)+(5*21))))-E37</f>
        <v>-0.46721311475409877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45662</v>
      </c>
      <c r="D12" s="11">
        <v>45663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45679</v>
      </c>
      <c r="D13" s="11">
        <v>45680</v>
      </c>
      <c r="E13" s="10">
        <f t="shared" si="0"/>
        <v>1</v>
      </c>
      <c r="F13" s="9"/>
    </row>
    <row r="14" spans="2:6">
      <c r="B14" s="12">
        <v>3</v>
      </c>
      <c r="C14" s="11">
        <v>45772</v>
      </c>
      <c r="D14" s="11">
        <v>45773</v>
      </c>
      <c r="E14" s="10">
        <f t="shared" si="0"/>
        <v>1</v>
      </c>
      <c r="F14" s="9"/>
    </row>
    <row r="15" spans="2:6">
      <c r="B15" s="12">
        <v>4</v>
      </c>
      <c r="C15" s="11">
        <v>45766</v>
      </c>
      <c r="D15" s="11">
        <v>45768</v>
      </c>
      <c r="E15" s="10">
        <f t="shared" si="0"/>
        <v>2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5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DEF9-5475-49A0-B47E-B9B6609462AB}">
  <sheetPr codeName="Sheet63">
    <pageSetUpPr fitToPage="1"/>
  </sheetPr>
  <dimension ref="B1:F49"/>
  <sheetViews>
    <sheetView rightToLeft="1" topLeftCell="A5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10061</v>
      </c>
      <c r="D3" s="54"/>
      <c r="E3" s="32" t="s">
        <v>303</v>
      </c>
      <c r="F3" s="31">
        <f ca="1">YEARFRAC(TODAY(),C6,1)</f>
        <v>1.1682626538987688</v>
      </c>
    </row>
    <row r="4" spans="2:6" ht="16.5">
      <c r="B4" s="29" t="s">
        <v>304</v>
      </c>
      <c r="C4" s="55" t="str">
        <f>VLOOKUP(C3,score,2,FALSE)</f>
        <v>مها دخيل الله بن زهيان المطيري</v>
      </c>
      <c r="D4" s="55"/>
      <c r="E4" s="28" t="s">
        <v>305</v>
      </c>
      <c r="F4" s="30">
        <f ca="1">IF(F3&lt;=5,F3*21,(((F3-5)*30)+(5*21)))</f>
        <v>24.533515731874147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45594</v>
      </c>
      <c r="D6" s="57"/>
      <c r="E6" s="18" t="s">
        <v>309</v>
      </c>
      <c r="F6" s="25">
        <f ca="1">F4-E37</f>
        <v>17.533515731874147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0.1721311475409836</v>
      </c>
      <c r="E9" s="18" t="s">
        <v>312</v>
      </c>
      <c r="F9" s="17">
        <f>(IF(D9&lt;=5,D9*21,(((D9-5)*30)+(5*21))))-E37</f>
        <v>-3.3852459016393444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45659</v>
      </c>
      <c r="D12" s="11">
        <v>45660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45741</v>
      </c>
      <c r="D13" s="11">
        <v>45747</v>
      </c>
      <c r="E13" s="10">
        <f t="shared" si="0"/>
        <v>6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7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AE2F-F728-425D-8FE9-BF0BD7CB6A6C}">
  <sheetPr codeName="Sheet64">
    <pageSetUpPr fitToPage="1"/>
  </sheetPr>
  <dimension ref="B1:F49"/>
  <sheetViews>
    <sheetView rightToLeft="1" topLeftCell="A5" zoomScaleNormal="100" workbookViewId="0">
      <selection activeCell="C16" sqref="C16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10062</v>
      </c>
      <c r="D3" s="54"/>
      <c r="E3" s="32" t="s">
        <v>303</v>
      </c>
      <c r="F3" s="31">
        <f ca="1">YEARFRAC(TODAY(),C6,1)</f>
        <v>1.0971272229822162</v>
      </c>
    </row>
    <row r="4" spans="2:6" ht="16.5">
      <c r="B4" s="29" t="s">
        <v>304</v>
      </c>
      <c r="C4" s="55" t="str">
        <f>VLOOKUP(C3,score,2,FALSE)</f>
        <v>طخيمه راشد عبدالله الحديبي</v>
      </c>
      <c r="D4" s="55"/>
      <c r="E4" s="28" t="s">
        <v>305</v>
      </c>
      <c r="F4" s="30">
        <f ca="1">IF(F3&lt;=5,F3*21,(((F3-5)*30)+(5*21)))</f>
        <v>23.03967168262654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45620</v>
      </c>
      <c r="D6" s="57"/>
      <c r="E6" s="18" t="s">
        <v>309</v>
      </c>
      <c r="F6" s="25">
        <f ca="1">F4-E37</f>
        <v>21.03967168262654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0.10109289617486339</v>
      </c>
      <c r="E9" s="18" t="s">
        <v>312</v>
      </c>
      <c r="F9" s="17">
        <f>(IF(D9&lt;=5,D9*21,(((D9-5)*30)+(5*21))))-E37</f>
        <v>0.1229508196721314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45666</v>
      </c>
      <c r="D12" s="11">
        <v>45667</v>
      </c>
      <c r="E12" s="10">
        <f t="shared" ref="E12:E36" si="0">D12-C12</f>
        <v>1</v>
      </c>
      <c r="F12" s="9"/>
    </row>
    <row r="13" spans="2:6">
      <c r="B13" s="12">
        <v>2</v>
      </c>
      <c r="C13" s="11">
        <v>45724</v>
      </c>
      <c r="D13" s="11">
        <v>45725</v>
      </c>
      <c r="E13" s="10">
        <f t="shared" si="0"/>
        <v>1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2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3397-DE08-4F9E-BCCB-13FA65296338}">
  <sheetPr codeName="Sheet65">
    <pageSetUpPr fitToPage="1"/>
  </sheetPr>
  <dimension ref="B1:F49"/>
  <sheetViews>
    <sheetView rightToLeft="1" topLeftCell="A5" zoomScaleNormal="100" workbookViewId="0">
      <selection activeCell="C16" sqref="C16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10063</v>
      </c>
      <c r="D3" s="54"/>
      <c r="E3" s="32" t="s">
        <v>303</v>
      </c>
      <c r="F3" s="31">
        <f ca="1">YEARFRAC(TODAY(),C6,1)</f>
        <v>1.0642954856361149</v>
      </c>
    </row>
    <row r="4" spans="2:6" ht="16.5">
      <c r="B4" s="29" t="s">
        <v>304</v>
      </c>
      <c r="C4" s="55" t="str">
        <f>VLOOKUP(C3,score,2,FALSE)</f>
        <v>هياء عبدالله بن فهيد الهواشله</v>
      </c>
      <c r="D4" s="55"/>
      <c r="E4" s="28" t="s">
        <v>305</v>
      </c>
      <c r="F4" s="30">
        <f ca="1">IF(F3&lt;=5,F3*21,(((F3-5)*30)+(5*21)))</f>
        <v>22.350205198358413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45632</v>
      </c>
      <c r="D6" s="57"/>
      <c r="E6" s="18" t="s">
        <v>309</v>
      </c>
      <c r="F6" s="25">
        <f ca="1">F4-E37</f>
        <v>21.350205198358413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6.8306010928961755E-2</v>
      </c>
      <c r="E9" s="18" t="s">
        <v>312</v>
      </c>
      <c r="F9" s="17">
        <f>(IF(D9&lt;=5,D9*21,(((D9-5)*30)+(5*21))))-E37</f>
        <v>0.43442622950819687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45688</v>
      </c>
      <c r="D12" s="11">
        <v>45689</v>
      </c>
      <c r="E12" s="10">
        <f t="shared" ref="E12:E36" si="0">D12-C12</f>
        <v>1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DABE-68B4-4D53-B761-EE8DCACD2141}">
  <sheetPr codeName="Sheet66">
    <pageSetUpPr fitToPage="1"/>
  </sheetPr>
  <dimension ref="B1:F49"/>
  <sheetViews>
    <sheetView rightToLeft="1" topLeftCell="A5" zoomScaleNormal="100" workbookViewId="0">
      <selection activeCell="C9" sqref="C9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10064</v>
      </c>
      <c r="D3" s="54"/>
      <c r="E3" s="32" t="s">
        <v>303</v>
      </c>
      <c r="F3" s="31">
        <f ca="1">YEARFRAC(TODAY(),C6,1)</f>
        <v>1.0341997264021887</v>
      </c>
    </row>
    <row r="4" spans="2:6" ht="16.5">
      <c r="B4" s="29" t="s">
        <v>304</v>
      </c>
      <c r="C4" s="55" t="str">
        <f>VLOOKUP(C3,score,2,FALSE)</f>
        <v>محمد نجيب عبدالوهاب عبدالله</v>
      </c>
      <c r="D4" s="55"/>
      <c r="E4" s="28" t="s">
        <v>305</v>
      </c>
      <c r="F4" s="30">
        <f ca="1">IF(F3&lt;=5,F3*21,(((F3-5)*30)+(5*21)))</f>
        <v>21.718194254445962</v>
      </c>
    </row>
    <row r="5" spans="2:6" ht="16.5">
      <c r="B5" s="29" t="s">
        <v>306</v>
      </c>
      <c r="C5" s="55" t="str">
        <f>VLOOKUP(C3,score,13,FALSE)</f>
        <v>عامل تعبئة وتغليف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45643</v>
      </c>
      <c r="D6" s="57"/>
      <c r="E6" s="18" t="s">
        <v>309</v>
      </c>
      <c r="F6" s="25">
        <f ca="1">F4-E37</f>
        <v>21.718194254445962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3.825136612021858E-2</v>
      </c>
      <c r="E9" s="18" t="s">
        <v>312</v>
      </c>
      <c r="F9" s="17">
        <f>(IF(D9&lt;=5,D9*21,(((D9-5)*30)+(5*21))))-E37</f>
        <v>0.80327868852459017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0627-5138-44B7-ACF0-EEF14E7E7684}">
  <sheetPr codeName="Sheet67">
    <pageSetUpPr fitToPage="1"/>
  </sheetPr>
  <dimension ref="B1:F49"/>
  <sheetViews>
    <sheetView rightToLeft="1" zoomScaleNormal="100" workbookViewId="0">
      <selection activeCell="D14" sqref="D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10065</v>
      </c>
      <c r="D3" s="54"/>
      <c r="E3" s="32" t="s">
        <v>303</v>
      </c>
      <c r="F3" s="31">
        <f ca="1">YEARFRAC(TODAY(),C6,1)</f>
        <v>1.0205198358413132</v>
      </c>
    </row>
    <row r="4" spans="2:6" ht="16.5">
      <c r="B4" s="29" t="s">
        <v>304</v>
      </c>
      <c r="C4" s="55" t="str">
        <f>VLOOKUP(C3,score,2,FALSE)</f>
        <v>عبدالسلام كامل سيف عبده</v>
      </c>
      <c r="D4" s="55"/>
      <c r="E4" s="28" t="s">
        <v>305</v>
      </c>
      <c r="F4" s="30">
        <f ca="1">IF(F3&lt;=5,F3*21,(((F3-5)*30)+(5*21)))</f>
        <v>21.430916552667579</v>
      </c>
    </row>
    <row r="5" spans="2:6" ht="16.5">
      <c r="B5" s="29" t="s">
        <v>306</v>
      </c>
      <c r="C5" s="55" t="str">
        <f>VLOOKUP(C3,score,13,FALSE)</f>
        <v>عامل تحميل وتنزيل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45648</v>
      </c>
      <c r="D6" s="57"/>
      <c r="E6" s="18" t="s">
        <v>309</v>
      </c>
      <c r="F6" s="25">
        <f ca="1">F4-E37</f>
        <v>21.430916552667579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2.4590163934426229E-2</v>
      </c>
      <c r="E9" s="18" t="s">
        <v>312</v>
      </c>
      <c r="F9" s="17">
        <f>(IF(D9&lt;=5,D9*21,(((D9-5)*30)+(5*21))))-E37</f>
        <v>0.51639344262295084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AE81-F478-400D-B752-8C9AF62CCC06}">
  <sheetPr codeName="Sheet68">
    <pageSetUpPr fitToPage="1"/>
  </sheetPr>
  <dimension ref="B1:F49"/>
  <sheetViews>
    <sheetView rightToLeft="1" topLeftCell="A21" zoomScaleNormal="100" workbookViewId="0">
      <selection activeCell="F43" sqref="F43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10066</v>
      </c>
      <c r="D3" s="54"/>
      <c r="E3" s="32" t="s">
        <v>303</v>
      </c>
      <c r="F3" s="31">
        <f ca="1">YEARFRAC(TODAY(),C6,1)</f>
        <v>1.0041039671682626</v>
      </c>
    </row>
    <row r="4" spans="2:6" ht="16.5">
      <c r="B4" s="29" t="s">
        <v>304</v>
      </c>
      <c r="C4" s="55" t="str">
        <f>VLOOKUP(C3,score,2,FALSE)</f>
        <v>نموذج الاجازة</v>
      </c>
      <c r="D4" s="55"/>
      <c r="E4" s="28" t="s">
        <v>305</v>
      </c>
      <c r="F4" s="30">
        <f ca="1">IF(F3&lt;=5,F3*21,(((F3-5)*30)+(5*21)))</f>
        <v>21.086183310533514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45654</v>
      </c>
      <c r="D6" s="57"/>
      <c r="E6" s="18" t="s">
        <v>309</v>
      </c>
      <c r="F6" s="25">
        <f ca="1">F4-E37</f>
        <v>21.086183310533514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8.1967213114754103E-3</v>
      </c>
      <c r="E9" s="18" t="s">
        <v>312</v>
      </c>
      <c r="F9" s="17">
        <f>(IF(D9&lt;=5,D9*21,(((D9-5)*30)+(5*21))))-E37</f>
        <v>0.1721311475409836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>
        <v>45800</v>
      </c>
      <c r="D42" s="11">
        <v>45805</v>
      </c>
      <c r="E42" s="10">
        <f t="shared" ref="E42:E49" si="1">D42-C42</f>
        <v>5</v>
      </c>
      <c r="F42" s="43" t="s">
        <v>323</v>
      </c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9VdjxKvCJ/O31zVurkmbuPt480XXx68Z5XtrOm+lSEWZ5z8S9W4fUoT4GCfv9A6G/5efxmd0Ppm9d+fPwC9wqA==" saltValue="m0Gz1ngAY+0hfuow7++FoQ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6B6A-B86A-4FE6-83F1-E087299697C4}">
  <sheetPr codeName="Sheet69">
    <pageSetUpPr fitToPage="1"/>
  </sheetPr>
  <dimension ref="B1:F49"/>
  <sheetViews>
    <sheetView rightToLeft="1" zoomScaleNormal="100" workbookViewId="0">
      <selection activeCell="C15" sqref="C15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10067</v>
      </c>
      <c r="D3" s="54"/>
      <c r="E3" s="32" t="s">
        <v>303</v>
      </c>
      <c r="F3" s="31">
        <f ca="1">YEARFRAC(TODAY(),C6,1)</f>
        <v>0.94246575342465755</v>
      </c>
    </row>
    <row r="4" spans="2:6" ht="16.5">
      <c r="B4" s="29" t="s">
        <v>304</v>
      </c>
      <c r="C4" s="55" t="str">
        <f>VLOOKUP(C3,score,2,FALSE)</f>
        <v>HAZRAT KHAN HAJAT MIR</v>
      </c>
      <c r="D4" s="55"/>
      <c r="E4" s="28" t="s">
        <v>305</v>
      </c>
      <c r="F4" s="30">
        <f ca="1">IF(F3&lt;=5,F3*21,(((F3-5)*30)+(5*21)))</f>
        <v>19.791780821917808</v>
      </c>
    </row>
    <row r="5" spans="2:6" ht="16.5">
      <c r="B5" s="29" t="s">
        <v>306</v>
      </c>
      <c r="C5" s="55" t="str">
        <f>VLOOKUP(C3,score,13,FALSE)</f>
        <v>عامل مطبخ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45677</v>
      </c>
      <c r="D6" s="57"/>
      <c r="E6" s="18" t="s">
        <v>309</v>
      </c>
      <c r="F6" s="25">
        <f ca="1">F4-E37</f>
        <v>19.791780821917808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5.4794520547945202E-2</v>
      </c>
      <c r="E9" s="18" t="s">
        <v>312</v>
      </c>
      <c r="F9" s="17">
        <f>(IF(D9&lt;=5,D9*21,(((D9-5)*30)+(5*21))))-E37</f>
        <v>1.1506849315068493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6D9D-0F3B-4098-93EA-263772AF075E}">
  <sheetPr codeName="Sheet70">
    <pageSetUpPr fitToPage="1"/>
  </sheetPr>
  <dimension ref="B1:F49"/>
  <sheetViews>
    <sheetView rightToLeft="1" zoomScaleNormal="100" workbookViewId="0">
      <selection activeCell="C15" sqref="C15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10068</v>
      </c>
      <c r="D3" s="54"/>
      <c r="E3" s="32" t="s">
        <v>303</v>
      </c>
      <c r="F3" s="31">
        <f ca="1">YEARFRAC(TODAY(),C6,1)</f>
        <v>0.9342465753424658</v>
      </c>
    </row>
    <row r="4" spans="2:6" ht="16.5">
      <c r="B4" s="29" t="s">
        <v>304</v>
      </c>
      <c r="C4" s="55" t="str">
        <f>VLOOKUP(C3,score,2,FALSE)</f>
        <v>GHULAM MUSTAFA MAQBOOL AHMAD</v>
      </c>
      <c r="D4" s="55"/>
      <c r="E4" s="28" t="s">
        <v>305</v>
      </c>
      <c r="F4" s="30">
        <f ca="1">IF(F3&lt;=5,F3*21,(((F3-5)*30)+(5*21)))</f>
        <v>19.61917808219178</v>
      </c>
    </row>
    <row r="5" spans="2:6" ht="16.5">
      <c r="B5" s="29" t="s">
        <v>306</v>
      </c>
      <c r="C5" s="55" t="str">
        <f>VLOOKUP(C3,score,13,FALSE)</f>
        <v>عامل غسيل ملابس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45680</v>
      </c>
      <c r="D6" s="57"/>
      <c r="E6" s="18" t="s">
        <v>309</v>
      </c>
      <c r="F6" s="25">
        <f ca="1">F4-E37</f>
        <v>19.61917808219178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6.3013698630136991E-2</v>
      </c>
      <c r="E9" s="18" t="s">
        <v>312</v>
      </c>
      <c r="F9" s="17">
        <f>(IF(D9&lt;=5,D9*21,(((D9-5)*30)+(5*21))))-E37</f>
        <v>1.3232876712328767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D524-894C-40D6-A7B6-518A65BD36EC}">
  <sheetPr codeName="Sheet71">
    <pageSetUpPr fitToPage="1"/>
  </sheetPr>
  <dimension ref="B1:F49"/>
  <sheetViews>
    <sheetView rightToLeft="1" zoomScaleNormal="100" workbookViewId="0">
      <selection activeCell="D14" sqref="D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10069</v>
      </c>
      <c r="D3" s="54"/>
      <c r="E3" s="32" t="s">
        <v>303</v>
      </c>
      <c r="F3" s="31">
        <f ca="1">YEARFRAC(TODAY(),C6,1)</f>
        <v>0.90958904109589045</v>
      </c>
    </row>
    <row r="4" spans="2:6" ht="16.5">
      <c r="B4" s="29" t="s">
        <v>304</v>
      </c>
      <c r="C4" s="55" t="str">
        <f>VLOOKUP(C3,score,2,FALSE)</f>
        <v>مرام احمد بن حسن الزهراني</v>
      </c>
      <c r="D4" s="55"/>
      <c r="E4" s="28" t="s">
        <v>305</v>
      </c>
      <c r="F4" s="30">
        <f ca="1">IF(F3&lt;=5,F3*21,(((F3-5)*30)+(5*21)))</f>
        <v>19.101369863013698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45689</v>
      </c>
      <c r="D6" s="57"/>
      <c r="E6" s="18" t="s">
        <v>309</v>
      </c>
      <c r="F6" s="25">
        <f ca="1">F4-E37</f>
        <v>18.101369863013698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8.7671232876712329E-2</v>
      </c>
      <c r="E9" s="18" t="s">
        <v>312</v>
      </c>
      <c r="F9" s="17">
        <f>(IF(D9&lt;=5,D9*21,(((D9-5)*30)+(5*21))))-E37</f>
        <v>0.84109589041095889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45780</v>
      </c>
      <c r="D12" s="11">
        <v>45781</v>
      </c>
      <c r="E12" s="10">
        <f t="shared" ref="E12:E36" si="0">D12-C12</f>
        <v>1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25C1-C415-4232-9FEE-42216571A53B}">
  <sheetPr codeName="Sheet72">
    <pageSetUpPr fitToPage="1"/>
  </sheetPr>
  <dimension ref="B1:F49"/>
  <sheetViews>
    <sheetView rightToLeft="1" zoomScaleNormal="100" workbookViewId="0">
      <selection activeCell="D17" sqref="D17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10070</v>
      </c>
      <c r="D3" s="54"/>
      <c r="E3" s="32" t="s">
        <v>303</v>
      </c>
      <c r="F3" s="31">
        <f ca="1">YEARFRAC(TODAY(),C6,1)</f>
        <v>0.81917808219178079</v>
      </c>
    </row>
    <row r="4" spans="2:6" ht="16.5">
      <c r="B4" s="29" t="s">
        <v>304</v>
      </c>
      <c r="C4" s="55" t="str">
        <f>VLOOKUP(C3,score,2,FALSE)</f>
        <v>نوره سعدون صقر العتيبي</v>
      </c>
      <c r="D4" s="55"/>
      <c r="E4" s="28" t="s">
        <v>305</v>
      </c>
      <c r="F4" s="30">
        <f ca="1">IF(F3&lt;=5,F3*21,(((F3-5)*30)+(5*21)))</f>
        <v>17.202739726027396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45722</v>
      </c>
      <c r="D6" s="57"/>
      <c r="E6" s="18" t="s">
        <v>309</v>
      </c>
      <c r="F6" s="25">
        <f ca="1">F4-E37</f>
        <v>17.202739726027396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0.17808219178082191</v>
      </c>
      <c r="E9" s="18" t="s">
        <v>312</v>
      </c>
      <c r="F9" s="17">
        <f>(IF(D9&lt;=5,D9*21,(((D9-5)*30)+(5*21))))-E37</f>
        <v>3.7397260273972601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798A-D876-43B8-AF66-8B848FB333E8}">
  <sheetPr codeName="Sheet73">
    <pageSetUpPr fitToPage="1"/>
  </sheetPr>
  <dimension ref="B1:F49"/>
  <sheetViews>
    <sheetView rightToLeft="1" zoomScaleNormal="100" workbookViewId="0">
      <selection activeCell="C13" sqref="C13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10071</v>
      </c>
      <c r="D3" s="54"/>
      <c r="E3" s="32" t="s">
        <v>303</v>
      </c>
      <c r="F3" s="31">
        <f ca="1">YEARFRAC(TODAY(),C6,1)</f>
        <v>0.79452054794520544</v>
      </c>
    </row>
    <row r="4" spans="2:6" ht="16.5">
      <c r="B4" s="29" t="s">
        <v>304</v>
      </c>
      <c r="C4" s="55" t="str">
        <f>VLOOKUP(C3,score,2,FALSE)</f>
        <v>عبير خلف جري المطيري</v>
      </c>
      <c r="D4" s="55"/>
      <c r="E4" s="28" t="s">
        <v>305</v>
      </c>
      <c r="F4" s="30">
        <f ca="1">IF(F3&lt;=5,F3*21,(((F3-5)*30)+(5*21)))</f>
        <v>16.684931506849313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45731</v>
      </c>
      <c r="D6" s="57"/>
      <c r="E6" s="18" t="s">
        <v>309</v>
      </c>
      <c r="F6" s="25">
        <f ca="1">F4-E37</f>
        <v>16.684931506849313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0.20273972602739726</v>
      </c>
      <c r="E9" s="18" t="s">
        <v>312</v>
      </c>
      <c r="F9" s="17">
        <f>(IF(D9&lt;=5,D9*21,(((D9-5)*30)+(5*21))))-E37</f>
        <v>4.2575342465753421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5753-C2B2-4FE3-9B34-E026928AF041}">
  <sheetPr codeName="Sheet74">
    <pageSetUpPr fitToPage="1"/>
  </sheetPr>
  <dimension ref="B1:F49"/>
  <sheetViews>
    <sheetView rightToLeft="1" zoomScaleNormal="100" workbookViewId="0">
      <selection activeCell="C14" sqref="C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10072</v>
      </c>
      <c r="D3" s="54"/>
      <c r="E3" s="32" t="s">
        <v>303</v>
      </c>
      <c r="F3" s="31">
        <f ca="1">YEARFRAC(TODAY(),C6,1)</f>
        <v>0.78082191780821919</v>
      </c>
    </row>
    <row r="4" spans="2:6" ht="16.5">
      <c r="B4" s="29" t="s">
        <v>304</v>
      </c>
      <c r="C4" s="55" t="str">
        <f>VLOOKUP(C3,score,2,FALSE)</f>
        <v>ريم علي بن علي عجيبي</v>
      </c>
      <c r="D4" s="55"/>
      <c r="E4" s="28" t="s">
        <v>305</v>
      </c>
      <c r="F4" s="30">
        <f ca="1">IF(F3&lt;=5,F3*21,(((F3-5)*30)+(5*21)))</f>
        <v>16.397260273972602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45736</v>
      </c>
      <c r="D6" s="57"/>
      <c r="E6" s="18" t="s">
        <v>309</v>
      </c>
      <c r="F6" s="25">
        <f ca="1">F4-E37</f>
        <v>15.397260273972602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0.21643835616438356</v>
      </c>
      <c r="E9" s="18" t="s">
        <v>312</v>
      </c>
      <c r="F9" s="17">
        <f>(IF(D9&lt;=5,D9*21,(((D9-5)*30)+(5*21))))-E37</f>
        <v>3.5452054794520551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45775</v>
      </c>
      <c r="D12" s="11">
        <v>45776</v>
      </c>
      <c r="E12" s="10">
        <f t="shared" ref="E12:E36" si="0">D12-C12</f>
        <v>1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5EF0-E7C2-405B-B9B5-F3AC2EB1FD8E}">
  <sheetPr codeName="Sheet75">
    <pageSetUpPr fitToPage="1"/>
  </sheetPr>
  <dimension ref="B1:F49"/>
  <sheetViews>
    <sheetView rightToLeft="1" zoomScaleNormal="100" workbookViewId="0">
      <selection activeCell="D17" sqref="D17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10073</v>
      </c>
      <c r="D3" s="54"/>
      <c r="E3" s="32" t="s">
        <v>303</v>
      </c>
      <c r="F3" s="31">
        <f ca="1">YEARFRAC(TODAY(),C6,1)</f>
        <v>0.77534246575342469</v>
      </c>
    </row>
    <row r="4" spans="2:6" ht="16.5">
      <c r="B4" s="29" t="s">
        <v>304</v>
      </c>
      <c r="C4" s="55" t="str">
        <f>VLOOKUP(C3,score,2,FALSE)</f>
        <v>وفاء خلف سويلم العنزي</v>
      </c>
      <c r="D4" s="55"/>
      <c r="E4" s="28" t="s">
        <v>305</v>
      </c>
      <c r="F4" s="30">
        <f ca="1">IF(F3&lt;=5,F3*21,(((F3-5)*30)+(5*21)))</f>
        <v>16.282191780821918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45738</v>
      </c>
      <c r="D6" s="57"/>
      <c r="E6" s="18" t="s">
        <v>309</v>
      </c>
      <c r="F6" s="25">
        <f ca="1">F4-E37</f>
        <v>16.282191780821918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0.22191780821917809</v>
      </c>
      <c r="E9" s="18" t="s">
        <v>312</v>
      </c>
      <c r="F9" s="17">
        <f>(IF(D9&lt;=5,D9*21,(((D9-5)*30)+(5*21))))-E37</f>
        <v>4.6602739726027398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A1A6-D674-4F54-8B65-28312F80329E}">
  <sheetPr codeName="Sheet76">
    <pageSetUpPr fitToPage="1"/>
  </sheetPr>
  <dimension ref="B1:F49"/>
  <sheetViews>
    <sheetView rightToLeft="1" zoomScaleNormal="100" workbookViewId="0">
      <selection activeCell="E13" sqref="E13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10074</v>
      </c>
      <c r="D3" s="54"/>
      <c r="E3" s="32" t="s">
        <v>303</v>
      </c>
      <c r="F3" s="31">
        <f ca="1">YEARFRAC(TODAY(),C6,1)</f>
        <v>0.77260273972602744</v>
      </c>
    </row>
    <row r="4" spans="2:6" ht="16.5">
      <c r="B4" s="29" t="s">
        <v>304</v>
      </c>
      <c r="C4" s="55" t="str">
        <f>VLOOKUP(C3,score,2,FALSE)</f>
        <v>رهف محسن عائض الشهري</v>
      </c>
      <c r="D4" s="55"/>
      <c r="E4" s="28" t="s">
        <v>305</v>
      </c>
      <c r="F4" s="30">
        <f ca="1">IF(F3&lt;=5,F3*21,(((F3-5)*30)+(5*21)))</f>
        <v>16.224657534246575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45739</v>
      </c>
      <c r="D6" s="57"/>
      <c r="E6" s="18" t="s">
        <v>309</v>
      </c>
      <c r="F6" s="25">
        <f ca="1">F4-E37</f>
        <v>16.224657534246575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0.22465753424657534</v>
      </c>
      <c r="E9" s="18" t="s">
        <v>312</v>
      </c>
      <c r="F9" s="17">
        <f>(IF(D9&lt;=5,D9*21,(((D9-5)*30)+(5*21))))-E37</f>
        <v>4.7178082191780817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FE1D-72BE-4AC9-B380-E892A2D85AB4}">
  <sheetPr codeName="Sheet77">
    <pageSetUpPr fitToPage="1"/>
  </sheetPr>
  <dimension ref="B1:F49"/>
  <sheetViews>
    <sheetView rightToLeft="1" zoomScaleNormal="100" workbookViewId="0">
      <selection activeCell="C4" sqref="C4:D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10075</v>
      </c>
      <c r="D3" s="54"/>
      <c r="E3" s="32" t="s">
        <v>303</v>
      </c>
      <c r="F3" s="31">
        <f ca="1">YEARFRAC(TODAY(),C6,1)</f>
        <v>0.74794520547945209</v>
      </c>
    </row>
    <row r="4" spans="2:6" ht="16.5">
      <c r="B4" s="29" t="s">
        <v>304</v>
      </c>
      <c r="C4" s="55" t="str">
        <f>VLOOKUP(C3,score,2,FALSE)</f>
        <v>موسى محمد قاسم عثمان العزاني</v>
      </c>
      <c r="D4" s="55"/>
      <c r="E4" s="28" t="s">
        <v>305</v>
      </c>
      <c r="F4" s="30">
        <f ca="1">IF(F3&lt;=5,F3*21,(((F3-5)*30)+(5*21)))</f>
        <v>15.706849315068494</v>
      </c>
    </row>
    <row r="5" spans="2:6" ht="16.5">
      <c r="B5" s="29" t="s">
        <v>306</v>
      </c>
      <c r="C5" s="55" t="str">
        <f>VLOOKUP(C3,score,13,FALSE)</f>
        <v>عامل عادي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45748</v>
      </c>
      <c r="D6" s="57"/>
      <c r="E6" s="18" t="s">
        <v>309</v>
      </c>
      <c r="F6" s="25">
        <f ca="1">F4-E37</f>
        <v>15.706849315068494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0.24931506849315069</v>
      </c>
      <c r="E9" s="18" t="s">
        <v>312</v>
      </c>
      <c r="F9" s="17">
        <f>(IF(D9&lt;=5,D9*21,(((D9-5)*30)+(5*21))))-E37</f>
        <v>5.2356164383561641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A574-EFC8-4239-B7FB-96FB8361AC05}">
  <sheetPr codeName="Sheet78">
    <pageSetUpPr fitToPage="1"/>
  </sheetPr>
  <dimension ref="B1:F49"/>
  <sheetViews>
    <sheetView rightToLeft="1" zoomScaleNormal="100" workbookViewId="0">
      <selection activeCell="C13" sqref="C13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10076</v>
      </c>
      <c r="D3" s="54"/>
      <c r="E3" s="32" t="s">
        <v>303</v>
      </c>
      <c r="F3" s="31">
        <f ca="1">YEARFRAC(TODAY(),C6,1)</f>
        <v>0.74246575342465748</v>
      </c>
    </row>
    <row r="4" spans="2:6" ht="16.5">
      <c r="B4" s="29" t="s">
        <v>304</v>
      </c>
      <c r="C4" s="55" t="str">
        <f>VLOOKUP(C3,score,2,FALSE)</f>
        <v>روان غايب بن سعد العتيبي</v>
      </c>
      <c r="D4" s="55"/>
      <c r="E4" s="28" t="s">
        <v>305</v>
      </c>
      <c r="F4" s="30">
        <f ca="1">IF(F3&lt;=5,F3*21,(((F3-5)*30)+(5*21)))</f>
        <v>15.591780821917807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45750</v>
      </c>
      <c r="D6" s="57"/>
      <c r="E6" s="18" t="s">
        <v>309</v>
      </c>
      <c r="F6" s="25">
        <f ca="1">F4-E37</f>
        <v>15.591780821917807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0.25479452054794521</v>
      </c>
      <c r="E9" s="18" t="s">
        <v>312</v>
      </c>
      <c r="F9" s="17">
        <f>(IF(D9&lt;=5,D9*21,(((D9-5)*30)+(5*21))))-E37</f>
        <v>5.3506849315068497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58D6-76B3-4DED-A53E-8454ECE568D8}">
  <sheetPr codeName="Sheet79">
    <pageSetUpPr fitToPage="1"/>
  </sheetPr>
  <dimension ref="B1:F49"/>
  <sheetViews>
    <sheetView rightToLeft="1" zoomScaleNormal="100" workbookViewId="0">
      <selection activeCell="E14" sqref="E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10077</v>
      </c>
      <c r="D3" s="54"/>
      <c r="E3" s="32" t="s">
        <v>303</v>
      </c>
      <c r="F3" s="31">
        <f ca="1">YEARFRAC(TODAY(),C6,1)</f>
        <v>0.73698630136986298</v>
      </c>
    </row>
    <row r="4" spans="2:6" ht="16.5">
      <c r="B4" s="29" t="s">
        <v>304</v>
      </c>
      <c r="C4" s="55" t="str">
        <f>VLOOKUP(C3,score,2,FALSE)</f>
        <v>نهى علي عبدالرحمن العسكر</v>
      </c>
      <c r="D4" s="55"/>
      <c r="E4" s="28" t="s">
        <v>305</v>
      </c>
      <c r="F4" s="30">
        <f ca="1">IF(F3&lt;=5,F3*21,(((F3-5)*30)+(5*21)))</f>
        <v>15.476712328767123</v>
      </c>
    </row>
    <row r="5" spans="2:6" ht="16.5">
      <c r="B5" s="29" t="s">
        <v>306</v>
      </c>
      <c r="C5" s="55" t="str">
        <f>VLOOKUP(C3,score,13,FALSE)</f>
        <v>أخصائي خدمة عملاء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45752</v>
      </c>
      <c r="D6" s="57"/>
      <c r="E6" s="18" t="s">
        <v>309</v>
      </c>
      <c r="F6" s="25">
        <f ca="1">F4-E37</f>
        <v>14.476712328767123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0.26027397260273971</v>
      </c>
      <c r="E9" s="18" t="s">
        <v>312</v>
      </c>
      <c r="F9" s="17">
        <f>(IF(D9&lt;=5,D9*21,(((D9-5)*30)+(5*21))))-E37</f>
        <v>4.4657534246575343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>
        <v>45763</v>
      </c>
      <c r="D12" s="11">
        <v>45764</v>
      </c>
      <c r="E12" s="10">
        <f t="shared" ref="E12:E36" si="0">D12-C12</f>
        <v>1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1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E0A5-4B5D-42B9-8F57-F7B2DB9AEBAC}">
  <sheetPr codeName="Sheet80">
    <pageSetUpPr fitToPage="1"/>
  </sheetPr>
  <dimension ref="B1:F49"/>
  <sheetViews>
    <sheetView rightToLeft="1" zoomScaleNormal="100" workbookViewId="0">
      <selection activeCell="C14" sqref="C14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10078</v>
      </c>
      <c r="D3" s="54"/>
      <c r="E3" s="32" t="s">
        <v>303</v>
      </c>
      <c r="F3" s="31">
        <f ca="1">YEARFRAC(TODAY(),C6,1)</f>
        <v>0.70684931506849313</v>
      </c>
    </row>
    <row r="4" spans="2:6" ht="16.5">
      <c r="B4" s="29" t="s">
        <v>304</v>
      </c>
      <c r="C4" s="55" t="str">
        <f>VLOOKUP(C3,score,2,FALSE)</f>
        <v>هيا سعيد سليمان البيشان</v>
      </c>
      <c r="D4" s="55"/>
      <c r="E4" s="28" t="s">
        <v>305</v>
      </c>
      <c r="F4" s="30">
        <f ca="1">IF(F3&lt;=5,F3*21,(((F3-5)*30)+(5*21)))</f>
        <v>14.843835616438355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45763</v>
      </c>
      <c r="D6" s="57"/>
      <c r="E6" s="18" t="s">
        <v>309</v>
      </c>
      <c r="F6" s="25">
        <f ca="1">F4-E37</f>
        <v>14.843835616438355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0.29041095890410956</v>
      </c>
      <c r="E9" s="18" t="s">
        <v>312</v>
      </c>
      <c r="F9" s="17">
        <f>(IF(D9&lt;=5,D9*21,(((D9-5)*30)+(5*21))))-E37</f>
        <v>6.0986301369863005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4516-D576-4CE6-A331-FA295564772A}">
  <sheetPr codeName="Sheet81">
    <pageSetUpPr fitToPage="1"/>
  </sheetPr>
  <dimension ref="B1:F49"/>
  <sheetViews>
    <sheetView rightToLeft="1" zoomScaleNormal="100" workbookViewId="0">
      <selection activeCell="D15" sqref="D15"/>
    </sheetView>
  </sheetViews>
  <sheetFormatPr defaultRowHeight="15"/>
  <cols>
    <col min="1" max="1" width="9.140625" style="4"/>
    <col min="2" max="2" width="15.7109375" style="4" bestFit="1" customWidth="1"/>
    <col min="3" max="3" width="13.85546875" style="4" bestFit="1" customWidth="1"/>
    <col min="4" max="4" width="14.7109375" style="4" bestFit="1" customWidth="1"/>
    <col min="5" max="5" width="29.42578125" style="4" bestFit="1" customWidth="1"/>
    <col min="6" max="6" width="23" style="4" bestFit="1" customWidth="1"/>
    <col min="7" max="12" width="9.140625" style="4"/>
    <col min="13" max="13" width="16.140625" style="4" bestFit="1" customWidth="1"/>
    <col min="14" max="14" width="13.28515625" style="4" customWidth="1"/>
    <col min="15" max="16384" width="9.140625" style="4"/>
  </cols>
  <sheetData>
    <row r="1" spans="2:6" ht="76.150000000000006" customHeight="1">
      <c r="B1" s="53" t="e" vm="1">
        <v>#VALUE!</v>
      </c>
      <c r="C1" s="53"/>
      <c r="D1" s="53"/>
      <c r="E1" s="53"/>
      <c r="F1" s="53"/>
    </row>
    <row r="2" spans="2:6" ht="27.6" customHeight="1" thickBot="1">
      <c r="B2" s="48" t="s">
        <v>301</v>
      </c>
      <c r="C2" s="48"/>
      <c r="D2" s="48"/>
      <c r="E2" s="48"/>
      <c r="F2" s="48"/>
    </row>
    <row r="3" spans="2:6" ht="16.5">
      <c r="B3" s="33" t="s">
        <v>302</v>
      </c>
      <c r="C3" s="54">
        <v>10079</v>
      </c>
      <c r="D3" s="54"/>
      <c r="E3" s="32" t="s">
        <v>303</v>
      </c>
      <c r="F3" s="31">
        <f ca="1">YEARFRAC(TODAY(),C6,1)</f>
        <v>0.64931506849315068</v>
      </c>
    </row>
    <row r="4" spans="2:6" ht="16.5">
      <c r="B4" s="29" t="s">
        <v>304</v>
      </c>
      <c r="C4" s="55" t="str">
        <f>VLOOKUP(C3,score,2,FALSE)</f>
        <v>لمياء سيف دخيل الدوسري</v>
      </c>
      <c r="D4" s="55"/>
      <c r="E4" s="28" t="s">
        <v>305</v>
      </c>
      <c r="F4" s="30">
        <f ca="1">IF(F3&lt;=5,F3*21,(((F3-5)*30)+(5*21)))</f>
        <v>13.635616438356164</v>
      </c>
    </row>
    <row r="5" spans="2:6" ht="16.5">
      <c r="B5" s="29" t="s">
        <v>306</v>
      </c>
      <c r="C5" s="55" t="str">
        <f>VLOOKUP(C3,score,13,FALSE)</f>
        <v>أخصائي مبيعات</v>
      </c>
      <c r="D5" s="55"/>
      <c r="E5" s="28" t="s">
        <v>307</v>
      </c>
      <c r="F5" s="27">
        <f ca="1">IF(F3&lt;=5,21,30)</f>
        <v>21</v>
      </c>
    </row>
    <row r="6" spans="2:6" ht="17.25" thickBot="1">
      <c r="B6" s="26" t="s">
        <v>308</v>
      </c>
      <c r="C6" s="56">
        <f>VLOOKUP(C3,score,14,FALSE)</f>
        <v>45784</v>
      </c>
      <c r="D6" s="57"/>
      <c r="E6" s="18" t="s">
        <v>309</v>
      </c>
      <c r="F6" s="25">
        <f ca="1">F4-E37</f>
        <v>13.635616438356164</v>
      </c>
    </row>
    <row r="7" spans="2:6" ht="17.25" thickBot="1">
      <c r="B7" s="23"/>
      <c r="C7" s="24"/>
      <c r="D7" s="24"/>
      <c r="E7" s="23"/>
      <c r="F7" s="22"/>
    </row>
    <row r="8" spans="2:6" ht="16.5">
      <c r="B8" s="45" t="s">
        <v>310</v>
      </c>
      <c r="C8" s="46"/>
      <c r="D8" s="46"/>
      <c r="E8" s="46"/>
      <c r="F8" s="47"/>
    </row>
    <row r="9" spans="2:6" ht="17.25" thickBot="1">
      <c r="B9" s="21" t="s">
        <v>311</v>
      </c>
      <c r="C9" s="20">
        <v>45657</v>
      </c>
      <c r="D9" s="19">
        <f>YEARFRAC(C9,C6,1)</f>
        <v>0.34794520547945207</v>
      </c>
      <c r="E9" s="18" t="s">
        <v>312</v>
      </c>
      <c r="F9" s="17">
        <f>(IF(D9&lt;=5,D9*21,(((D9-5)*30)+(5*21))))-E37</f>
        <v>7.3068493150684937</v>
      </c>
    </row>
    <row r="10" spans="2:6" ht="18.75" thickBot="1">
      <c r="B10" s="48" t="s">
        <v>313</v>
      </c>
      <c r="C10" s="48"/>
      <c r="D10" s="48"/>
      <c r="E10" s="48"/>
      <c r="F10" s="48"/>
    </row>
    <row r="11" spans="2:6" ht="16.5">
      <c r="B11" s="15" t="s">
        <v>1</v>
      </c>
      <c r="C11" s="14" t="s">
        <v>311</v>
      </c>
      <c r="D11" s="14" t="s">
        <v>314</v>
      </c>
      <c r="E11" s="14" t="s">
        <v>315</v>
      </c>
      <c r="F11" s="13" t="s">
        <v>316</v>
      </c>
    </row>
    <row r="12" spans="2:6">
      <c r="B12" s="12">
        <v>1</v>
      </c>
      <c r="C12" s="11"/>
      <c r="D12" s="11"/>
      <c r="E12" s="10">
        <f t="shared" ref="E12:E36" si="0">D12-C12</f>
        <v>0</v>
      </c>
      <c r="F12" s="9"/>
    </row>
    <row r="13" spans="2:6">
      <c r="B13" s="12">
        <v>2</v>
      </c>
      <c r="C13" s="11"/>
      <c r="D13" s="11"/>
      <c r="E13" s="10">
        <f t="shared" si="0"/>
        <v>0</v>
      </c>
      <c r="F13" s="9"/>
    </row>
    <row r="14" spans="2:6">
      <c r="B14" s="12">
        <v>3</v>
      </c>
      <c r="C14" s="11"/>
      <c r="D14" s="11"/>
      <c r="E14" s="10">
        <f t="shared" si="0"/>
        <v>0</v>
      </c>
      <c r="F14" s="9"/>
    </row>
    <row r="15" spans="2:6">
      <c r="B15" s="12">
        <v>4</v>
      </c>
      <c r="C15" s="11"/>
      <c r="D15" s="11"/>
      <c r="E15" s="10">
        <f t="shared" si="0"/>
        <v>0</v>
      </c>
      <c r="F15" s="9"/>
    </row>
    <row r="16" spans="2:6">
      <c r="B16" s="12">
        <v>5</v>
      </c>
      <c r="C16" s="11"/>
      <c r="D16" s="11"/>
      <c r="E16" s="10">
        <f t="shared" si="0"/>
        <v>0</v>
      </c>
      <c r="F16" s="9"/>
    </row>
    <row r="17" spans="2:6">
      <c r="B17" s="12">
        <v>6</v>
      </c>
      <c r="C17" s="11"/>
      <c r="D17" s="11"/>
      <c r="E17" s="10">
        <f t="shared" si="0"/>
        <v>0</v>
      </c>
      <c r="F17" s="9"/>
    </row>
    <row r="18" spans="2:6">
      <c r="B18" s="12">
        <v>7</v>
      </c>
      <c r="C18" s="11"/>
      <c r="D18" s="11"/>
      <c r="E18" s="10">
        <f t="shared" si="0"/>
        <v>0</v>
      </c>
      <c r="F18" s="9"/>
    </row>
    <row r="19" spans="2:6">
      <c r="B19" s="12">
        <v>8</v>
      </c>
      <c r="C19" s="11"/>
      <c r="D19" s="11"/>
      <c r="E19" s="10">
        <f t="shared" si="0"/>
        <v>0</v>
      </c>
      <c r="F19" s="9"/>
    </row>
    <row r="20" spans="2:6">
      <c r="B20" s="12">
        <v>9</v>
      </c>
      <c r="C20" s="11"/>
      <c r="D20" s="11"/>
      <c r="E20" s="10">
        <f t="shared" si="0"/>
        <v>0</v>
      </c>
      <c r="F20" s="9"/>
    </row>
    <row r="21" spans="2:6">
      <c r="B21" s="12">
        <v>10</v>
      </c>
      <c r="C21" s="11"/>
      <c r="D21" s="11"/>
      <c r="E21" s="10">
        <f t="shared" si="0"/>
        <v>0</v>
      </c>
      <c r="F21" s="9"/>
    </row>
    <row r="22" spans="2:6">
      <c r="B22" s="12">
        <v>11</v>
      </c>
      <c r="C22" s="11"/>
      <c r="D22" s="11"/>
      <c r="E22" s="10">
        <f t="shared" si="0"/>
        <v>0</v>
      </c>
      <c r="F22" s="9"/>
    </row>
    <row r="23" spans="2:6">
      <c r="B23" s="12">
        <v>12</v>
      </c>
      <c r="C23" s="11"/>
      <c r="D23" s="11"/>
      <c r="E23" s="10">
        <f t="shared" si="0"/>
        <v>0</v>
      </c>
      <c r="F23" s="9"/>
    </row>
    <row r="24" spans="2:6">
      <c r="B24" s="12">
        <v>13</v>
      </c>
      <c r="C24" s="11"/>
      <c r="D24" s="11"/>
      <c r="E24" s="10">
        <f t="shared" si="0"/>
        <v>0</v>
      </c>
      <c r="F24" s="9"/>
    </row>
    <row r="25" spans="2:6">
      <c r="B25" s="12">
        <v>14</v>
      </c>
      <c r="C25" s="11"/>
      <c r="D25" s="11"/>
      <c r="E25" s="10">
        <f t="shared" si="0"/>
        <v>0</v>
      </c>
      <c r="F25" s="9"/>
    </row>
    <row r="26" spans="2:6">
      <c r="B26" s="12">
        <v>15</v>
      </c>
      <c r="C26" s="11"/>
      <c r="D26" s="11"/>
      <c r="E26" s="10">
        <f t="shared" si="0"/>
        <v>0</v>
      </c>
      <c r="F26" s="9"/>
    </row>
    <row r="27" spans="2:6">
      <c r="B27" s="12">
        <v>16</v>
      </c>
      <c r="C27" s="11"/>
      <c r="D27" s="11"/>
      <c r="E27" s="10">
        <f t="shared" si="0"/>
        <v>0</v>
      </c>
      <c r="F27" s="9"/>
    </row>
    <row r="28" spans="2:6">
      <c r="B28" s="12">
        <v>17</v>
      </c>
      <c r="C28" s="11"/>
      <c r="D28" s="11"/>
      <c r="E28" s="10">
        <f t="shared" si="0"/>
        <v>0</v>
      </c>
      <c r="F28" s="9"/>
    </row>
    <row r="29" spans="2:6">
      <c r="B29" s="12">
        <v>18</v>
      </c>
      <c r="C29" s="11"/>
      <c r="D29" s="11"/>
      <c r="E29" s="10">
        <f t="shared" si="0"/>
        <v>0</v>
      </c>
      <c r="F29" s="9"/>
    </row>
    <row r="30" spans="2:6">
      <c r="B30" s="12">
        <v>19</v>
      </c>
      <c r="C30" s="11"/>
      <c r="D30" s="11"/>
      <c r="E30" s="10">
        <f t="shared" si="0"/>
        <v>0</v>
      </c>
      <c r="F30" s="9"/>
    </row>
    <row r="31" spans="2:6">
      <c r="B31" s="12">
        <v>20</v>
      </c>
      <c r="C31" s="11"/>
      <c r="D31" s="11"/>
      <c r="E31" s="10">
        <f t="shared" si="0"/>
        <v>0</v>
      </c>
      <c r="F31" s="9"/>
    </row>
    <row r="32" spans="2:6">
      <c r="B32" s="12">
        <v>21</v>
      </c>
      <c r="C32" s="11"/>
      <c r="D32" s="11"/>
      <c r="E32" s="10">
        <f t="shared" si="0"/>
        <v>0</v>
      </c>
      <c r="F32" s="9"/>
    </row>
    <row r="33" spans="2:6">
      <c r="B33" s="12">
        <v>22</v>
      </c>
      <c r="C33" s="11"/>
      <c r="D33" s="11"/>
      <c r="E33" s="10">
        <f t="shared" si="0"/>
        <v>0</v>
      </c>
      <c r="F33" s="9"/>
    </row>
    <row r="34" spans="2:6">
      <c r="B34" s="12">
        <v>23</v>
      </c>
      <c r="C34" s="11"/>
      <c r="D34" s="11"/>
      <c r="E34" s="10">
        <f t="shared" si="0"/>
        <v>0</v>
      </c>
      <c r="F34" s="9"/>
    </row>
    <row r="35" spans="2:6">
      <c r="B35" s="12">
        <v>24</v>
      </c>
      <c r="C35" s="11"/>
      <c r="D35" s="11"/>
      <c r="E35" s="10">
        <f t="shared" si="0"/>
        <v>0</v>
      </c>
      <c r="F35" s="9"/>
    </row>
    <row r="36" spans="2:6">
      <c r="B36" s="12">
        <v>25</v>
      </c>
      <c r="C36" s="11"/>
      <c r="D36" s="11"/>
      <c r="E36" s="10">
        <f t="shared" si="0"/>
        <v>0</v>
      </c>
      <c r="F36" s="9"/>
    </row>
    <row r="37" spans="2:6" ht="15.75" thickBot="1">
      <c r="B37" s="49" t="s">
        <v>318</v>
      </c>
      <c r="C37" s="50"/>
      <c r="D37" s="51"/>
      <c r="E37" s="16">
        <f>SUM(E12:E36)</f>
        <v>0</v>
      </c>
      <c r="F37" s="5"/>
    </row>
    <row r="39" spans="2:6" ht="18">
      <c r="B39" s="52" t="s">
        <v>319</v>
      </c>
      <c r="C39" s="52"/>
      <c r="D39" s="52"/>
      <c r="E39" s="52"/>
      <c r="F39" s="52"/>
    </row>
    <row r="40" spans="2:6" ht="15.75" thickBot="1"/>
    <row r="41" spans="2:6" ht="16.5">
      <c r="B41" s="15" t="s">
        <v>1</v>
      </c>
      <c r="C41" s="14" t="s">
        <v>311</v>
      </c>
      <c r="D41" s="14" t="s">
        <v>314</v>
      </c>
      <c r="E41" s="14" t="s">
        <v>315</v>
      </c>
      <c r="F41" s="13" t="s">
        <v>320</v>
      </c>
    </row>
    <row r="42" spans="2:6">
      <c r="B42" s="12">
        <v>1</v>
      </c>
      <c r="C42" s="11"/>
      <c r="D42" s="11"/>
      <c r="E42" s="10">
        <f t="shared" ref="E42:E49" si="1">D42-C42</f>
        <v>0</v>
      </c>
      <c r="F42" s="9"/>
    </row>
    <row r="43" spans="2:6">
      <c r="B43" s="12">
        <v>2</v>
      </c>
      <c r="C43" s="11"/>
      <c r="D43" s="11"/>
      <c r="E43" s="10">
        <f t="shared" si="1"/>
        <v>0</v>
      </c>
      <c r="F43" s="9"/>
    </row>
    <row r="44" spans="2:6">
      <c r="B44" s="12">
        <v>3</v>
      </c>
      <c r="C44" s="11"/>
      <c r="D44" s="11"/>
      <c r="E44" s="10">
        <f t="shared" si="1"/>
        <v>0</v>
      </c>
      <c r="F44" s="9"/>
    </row>
    <row r="45" spans="2:6">
      <c r="B45" s="12">
        <v>4</v>
      </c>
      <c r="C45" s="11"/>
      <c r="D45" s="11"/>
      <c r="E45" s="10">
        <f t="shared" si="1"/>
        <v>0</v>
      </c>
      <c r="F45" s="9"/>
    </row>
    <row r="46" spans="2:6">
      <c r="B46" s="12">
        <v>5</v>
      </c>
      <c r="C46" s="11"/>
      <c r="D46" s="11"/>
      <c r="E46" s="10">
        <f t="shared" si="1"/>
        <v>0</v>
      </c>
      <c r="F46" s="9"/>
    </row>
    <row r="47" spans="2:6">
      <c r="B47" s="12">
        <v>6</v>
      </c>
      <c r="C47" s="11"/>
      <c r="D47" s="11"/>
      <c r="E47" s="10">
        <f t="shared" si="1"/>
        <v>0</v>
      </c>
      <c r="F47" s="9"/>
    </row>
    <row r="48" spans="2:6">
      <c r="B48" s="12">
        <v>7</v>
      </c>
      <c r="C48" s="11"/>
      <c r="D48" s="11"/>
      <c r="E48" s="10">
        <f t="shared" si="1"/>
        <v>0</v>
      </c>
      <c r="F48" s="9"/>
    </row>
    <row r="49" spans="2:6" ht="15.75" thickBot="1">
      <c r="B49" s="8">
        <v>8</v>
      </c>
      <c r="C49" s="7"/>
      <c r="D49" s="7"/>
      <c r="E49" s="6">
        <f t="shared" si="1"/>
        <v>0</v>
      </c>
      <c r="F49" s="5"/>
    </row>
  </sheetData>
  <sheetProtection algorithmName="SHA-512" hashValue="B6OxGlO1MPMuJVtU1C/aex5f2kDcdx+X2bYhCpU7jOyOdkuQN/Vs+ZCIDQ7uMxcz/MQju3fopeu7nWSUIDF8MQ==" saltValue="6ZHyAiWYuj4Mr5O3TbMy8g==" spinCount="100000" sheet="1" formatCells="0" formatColumns="0" formatRows="0" insertColumns="0" insertRows="0" insertHyperlinks="0" deleteColumns="0" deleteRows="0"/>
  <mergeCells count="10">
    <mergeCell ref="B8:F8"/>
    <mergeCell ref="B10:F10"/>
    <mergeCell ref="B37:D37"/>
    <mergeCell ref="B39:F39"/>
    <mergeCell ref="B1:F1"/>
    <mergeCell ref="B2:F2"/>
    <mergeCell ref="C3:D3"/>
    <mergeCell ref="C4:D4"/>
    <mergeCell ref="C5:D5"/>
    <mergeCell ref="C6:D6"/>
  </mergeCells>
  <printOptions horizontalCentered="1" verticalCentered="1"/>
  <pageMargins left="0.25" right="0.25" top="0.75" bottom="0.75" header="0.3" footer="0.3"/>
  <pageSetup paperSize="9" scale="8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مستخدم ضيف</cp:lastModifiedBy>
  <cp:revision/>
  <dcterms:created xsi:type="dcterms:W3CDTF">2025-05-20T13:41:18Z</dcterms:created>
  <dcterms:modified xsi:type="dcterms:W3CDTF">2025-12-30T03:13:23Z</dcterms:modified>
  <cp:category/>
  <cp:contentStatus/>
</cp:coreProperties>
</file>